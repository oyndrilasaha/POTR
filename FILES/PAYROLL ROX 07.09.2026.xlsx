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98" firstSheet="0" activeTab="3" autoFilterDateGrouping="1"/>
  </bookViews>
  <sheets>
    <sheet xmlns:r="http://schemas.openxmlformats.org/officeDocument/2006/relationships" name="Wage Percentage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Costing sheet" sheetId="3" state="visible" r:id="rId3"/>
    <sheet xmlns:r="http://schemas.openxmlformats.org/officeDocument/2006/relationships" name="Data Sheet" sheetId="4" state="visible" r:id="rId4"/>
    <sheet xmlns:r="http://schemas.openxmlformats.org/officeDocument/2006/relationships" name="Salary Costing Sheet" sheetId="5" state="visible" r:id="rId5"/>
    <sheet xmlns:r="http://schemas.openxmlformats.org/officeDocument/2006/relationships" name="Proj VS Actual" sheetId="6" state="visible" r:id="rId6"/>
    <sheet xmlns:r="http://schemas.openxmlformats.org/officeDocument/2006/relationships" name="Transfers" sheetId="7" state="visible" r:id="rId7"/>
  </sheets>
  <definedNames>
    <definedName name="_xlnm.Print_Area" localSheetId="2">'Costing sheet'!$A$1:$AH$52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&quot;$&quot;#,##0.00&quot; &quot;;\(&quot;$&quot;#,##0.00\)"/>
    <numFmt numFmtId="165" formatCode="&quot; &quot;&quot;$&quot;* #,##0.00&quot; &quot;;&quot;-&quot;&quot;$&quot;* #,##0.00&quot; &quot;;&quot; &quot;&quot;$&quot;* &quot;-&quot;??&quot; &quot;"/>
    <numFmt numFmtId="166" formatCode="&quot; &quot;* #,##0.00&quot; &quot;;&quot;-&quot;* #,##0.00&quot; &quot;;&quot; &quot;* &quot;-&quot;??&quot; &quot;"/>
    <numFmt numFmtId="167" formatCode="&quot;$&quot;#,##0;\-&quot;$&quot;#,##0"/>
    <numFmt numFmtId="168" formatCode="&quot;$&quot;#,##0.00;\-&quot;$&quot;#,##0.00"/>
    <numFmt numFmtId="169" formatCode="&quot;$&quot;#,##0.00"/>
    <numFmt numFmtId="170" formatCode="&quot;$&quot;#,##0.00;&quot;-&quot;&quot;$&quot;#,##0.00"/>
    <numFmt numFmtId="171" formatCode="#,##0.00_ ;\-#,##0.00\ "/>
    <numFmt numFmtId="172" formatCode="#,##0_ ;\-#,##0\ "/>
    <numFmt numFmtId="173" formatCode="_-[$$-C09]* #,##0.00_-;\-[$$-C09]* #,##0.00_-;_-[$$-C09]* &quot;-&quot;??_-;_-@_-"/>
    <numFmt numFmtId="174" formatCode="&quot;$&quot;#,##0.00;[Red]\-&quot;$&quot;#,##0.00"/>
  </numFmts>
  <fonts count="110">
    <font>
      <name val="MS Sans Serif"/>
      <color indexed="8"/>
      <sz val="10"/>
    </font>
    <font>
      <name val="Helvetica"/>
      <family val="2"/>
      <color theme="1"/>
      <sz val="11"/>
      <scheme val="minor"/>
    </font>
    <font>
      <name val="Helvetica"/>
      <family val="2"/>
      <color theme="1"/>
      <sz val="11"/>
      <scheme val="minor"/>
    </font>
    <font>
      <name val="Helvetica"/>
      <family val="2"/>
      <color theme="1"/>
      <sz val="11"/>
      <scheme val="minor"/>
    </font>
    <font>
      <name val="Helvetica"/>
      <family val="2"/>
      <color theme="1"/>
      <sz val="11"/>
      <scheme val="minor"/>
    </font>
    <font>
      <name val="Helvetica"/>
      <family val="2"/>
      <color theme="1"/>
      <sz val="11"/>
      <scheme val="minor"/>
    </font>
    <font>
      <name val="Helvetica"/>
      <family val="2"/>
      <color theme="1"/>
      <sz val="11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MS Sans Serif"/>
      <color indexed="8"/>
      <sz val="8"/>
    </font>
    <font>
      <name val="Arial"/>
      <family val="2"/>
      <b val="1"/>
      <i val="1"/>
      <color indexed="8"/>
      <sz val="8"/>
    </font>
    <font>
      <name val="Arial"/>
      <family val="2"/>
      <b val="1"/>
      <color indexed="12"/>
      <sz val="8"/>
    </font>
    <font>
      <name val="Arial"/>
      <family val="2"/>
      <b val="1"/>
      <color indexed="8"/>
      <sz val="8"/>
    </font>
    <font>
      <name val="Arial"/>
      <family val="2"/>
      <color indexed="8"/>
      <sz val="8"/>
    </font>
    <font>
      <name val="Arial"/>
      <family val="2"/>
      <b val="1"/>
      <color indexed="8"/>
      <sz val="14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0"/>
    </font>
    <font>
      <name val="Arial"/>
      <family val="2"/>
      <b val="1"/>
      <color indexed="8"/>
      <sz val="9"/>
    </font>
    <font>
      <name val="Arial"/>
      <family val="2"/>
      <b val="1"/>
      <color indexed="8"/>
      <sz val="7"/>
    </font>
    <font>
      <name val="Arial"/>
      <family val="2"/>
      <color indexed="8"/>
      <sz val="9"/>
    </font>
    <font>
      <name val="Arial"/>
      <family val="2"/>
      <b val="1"/>
      <color indexed="8"/>
      <sz val="6"/>
    </font>
    <font>
      <name val="Times New Roman"/>
      <family val="1"/>
      <b val="1"/>
      <color indexed="8"/>
      <sz val="36"/>
    </font>
    <font>
      <name val="Times New Roman"/>
      <family val="1"/>
      <b val="1"/>
      <color indexed="8"/>
      <sz val="12"/>
    </font>
    <font>
      <name val="Times New Roman"/>
      <family val="1"/>
      <b val="1"/>
      <color indexed="8"/>
      <sz val="11"/>
    </font>
    <font>
      <name val="MS Sans Serif"/>
      <b val="1"/>
      <color indexed="8"/>
      <sz val="10"/>
    </font>
    <font>
      <name val="Times New Roman"/>
      <family val="1"/>
      <color indexed="8"/>
      <sz val="12"/>
    </font>
    <font>
      <name val="Times New Roman"/>
      <family val="1"/>
      <b val="1"/>
      <color indexed="8"/>
      <sz val="48"/>
    </font>
    <font>
      <name val="Calibri"/>
      <family val="2"/>
      <color indexed="8"/>
      <sz val="12"/>
    </font>
    <font>
      <name val="Calibri"/>
      <family val="2"/>
      <i val="1"/>
      <color indexed="8"/>
      <sz val="12"/>
    </font>
    <font>
      <name val="Calibri"/>
      <family val="2"/>
      <b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2"/>
      <u val="single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2"/>
      <u val="single"/>
    </font>
    <font>
      <name val="MS Sans Serif"/>
      <color indexed="8"/>
      <sz val="12"/>
    </font>
    <font>
      <name val="Arial"/>
      <family val="2"/>
      <color indexed="8"/>
      <sz val="8"/>
    </font>
    <font>
      <name val="Arial"/>
      <family val="2"/>
      <color indexed="8"/>
      <sz val="11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Calibri"/>
      <family val="2"/>
      <i val="1"/>
      <color indexed="8"/>
      <sz val="12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MS Sans Serif"/>
      <color indexed="8"/>
      <sz val="10"/>
    </font>
    <font>
      <name val="MS Sans Serif"/>
      <color theme="10"/>
      <sz val="10"/>
      <u val="single"/>
    </font>
    <font>
      <name val="Arial"/>
      <family val="2"/>
      <color indexed="8"/>
      <sz val="12"/>
    </font>
    <font>
      <name val="Arial"/>
      <family val="2"/>
      <sz val="8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8"/>
      <sz val="10"/>
    </font>
    <font>
      <name val="Arial"/>
      <family val="2"/>
      <color rgb="FF000000"/>
      <sz val="8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MS Sans Serif"/>
      <sz val="8"/>
    </font>
    <font>
      <name val="Arial"/>
      <family val="2"/>
      <color indexed="8"/>
      <sz val="14"/>
      <u val="single"/>
    </font>
    <font>
      <name val="Arial"/>
      <family val="2"/>
      <b val="1"/>
      <color indexed="8"/>
      <sz val="14"/>
      <u val="single"/>
    </font>
    <font>
      <name val="Arial"/>
      <family val="2"/>
      <color indexed="8"/>
      <sz val="14"/>
    </font>
    <font>
      <name val="MS Sans Serif"/>
      <color indexed="8"/>
      <sz val="14"/>
    </font>
    <font>
      <name val="MS Sans Serif"/>
      <color indexed="1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MS Sans Serif"/>
      <family val="2"/>
      <b val="1"/>
      <sz val="10"/>
    </font>
    <font>
      <name val="MS Sans Serif"/>
      <family val="2"/>
      <sz val="9"/>
    </font>
    <font>
      <name val="Arial"/>
      <family val="2"/>
      <sz val="10"/>
    </font>
    <font>
      <name val="Arial"/>
      <family val="2"/>
      <sz val="6"/>
    </font>
    <font>
      <name val="MS Sans Serif"/>
      <family val="2"/>
      <sz val="8.5"/>
    </font>
    <font>
      <name val="MS Sans Serif"/>
      <family val="2"/>
      <sz val="10"/>
    </font>
    <font>
      <name val="Arial"/>
      <family val="2"/>
      <sz val="11"/>
    </font>
    <font>
      <name val="Arial"/>
      <family val="2"/>
      <color theme="1"/>
      <sz val="11"/>
    </font>
    <font>
      <name val="Microsoft Sans Serif"/>
      <family val="2"/>
      <sz val="10"/>
    </font>
    <font>
      <name val="Arial"/>
      <family val="2"/>
      <color theme="1"/>
      <sz val="8"/>
    </font>
    <font>
      <name val="Arial"/>
      <family val="2"/>
      <sz val="7"/>
    </font>
    <font>
      <name val="Arial"/>
      <family val="2"/>
      <b val="1"/>
      <color indexed="8"/>
      <sz val="13"/>
      <u val="single"/>
    </font>
    <font>
      <name val="Arial"/>
      <family val="2"/>
      <b val="1"/>
      <color indexed="8"/>
      <sz val="13"/>
    </font>
    <font>
      <name val="Arial"/>
      <family val="2"/>
      <color indexed="8"/>
      <sz val="13"/>
    </font>
    <font>
      <name val="Arial"/>
      <family val="2"/>
      <b val="1"/>
      <color indexed="8"/>
      <sz val="12"/>
      <u val="single"/>
    </font>
    <font>
      <name val="Arial"/>
      <family val="2"/>
      <i val="1"/>
      <color indexed="8"/>
      <sz val="11"/>
    </font>
    <font>
      <name val="Arial"/>
      <family val="2"/>
      <b val="1"/>
      <color indexed="8"/>
      <sz val="11"/>
    </font>
    <font>
      <name val="Arial"/>
      <family val="2"/>
      <b val="1"/>
      <color indexed="8"/>
      <sz val="11"/>
      <u val="single"/>
    </font>
    <font>
      <name val="MS Sans Serif"/>
      <color indexed="8"/>
      <sz val="11"/>
    </font>
    <font>
      <name val="Arial"/>
      <family val="2"/>
      <b val="1"/>
      <sz val="8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4"/>
    </font>
    <font>
      <name val="Arial"/>
      <family val="2"/>
      <b val="1"/>
      <color theme="1"/>
      <sz val="10"/>
    </font>
    <font>
      <name val="Arial"/>
      <family val="2"/>
      <b val="1"/>
      <color theme="7" tint="0.7999816888943144"/>
      <sz val="10"/>
    </font>
    <font>
      <name val="MS Sans Serif"/>
      <b val="1"/>
      <sz val="10"/>
    </font>
    <font>
      <name val="Arial"/>
      <family val="2"/>
      <b val="1"/>
      <color theme="1"/>
      <sz val="11"/>
    </font>
    <font>
      <name val="Arial Black"/>
      <family val="2"/>
      <b val="1"/>
      <sz val="10"/>
    </font>
    <font>
      <name val="Times New Roman"/>
      <family val="1"/>
      <b val="1"/>
      <color rgb="FF000000"/>
      <sz val="10"/>
    </font>
    <font>
      <name val="Arial"/>
      <family val="2"/>
      <sz val="9"/>
    </font>
    <font>
      <name val="Aptos"/>
      <family val="2"/>
      <color indexed="8"/>
      <sz val="8"/>
    </font>
    <font>
      <name val="Times New Roman"/>
      <family val="1"/>
      <color indexed="8"/>
      <sz val="8"/>
    </font>
    <font>
      <name val="MS Sans Serif"/>
      <sz val="10"/>
    </font>
    <font>
      <name val="Times New Roman"/>
      <family val="1"/>
      <b val="1"/>
      <color theme="1"/>
      <sz val="13"/>
    </font>
    <font>
      <name val="MS Sans Serif"/>
      <b val="1"/>
      <color rgb="FF000000"/>
      <sz val="11"/>
    </font>
    <font>
      <name val="MS Sans Serif"/>
      <b val="1"/>
      <color indexed="8"/>
      <sz val="11"/>
    </font>
    <font>
      <name val="MS Sans Serif"/>
      <b val="1"/>
      <color rgb="FF000000"/>
      <sz val="10"/>
    </font>
    <font>
      <name val="Aptos Display"/>
      <family val="2"/>
      <b val="1"/>
      <sz val="14"/>
    </font>
    <font>
      <name val="Aptos Display"/>
      <family val="2"/>
      <sz val="14"/>
    </font>
    <font>
      <name val="Arial"/>
      <family val="2"/>
      <b val="1"/>
      <color rgb="FF000000"/>
      <sz val="8"/>
    </font>
    <font>
      <name val="MS Sans Serif"/>
      <b val="1"/>
      <sz val="8.5"/>
    </font>
    <font>
      <name val="Arial"/>
      <family val="2"/>
      <color theme="0"/>
      <sz val="8"/>
    </font>
  </fonts>
  <fills count="40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FF"/>
        <bgColor indexed="64"/>
      </patternFill>
    </fill>
  </fills>
  <borders count="19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/>
      <top style="medium">
        <color indexed="8"/>
      </top>
      <bottom style="medium">
        <color indexed="64"/>
      </bottom>
      <diagonal/>
    </border>
    <border>
      <left/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medium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47" fillId="0" borderId="18"/>
    <xf numFmtId="0" fontId="48" fillId="0" borderId="18"/>
    <xf numFmtId="0" fontId="47" fillId="0" borderId="18"/>
    <xf numFmtId="44" fontId="47" fillId="0" borderId="18"/>
    <xf numFmtId="9" fontId="47" fillId="0" borderId="18"/>
    <xf numFmtId="0" fontId="6" fillId="0" borderId="18"/>
    <xf numFmtId="0" fontId="47" fillId="0" borderId="18"/>
    <xf numFmtId="0" fontId="48" fillId="0" borderId="18"/>
    <xf numFmtId="44" fontId="47" fillId="0" borderId="18"/>
    <xf numFmtId="9" fontId="47" fillId="0" borderId="18"/>
    <xf numFmtId="0" fontId="6" fillId="0" borderId="18"/>
    <xf numFmtId="0" fontId="6" fillId="0" borderId="18"/>
    <xf numFmtId="0" fontId="47" fillId="0" borderId="18"/>
    <xf numFmtId="44" fontId="47" fillId="0" borderId="18"/>
    <xf numFmtId="0" fontId="6" fillId="0" borderId="18"/>
    <xf numFmtId="44" fontId="47" fillId="0" borderId="18"/>
    <xf numFmtId="0" fontId="6" fillId="0" borderId="18"/>
    <xf numFmtId="0" fontId="6" fillId="0" borderId="18"/>
    <xf numFmtId="0" fontId="47" fillId="0" borderId="18"/>
    <xf numFmtId="44" fontId="47" fillId="0" borderId="18"/>
    <xf numFmtId="0" fontId="6" fillId="0" borderId="18"/>
    <xf numFmtId="44" fontId="47" fillId="0" borderId="18"/>
    <xf numFmtId="0" fontId="6" fillId="0" borderId="18"/>
    <xf numFmtId="0" fontId="6" fillId="0" borderId="18"/>
    <xf numFmtId="44" fontId="47" fillId="0" borderId="18"/>
    <xf numFmtId="0" fontId="6" fillId="0" borderId="18"/>
    <xf numFmtId="44" fontId="47" fillId="0" borderId="18"/>
    <xf numFmtId="0" fontId="6" fillId="0" borderId="18"/>
    <xf numFmtId="0" fontId="6" fillId="0" borderId="18"/>
    <xf numFmtId="0" fontId="6" fillId="0" borderId="18"/>
    <xf numFmtId="44" fontId="6" fillId="0" borderId="18"/>
    <xf numFmtId="0" fontId="6" fillId="0" borderId="18"/>
  </cellStyleXfs>
  <cellXfs count="1745">
    <xf numFmtId="0" fontId="0" fillId="0" borderId="0" pivotButton="0" quotePrefix="0" xfId="0"/>
    <xf numFmtId="0" fontId="0" fillId="2" borderId="10" pivotButton="0" quotePrefix="0" xfId="0"/>
    <xf numFmtId="0" fontId="0" fillId="0" borderId="0" pivotButton="0" quotePrefix="0" xfId="0"/>
    <xf numFmtId="0" fontId="0" fillId="2" borderId="33" pivotButton="0" quotePrefix="0" xfId="0"/>
    <xf numFmtId="49" fontId="0" fillId="2" borderId="10" pivotButton="0" quotePrefix="0" xfId="0"/>
    <xf numFmtId="0" fontId="0" fillId="2" borderId="36" pivotButton="0" quotePrefix="0" xfId="0"/>
    <xf numFmtId="0" fontId="0" fillId="2" borderId="47" pivotButton="0" quotePrefix="0" xfId="0"/>
    <xf numFmtId="0" fontId="0" fillId="2" borderId="48" pivotButton="0" quotePrefix="0" xfId="0"/>
    <xf numFmtId="2" fontId="24" fillId="2" borderId="25" applyAlignment="1" pivotButton="0" quotePrefix="0" xfId="0">
      <alignment horizontal="center"/>
    </xf>
    <xf numFmtId="2" fontId="24" fillId="4" borderId="26" applyAlignment="1" pivotButton="0" quotePrefix="0" xfId="0">
      <alignment horizontal="center"/>
    </xf>
    <xf numFmtId="2" fontId="24" fillId="7" borderId="21" applyAlignment="1" pivotButton="0" quotePrefix="0" xfId="0">
      <alignment horizontal="center"/>
    </xf>
    <xf numFmtId="2" fontId="24" fillId="7" borderId="49" applyAlignment="1" pivotButton="0" quotePrefix="0" xfId="0">
      <alignment horizontal="center"/>
    </xf>
    <xf numFmtId="2" fontId="24" fillId="2" borderId="21" applyAlignment="1" pivotButton="0" quotePrefix="0" xfId="0">
      <alignment horizontal="center"/>
    </xf>
    <xf numFmtId="2" fontId="24" fillId="2" borderId="27" applyAlignment="1" pivotButton="0" quotePrefix="0" xfId="0">
      <alignment horizontal="center"/>
    </xf>
    <xf numFmtId="2" fontId="16" fillId="4" borderId="27" applyAlignment="1" pivotButton="0" quotePrefix="0" xfId="0">
      <alignment horizontal="center"/>
    </xf>
    <xf numFmtId="2" fontId="24" fillId="7" borderId="27" applyAlignment="1" pivotButton="0" quotePrefix="0" xfId="0">
      <alignment horizontal="center"/>
    </xf>
    <xf numFmtId="2" fontId="15" fillId="4" borderId="20" applyAlignment="1" pivotButton="0" quotePrefix="0" xfId="0">
      <alignment horizontal="center"/>
    </xf>
    <xf numFmtId="2" fontId="15" fillId="7" borderId="20" applyAlignment="1" pivotButton="0" quotePrefix="0" xfId="0">
      <alignment horizontal="center"/>
    </xf>
    <xf numFmtId="2" fontId="15" fillId="4" borderId="27" applyAlignment="1" pivotButton="0" quotePrefix="0" xfId="0">
      <alignment horizontal="center"/>
    </xf>
    <xf numFmtId="0" fontId="27" fillId="2" borderId="10" pivotButton="0" quotePrefix="0" xfId="0"/>
    <xf numFmtId="0" fontId="24" fillId="2" borderId="10" pivotButton="0" quotePrefix="0" xfId="0"/>
    <xf numFmtId="2" fontId="15" fillId="4" borderId="52" applyAlignment="1" pivotButton="0" quotePrefix="0" xfId="0">
      <alignment horizontal="center"/>
    </xf>
    <xf numFmtId="2" fontId="24" fillId="7" borderId="25" applyAlignment="1" pivotButton="0" quotePrefix="0" xfId="0">
      <alignment horizontal="center"/>
    </xf>
    <xf numFmtId="2" fontId="24" fillId="3" borderId="25" applyAlignment="1" pivotButton="0" quotePrefix="0" xfId="0">
      <alignment horizontal="center"/>
    </xf>
    <xf numFmtId="2" fontId="24" fillId="3" borderId="21" applyAlignment="1" pivotButton="0" quotePrefix="0" xfId="0">
      <alignment horizontal="center"/>
    </xf>
    <xf numFmtId="2" fontId="24" fillId="3" borderId="27" applyAlignment="1" pivotButton="0" quotePrefix="0" xfId="0">
      <alignment horizontal="center"/>
    </xf>
    <xf numFmtId="2" fontId="15" fillId="7" borderId="27" applyAlignment="1" pivotButton="0" quotePrefix="0" xfId="0">
      <alignment horizontal="center"/>
    </xf>
    <xf numFmtId="2" fontId="24" fillId="3" borderId="26" applyAlignment="1" pivotButton="0" quotePrefix="0" xfId="0">
      <alignment horizontal="center"/>
    </xf>
    <xf numFmtId="2" fontId="24" fillId="4" borderId="21" applyAlignment="1" pivotButton="0" quotePrefix="0" xfId="0">
      <alignment horizontal="center"/>
    </xf>
    <xf numFmtId="2" fontId="24" fillId="7" borderId="31" applyAlignment="1" pivotButton="0" quotePrefix="0" xfId="0">
      <alignment horizontal="center"/>
    </xf>
    <xf numFmtId="2" fontId="15" fillId="3" borderId="30" applyAlignment="1" pivotButton="0" quotePrefix="0" xfId="0">
      <alignment horizontal="center"/>
    </xf>
    <xf numFmtId="2" fontId="15" fillId="7" borderId="3" applyAlignment="1" pivotButton="0" quotePrefix="0" xfId="0">
      <alignment horizontal="center"/>
    </xf>
    <xf numFmtId="2" fontId="24" fillId="8" borderId="21" applyAlignment="1" pivotButton="0" quotePrefix="0" xfId="0">
      <alignment horizontal="center"/>
    </xf>
    <xf numFmtId="2" fontId="24" fillId="8" borderId="49" applyAlignment="1" pivotButton="0" quotePrefix="0" xfId="0">
      <alignment horizontal="center"/>
    </xf>
    <xf numFmtId="2" fontId="24" fillId="8" borderId="27" applyAlignment="1" pivotButton="0" quotePrefix="0" xfId="0">
      <alignment horizontal="center"/>
    </xf>
    <xf numFmtId="2" fontId="15" fillId="8" borderId="3" applyAlignment="1" pivotButton="0" quotePrefix="0" xfId="0">
      <alignment horizontal="center"/>
    </xf>
    <xf numFmtId="2" fontId="15" fillId="8" borderId="20" applyAlignment="1" pivotButton="0" quotePrefix="0" xfId="0">
      <alignment horizontal="center"/>
    </xf>
    <xf numFmtId="2" fontId="24" fillId="6" borderId="58" applyAlignment="1" pivotButton="0" quotePrefix="0" xfId="0">
      <alignment horizontal="center"/>
    </xf>
    <xf numFmtId="2" fontId="24" fillId="6" borderId="60" applyAlignment="1" pivotButton="0" quotePrefix="0" xfId="0">
      <alignment horizontal="center"/>
    </xf>
    <xf numFmtId="2" fontId="24" fillId="8" borderId="25" applyAlignment="1" pivotButton="0" quotePrefix="0" xfId="0">
      <alignment horizontal="center"/>
    </xf>
    <xf numFmtId="2" fontId="24" fillId="7" borderId="26" applyAlignment="1" pivotButton="0" quotePrefix="0" xfId="0">
      <alignment horizontal="center"/>
    </xf>
    <xf numFmtId="2" fontId="24" fillId="4" borderId="27" applyAlignment="1" pivotButton="0" quotePrefix="0" xfId="0">
      <alignment horizontal="center"/>
    </xf>
    <xf numFmtId="2" fontId="15" fillId="4" borderId="3" applyAlignment="1" pivotButton="0" quotePrefix="0" xfId="0">
      <alignment horizontal="center"/>
    </xf>
    <xf numFmtId="2" fontId="24" fillId="9" borderId="21" applyAlignment="1" pivotButton="0" quotePrefix="0" xfId="0">
      <alignment horizontal="center"/>
    </xf>
    <xf numFmtId="2" fontId="24" fillId="9" borderId="49" applyAlignment="1" pivotButton="0" quotePrefix="0" xfId="0">
      <alignment horizontal="center"/>
    </xf>
    <xf numFmtId="2" fontId="24" fillId="9" borderId="27" applyAlignment="1" pivotButton="0" quotePrefix="0" xfId="0">
      <alignment horizontal="center"/>
    </xf>
    <xf numFmtId="2" fontId="15" fillId="9" borderId="3" applyAlignment="1" pivotButton="0" quotePrefix="0" xfId="0">
      <alignment horizontal="center"/>
    </xf>
    <xf numFmtId="2" fontId="15" fillId="9" borderId="20" applyAlignment="1" pivotButton="0" quotePrefix="0" xfId="0">
      <alignment horizontal="center"/>
    </xf>
    <xf numFmtId="4" fontId="32" fillId="2" borderId="10" pivotButton="0" quotePrefix="0" xfId="0"/>
    <xf numFmtId="0" fontId="34" fillId="2" borderId="10" pivotButton="0" quotePrefix="0" xfId="0"/>
    <xf numFmtId="2" fontId="27" fillId="2" borderId="10" applyAlignment="1" pivotButton="0" quotePrefix="0" xfId="0">
      <alignment horizontal="right" vertical="center"/>
    </xf>
    <xf numFmtId="49" fontId="32" fillId="2" borderId="10" pivotButton="0" quotePrefix="0" xfId="0"/>
    <xf numFmtId="0" fontId="24" fillId="2" borderId="10" applyAlignment="1" pivotButton="0" quotePrefix="0" xfId="0">
      <alignment vertical="center"/>
    </xf>
    <xf numFmtId="0" fontId="33" fillId="2" borderId="10" pivotButton="0" quotePrefix="0" xfId="0"/>
    <xf numFmtId="0" fontId="33" fillId="2" borderId="10" applyAlignment="1" pivotButton="0" quotePrefix="0" xfId="0">
      <alignment vertical="center"/>
    </xf>
    <xf numFmtId="0" fontId="27" fillId="2" borderId="69" pivotButton="0" quotePrefix="0" xfId="0"/>
    <xf numFmtId="0" fontId="29" fillId="2" borderId="4" pivotButton="0" quotePrefix="0" xfId="0"/>
    <xf numFmtId="0" fontId="29" fillId="2" borderId="14" pivotButton="0" quotePrefix="0" xfId="0"/>
    <xf numFmtId="49" fontId="29" fillId="2" borderId="3" pivotButton="0" quotePrefix="0" xfId="0"/>
    <xf numFmtId="0" fontId="29" fillId="2" borderId="21" pivotButton="0" quotePrefix="0" xfId="0"/>
    <xf numFmtId="0" fontId="29" fillId="2" borderId="27" pivotButton="0" quotePrefix="0" xfId="0"/>
    <xf numFmtId="0" fontId="29" fillId="2" borderId="26" pivotButton="0" quotePrefix="0" xfId="0"/>
    <xf numFmtId="0" fontId="36" fillId="2" borderId="33" pivotButton="0" quotePrefix="0" xfId="0"/>
    <xf numFmtId="2" fontId="40" fillId="9" borderId="25" applyAlignment="1" pivotButton="0" quotePrefix="0" xfId="0">
      <alignment horizontal="center"/>
    </xf>
    <xf numFmtId="2" fontId="40" fillId="4" borderId="26" applyAlignment="1" pivotButton="0" quotePrefix="0" xfId="0">
      <alignment horizontal="center"/>
    </xf>
    <xf numFmtId="2" fontId="40" fillId="11" borderId="21" applyAlignment="1" pivotButton="0" quotePrefix="0" xfId="0">
      <alignment horizontal="center"/>
    </xf>
    <xf numFmtId="2" fontId="40" fillId="9" borderId="21" applyAlignment="1" pivotButton="0" quotePrefix="0" xfId="0">
      <alignment horizontal="center"/>
    </xf>
    <xf numFmtId="2" fontId="40" fillId="11" borderId="49" applyAlignment="1" pivotButton="0" quotePrefix="0" xfId="0">
      <alignment horizontal="center"/>
    </xf>
    <xf numFmtId="2" fontId="43" fillId="4" borderId="27" applyAlignment="1" pivotButton="0" quotePrefix="0" xfId="0">
      <alignment horizontal="center"/>
    </xf>
    <xf numFmtId="2" fontId="40" fillId="11" borderId="27" applyAlignment="1" pivotButton="0" quotePrefix="0" xfId="0">
      <alignment horizontal="center"/>
    </xf>
    <xf numFmtId="2" fontId="42" fillId="4" borderId="20" applyAlignment="1" pivotButton="0" quotePrefix="0" xfId="0">
      <alignment horizontal="center"/>
    </xf>
    <xf numFmtId="2" fontId="42" fillId="11" borderId="3" applyAlignment="1" pivotButton="0" quotePrefix="0" xfId="0">
      <alignment horizontal="center"/>
    </xf>
    <xf numFmtId="2" fontId="42" fillId="11" borderId="20" applyAlignment="1" pivotButton="0" quotePrefix="0" xfId="0">
      <alignment horizontal="center"/>
    </xf>
    <xf numFmtId="2" fontId="42" fillId="4" borderId="27" applyAlignment="1" pivotButton="0" quotePrefix="0" xfId="0">
      <alignment horizontal="center"/>
    </xf>
    <xf numFmtId="2" fontId="40" fillId="9" borderId="49" applyAlignment="1" pivotButton="0" quotePrefix="0" xfId="0">
      <alignment horizontal="center"/>
    </xf>
    <xf numFmtId="2" fontId="42" fillId="9" borderId="3" applyAlignment="1" pivotButton="0" quotePrefix="0" xfId="0">
      <alignment horizontal="center"/>
    </xf>
    <xf numFmtId="2" fontId="40" fillId="4" borderId="26" applyAlignment="1" pivotButton="0" quotePrefix="0" xfId="2">
      <alignment horizontal="center"/>
    </xf>
    <xf numFmtId="2" fontId="40" fillId="7" borderId="21" applyAlignment="1" pivotButton="0" quotePrefix="0" xfId="2">
      <alignment horizontal="center"/>
    </xf>
    <xf numFmtId="2" fontId="40" fillId="7" borderId="25" applyAlignment="1" pivotButton="0" quotePrefix="0" xfId="2">
      <alignment horizontal="center"/>
    </xf>
    <xf numFmtId="2" fontId="40" fillId="13" borderId="49" applyAlignment="1" pivotButton="0" quotePrefix="0" xfId="0">
      <alignment horizontal="center"/>
    </xf>
    <xf numFmtId="2" fontId="52" fillId="8" borderId="49" applyAlignment="1" pivotButton="0" quotePrefix="0" xfId="0">
      <alignment horizontal="center"/>
    </xf>
    <xf numFmtId="2" fontId="52" fillId="4" borderId="26" applyAlignment="1" pivotButton="0" quotePrefix="0" xfId="0">
      <alignment horizontal="center"/>
    </xf>
    <xf numFmtId="2" fontId="52" fillId="8" borderId="21" applyAlignment="1" pivotButton="0" quotePrefix="0" xfId="0">
      <alignment horizontal="center"/>
    </xf>
    <xf numFmtId="2" fontId="55" fillId="4" borderId="27" applyAlignment="1" pivotButton="0" quotePrefix="0" xfId="0">
      <alignment horizontal="center"/>
    </xf>
    <xf numFmtId="2" fontId="52" fillId="8" borderId="27" applyAlignment="1" pivotButton="0" quotePrefix="0" xfId="0">
      <alignment horizontal="center"/>
    </xf>
    <xf numFmtId="2" fontId="53" fillId="8" borderId="3" applyAlignment="1" pivotButton="0" quotePrefix="0" xfId="0">
      <alignment horizontal="center"/>
    </xf>
    <xf numFmtId="2" fontId="53" fillId="4" borderId="20" applyAlignment="1" pivotButton="0" quotePrefix="0" xfId="0">
      <alignment horizontal="center"/>
    </xf>
    <xf numFmtId="2" fontId="53" fillId="8" borderId="20" applyAlignment="1" pivotButton="0" quotePrefix="0" xfId="0">
      <alignment horizontal="center"/>
    </xf>
    <xf numFmtId="2" fontId="53" fillId="4" borderId="27" applyAlignment="1" pivotButton="0" quotePrefix="0" xfId="0">
      <alignment horizontal="center"/>
    </xf>
    <xf numFmtId="0" fontId="0" fillId="10" borderId="0" pivotButton="0" quotePrefix="0" xfId="0"/>
    <xf numFmtId="0" fontId="0" fillId="10" borderId="0" pivotButton="0" quotePrefix="0" xfId="0"/>
    <xf numFmtId="0" fontId="7" fillId="10" borderId="18" pivotButton="0" quotePrefix="0" xfId="0"/>
    <xf numFmtId="2" fontId="52" fillId="16" borderId="26" applyAlignment="1" pivotButton="0" quotePrefix="0" xfId="0">
      <alignment horizontal="center"/>
    </xf>
    <xf numFmtId="2" fontId="24" fillId="15" borderId="49" applyAlignment="1" pivotButton="0" quotePrefix="0" xfId="0">
      <alignment horizontal="center"/>
    </xf>
    <xf numFmtId="2" fontId="24" fillId="15" borderId="21" applyAlignment="1" pivotButton="0" quotePrefix="0" xfId="0">
      <alignment horizontal="center"/>
    </xf>
    <xf numFmtId="2" fontId="24" fillId="0" borderId="49" applyAlignment="1" pivotButton="0" quotePrefix="0" xfId="0">
      <alignment horizontal="center"/>
    </xf>
    <xf numFmtId="2" fontId="24" fillId="0" borderId="21" applyAlignment="1" pivotButton="0" quotePrefix="0" xfId="0">
      <alignment horizontal="center"/>
    </xf>
    <xf numFmtId="2" fontId="24" fillId="0" borderId="26" applyAlignment="1" pivotButton="0" quotePrefix="0" xfId="0">
      <alignment horizontal="center"/>
    </xf>
    <xf numFmtId="2" fontId="15" fillId="0" borderId="20" applyAlignment="1" pivotButton="0" quotePrefix="0" xfId="0">
      <alignment horizontal="center"/>
    </xf>
    <xf numFmtId="2" fontId="15" fillId="0" borderId="27" applyAlignment="1" pivotButton="0" quotePrefix="0" xfId="0">
      <alignment horizontal="center"/>
    </xf>
    <xf numFmtId="2" fontId="16" fillId="0" borderId="27" applyAlignment="1" pivotButton="0" quotePrefix="0" xfId="0">
      <alignment horizontal="center"/>
    </xf>
    <xf numFmtId="2" fontId="24" fillId="0" borderId="27" applyAlignment="1" pivotButton="0" quotePrefix="0" xfId="0">
      <alignment horizontal="center"/>
    </xf>
    <xf numFmtId="2" fontId="15" fillId="0" borderId="3" applyAlignment="1" pivotButton="0" quotePrefix="0" xfId="0">
      <alignment horizontal="center"/>
    </xf>
    <xf numFmtId="2" fontId="24" fillId="10" borderId="26" applyAlignment="1" pivotButton="0" quotePrefix="0" xfId="0">
      <alignment horizontal="center"/>
    </xf>
    <xf numFmtId="2" fontId="15" fillId="10" borderId="20" applyAlignment="1" pivotButton="0" quotePrefix="0" xfId="0">
      <alignment horizontal="center"/>
    </xf>
    <xf numFmtId="2" fontId="15" fillId="10" borderId="27" applyAlignment="1" pivotButton="0" quotePrefix="0" xfId="0">
      <alignment horizontal="center"/>
    </xf>
    <xf numFmtId="2" fontId="24" fillId="0" borderId="86" applyAlignment="1" pivotButton="0" quotePrefix="0" xfId="0">
      <alignment horizontal="center"/>
    </xf>
    <xf numFmtId="2" fontId="24" fillId="0" borderId="77" applyAlignment="1" pivotButton="0" quotePrefix="0" xfId="0">
      <alignment horizontal="center"/>
    </xf>
    <xf numFmtId="0" fontId="9" fillId="10" borderId="18" pivotButton="0" quotePrefix="0" xfId="0"/>
    <xf numFmtId="0" fontId="9" fillId="10" borderId="19" pivotButton="0" quotePrefix="0" xfId="0"/>
    <xf numFmtId="2" fontId="24" fillId="10" borderId="49" applyAlignment="1" pivotButton="0" quotePrefix="0" xfId="0">
      <alignment horizontal="center"/>
    </xf>
    <xf numFmtId="2" fontId="24" fillId="10" borderId="89" applyAlignment="1" pivotButton="0" quotePrefix="0" xfId="0">
      <alignment horizontal="center"/>
    </xf>
    <xf numFmtId="2" fontId="15" fillId="0" borderId="91" applyAlignment="1" pivotButton="0" quotePrefix="0" xfId="0">
      <alignment horizontal="center"/>
    </xf>
    <xf numFmtId="49" fontId="7" fillId="10" borderId="77" pivotButton="0" quotePrefix="0" xfId="0"/>
    <xf numFmtId="0" fontId="7" fillId="10" borderId="77" pivotButton="0" quotePrefix="0" xfId="0"/>
    <xf numFmtId="164" fontId="7" fillId="10" borderId="77" pivotButton="0" quotePrefix="0" xfId="0"/>
    <xf numFmtId="2" fontId="7" fillId="10" borderId="77" pivotButton="0" quotePrefix="0" xfId="0"/>
    <xf numFmtId="165" fontId="7" fillId="10" borderId="77" applyAlignment="1" pivotButton="0" quotePrefix="0" xfId="0">
      <alignment horizontal="right"/>
    </xf>
    <xf numFmtId="164" fontId="13" fillId="10" borderId="77" pivotButton="0" quotePrefix="0" xfId="0"/>
    <xf numFmtId="49" fontId="7" fillId="10" borderId="81" pivotButton="0" quotePrefix="0" xfId="0"/>
    <xf numFmtId="0" fontId="7" fillId="10" borderId="81" pivotButton="0" quotePrefix="0" xfId="0"/>
    <xf numFmtId="165" fontId="56" fillId="10" borderId="81" applyAlignment="1" pivotButton="0" quotePrefix="0" xfId="0">
      <alignment horizontal="center"/>
    </xf>
    <xf numFmtId="0" fontId="7" fillId="10" borderId="81" applyAlignment="1" pivotButton="0" quotePrefix="0" xfId="0">
      <alignment horizontal="center"/>
    </xf>
    <xf numFmtId="165" fontId="8" fillId="10" borderId="81" applyAlignment="1" pivotButton="0" quotePrefix="0" xfId="0">
      <alignment horizontal="right"/>
    </xf>
    <xf numFmtId="49" fontId="7" fillId="10" borderId="81" applyAlignment="1" pivotButton="0" quotePrefix="0" xfId="0">
      <alignment horizontal="center"/>
    </xf>
    <xf numFmtId="164" fontId="7" fillId="10" borderId="81" pivotButton="0" quotePrefix="0" xfId="0"/>
    <xf numFmtId="4" fontId="7" fillId="10" borderId="81" pivotButton="0" quotePrefix="0" xfId="0"/>
    <xf numFmtId="2" fontId="7" fillId="10" borderId="81" pivotButton="0" quotePrefix="0" xfId="0"/>
    <xf numFmtId="2" fontId="7" fillId="10" borderId="106" pivotButton="0" quotePrefix="0" xfId="0"/>
    <xf numFmtId="164" fontId="7" fillId="10" borderId="108" pivotButton="0" quotePrefix="0" xfId="0"/>
    <xf numFmtId="164" fontId="7" fillId="10" borderId="110" pivotButton="0" quotePrefix="0" xfId="0"/>
    <xf numFmtId="49" fontId="7" fillId="10" borderId="114" pivotButton="0" quotePrefix="0" xfId="0"/>
    <xf numFmtId="49" fontId="7" fillId="10" borderId="115" pivotButton="0" quotePrefix="0" xfId="0"/>
    <xf numFmtId="49" fontId="50" fillId="10" borderId="115" pivotButton="0" quotePrefix="0" xfId="0"/>
    <xf numFmtId="0" fontId="7" fillId="10" borderId="116" applyAlignment="1" pivotButton="0" quotePrefix="0" xfId="0">
      <alignment vertical="center"/>
    </xf>
    <xf numFmtId="164" fontId="7" fillId="10" borderId="107" pivotButton="0" quotePrefix="0" xfId="0"/>
    <xf numFmtId="164" fontId="7" fillId="10" borderId="109" pivotButton="0" quotePrefix="0" xfId="0"/>
    <xf numFmtId="49" fontId="7" fillId="10" borderId="105" pivotButton="0" quotePrefix="0" xfId="0"/>
    <xf numFmtId="2" fontId="7" fillId="10" borderId="106" applyAlignment="1" pivotButton="0" quotePrefix="0" xfId="0">
      <alignment horizontal="right"/>
    </xf>
    <xf numFmtId="165" fontId="8" fillId="10" borderId="114" pivotButton="0" quotePrefix="0" xfId="0"/>
    <xf numFmtId="165" fontId="8" fillId="10" borderId="115" pivotButton="0" quotePrefix="0" xfId="0"/>
    <xf numFmtId="0" fontId="63" fillId="0" borderId="12" pivotButton="0" quotePrefix="0" xfId="0"/>
    <xf numFmtId="0" fontId="63" fillId="0" borderId="13" pivotButton="0" quotePrefix="0" xfId="0"/>
    <xf numFmtId="0" fontId="63" fillId="0" borderId="0" pivotButton="0" quotePrefix="0" xfId="0"/>
    <xf numFmtId="0" fontId="63" fillId="0" borderId="0" pivotButton="0" quotePrefix="0" xfId="0"/>
    <xf numFmtId="0" fontId="63" fillId="0" borderId="18" pivotButton="0" quotePrefix="0" xfId="0"/>
    <xf numFmtId="0" fontId="63" fillId="0" borderId="19" pivotButton="0" quotePrefix="0" xfId="0"/>
    <xf numFmtId="0" fontId="14" fillId="10" borderId="81" applyAlignment="1" pivotButton="0" quotePrefix="0" xfId="0">
      <alignment horizontal="center"/>
    </xf>
    <xf numFmtId="0" fontId="63" fillId="10" borderId="18" pivotButton="0" quotePrefix="0" xfId="0"/>
    <xf numFmtId="0" fontId="63" fillId="10" borderId="0" pivotButton="0" quotePrefix="0" xfId="0"/>
    <xf numFmtId="0" fontId="63" fillId="10" borderId="0" pivotButton="0" quotePrefix="0" xfId="0"/>
    <xf numFmtId="0" fontId="63" fillId="10" borderId="18" pivotButton="0" quotePrefix="0" xfId="0"/>
    <xf numFmtId="0" fontId="63" fillId="18" borderId="0" pivotButton="0" quotePrefix="0" xfId="0"/>
    <xf numFmtId="0" fontId="63" fillId="0" borderId="42" pivotButton="0" quotePrefix="0" xfId="0"/>
    <xf numFmtId="0" fontId="63" fillId="0" borderId="43" pivotButton="0" quotePrefix="0" xfId="0"/>
    <xf numFmtId="0" fontId="63" fillId="0" borderId="44" pivotButton="0" quotePrefix="0" xfId="0"/>
    <xf numFmtId="166" fontId="64" fillId="2" borderId="44" pivotButton="0" quotePrefix="0" xfId="0"/>
    <xf numFmtId="0" fontId="63" fillId="10" borderId="44" pivotButton="0" quotePrefix="0" xfId="0"/>
    <xf numFmtId="49" fontId="14" fillId="2" borderId="34" pivotButton="0" quotePrefix="0" xfId="0"/>
    <xf numFmtId="1" fontId="60" fillId="2" borderId="34" applyAlignment="1" pivotButton="0" quotePrefix="0" xfId="0">
      <alignment horizontal="center"/>
    </xf>
    <xf numFmtId="0" fontId="61" fillId="2" borderId="34" applyAlignment="1" pivotButton="0" quotePrefix="0" xfId="0">
      <alignment horizontal="center"/>
    </xf>
    <xf numFmtId="49" fontId="60" fillId="2" borderId="34" applyAlignment="1" pivotButton="0" quotePrefix="0" xfId="0">
      <alignment horizontal="center"/>
    </xf>
    <xf numFmtId="14" fontId="14" fillId="2" borderId="34" applyAlignment="1" pivotButton="0" quotePrefix="0" xfId="0">
      <alignment horizontal="center"/>
    </xf>
    <xf numFmtId="14" fontId="62" fillId="2" borderId="34" applyAlignment="1" pivotButton="0" quotePrefix="0" xfId="0">
      <alignment horizontal="center"/>
    </xf>
    <xf numFmtId="0" fontId="63" fillId="2" borderId="34" pivotButton="0" quotePrefix="0" xfId="0"/>
    <xf numFmtId="1" fontId="14" fillId="10" borderId="81" applyAlignment="1" pivotButton="0" quotePrefix="0" xfId="0">
      <alignment horizontal="center"/>
    </xf>
    <xf numFmtId="2" fontId="0" fillId="2" borderId="10" pivotButton="0" quotePrefix="0" xfId="0"/>
    <xf numFmtId="2" fontId="0" fillId="0" borderId="0" pivotButton="0" quotePrefix="0" xfId="0"/>
    <xf numFmtId="2" fontId="0" fillId="2" borderId="34" pivotButton="0" quotePrefix="0" xfId="0"/>
    <xf numFmtId="2" fontId="0" fillId="2" borderId="11" pivotButton="0" quotePrefix="0" xfId="0"/>
    <xf numFmtId="2" fontId="23" fillId="6" borderId="18" pivotButton="0" quotePrefix="0" xfId="0"/>
    <xf numFmtId="2" fontId="0" fillId="2" borderId="36" pivotButton="0" quotePrefix="0" xfId="0"/>
    <xf numFmtId="2" fontId="0" fillId="2" borderId="37" pivotButton="0" quotePrefix="0" xfId="0"/>
    <xf numFmtId="2" fontId="0" fillId="2" borderId="6" pivotButton="0" quotePrefix="0" xfId="0"/>
    <xf numFmtId="2" fontId="24" fillId="2" borderId="6" pivotButton="0" quotePrefix="0" xfId="0"/>
    <xf numFmtId="2" fontId="25" fillId="2" borderId="6" pivotButton="0" quotePrefix="0" xfId="0"/>
    <xf numFmtId="2" fontId="15" fillId="2" borderId="3" pivotButton="0" quotePrefix="0" xfId="0"/>
    <xf numFmtId="2" fontId="17" fillId="2" borderId="20" applyAlignment="1" pivotButton="0" quotePrefix="0" xfId="0">
      <alignment horizontal="center"/>
    </xf>
    <xf numFmtId="2" fontId="17" fillId="4" borderId="22" applyAlignment="1" pivotButton="0" quotePrefix="0" xfId="0">
      <alignment horizontal="center" vertical="center"/>
    </xf>
    <xf numFmtId="2" fontId="17" fillId="7" borderId="23" applyAlignment="1" pivotButton="0" quotePrefix="0" xfId="0">
      <alignment horizontal="center"/>
    </xf>
    <xf numFmtId="2" fontId="0" fillId="2" borderId="47" pivotButton="0" quotePrefix="0" xfId="0"/>
    <xf numFmtId="2" fontId="17" fillId="2" borderId="20" applyAlignment="1" pivotButton="0" quotePrefix="0" xfId="0">
      <alignment horizontal="right"/>
    </xf>
    <xf numFmtId="2" fontId="24" fillId="2" borderId="25" applyAlignment="1" pivotButton="0" quotePrefix="0" xfId="0">
      <alignment horizontal="center" vertical="center"/>
    </xf>
    <xf numFmtId="2" fontId="24" fillId="4" borderId="26" applyAlignment="1" pivotButton="0" quotePrefix="0" xfId="0">
      <alignment horizontal="center" vertical="center"/>
    </xf>
    <xf numFmtId="2" fontId="24" fillId="7" borderId="21" applyAlignment="1" pivotButton="0" quotePrefix="0" xfId="0">
      <alignment horizontal="center" vertical="center"/>
    </xf>
    <xf numFmtId="2" fontId="24" fillId="7" borderId="25" applyAlignment="1" pivotButton="0" quotePrefix="0" xfId="0">
      <alignment horizontal="center" vertical="center"/>
    </xf>
    <xf numFmtId="2" fontId="0" fillId="2" borderId="48" pivotButton="0" quotePrefix="0" xfId="0"/>
    <xf numFmtId="2" fontId="17" fillId="2" borderId="21" applyAlignment="1" pivotButton="0" quotePrefix="0" xfId="0">
      <alignment horizontal="right" vertical="center"/>
    </xf>
    <xf numFmtId="2" fontId="17" fillId="2" borderId="21" applyAlignment="1" pivotButton="0" quotePrefix="0" xfId="0">
      <alignment horizontal="right"/>
    </xf>
    <xf numFmtId="2" fontId="17" fillId="4" borderId="21" applyAlignment="1" pivotButton="0" quotePrefix="0" xfId="0">
      <alignment horizontal="center"/>
    </xf>
    <xf numFmtId="2" fontId="24" fillId="2" borderId="26" applyAlignment="1" pivotButton="0" quotePrefix="0" xfId="0">
      <alignment horizontal="center" vertical="center"/>
    </xf>
    <xf numFmtId="2" fontId="17" fillId="2" borderId="25" applyAlignment="1" pivotButton="0" quotePrefix="0" xfId="0">
      <alignment horizontal="right"/>
    </xf>
    <xf numFmtId="2" fontId="24" fillId="2" borderId="29" applyAlignment="1" pivotButton="0" quotePrefix="0" xfId="0">
      <alignment horizontal="center"/>
    </xf>
    <xf numFmtId="2" fontId="15" fillId="2" borderId="27" applyAlignment="1" pivotButton="0" quotePrefix="0" xfId="0">
      <alignment horizontal="right"/>
    </xf>
    <xf numFmtId="2" fontId="17" fillId="4" borderId="27" applyAlignment="1" pivotButton="0" quotePrefix="0" xfId="0">
      <alignment horizontal="center"/>
    </xf>
    <xf numFmtId="2" fontId="15" fillId="2" borderId="50" applyAlignment="1" pivotButton="0" quotePrefix="0" xfId="0">
      <alignment horizontal="right"/>
    </xf>
    <xf numFmtId="2" fontId="15" fillId="2" borderId="20" applyAlignment="1" pivotButton="0" quotePrefix="0" xfId="0">
      <alignment horizontal="center"/>
    </xf>
    <xf numFmtId="2" fontId="15" fillId="2" borderId="51" applyAlignment="1" pivotButton="0" quotePrefix="0" xfId="0">
      <alignment horizontal="right"/>
    </xf>
    <xf numFmtId="2" fontId="15" fillId="2" borderId="27" applyAlignment="1" pivotButton="0" quotePrefix="0" xfId="0">
      <alignment horizontal="center"/>
    </xf>
    <xf numFmtId="2" fontId="26" fillId="2" borderId="3" applyAlignment="1" pivotButton="0" quotePrefix="0" xfId="0">
      <alignment horizontal="center"/>
    </xf>
    <xf numFmtId="2" fontId="26" fillId="4" borderId="3" applyAlignment="1" pivotButton="0" quotePrefix="0" xfId="0">
      <alignment horizontal="center"/>
    </xf>
    <xf numFmtId="2" fontId="0" fillId="2" borderId="33" pivotButton="0" quotePrefix="0" xfId="0"/>
    <xf numFmtId="2" fontId="27" fillId="2" borderId="10" pivotButton="0" quotePrefix="0" xfId="0"/>
    <xf numFmtId="2" fontId="24" fillId="2" borderId="10" pivotButton="0" quotePrefix="0" xfId="0"/>
    <xf numFmtId="2" fontId="24" fillId="2" borderId="6" applyAlignment="1" pivotButton="0" quotePrefix="0" xfId="0">
      <alignment horizontal="center"/>
    </xf>
    <xf numFmtId="2" fontId="27" fillId="2" borderId="6" applyAlignment="1" pivotButton="0" quotePrefix="0" xfId="0">
      <alignment horizontal="center"/>
    </xf>
    <xf numFmtId="2" fontId="25" fillId="2" borderId="6" applyAlignment="1" pivotButton="0" quotePrefix="0" xfId="0">
      <alignment horizontal="center"/>
    </xf>
    <xf numFmtId="2" fontId="27" fillId="2" borderId="6" pivotButton="0" quotePrefix="0" xfId="0"/>
    <xf numFmtId="2" fontId="24" fillId="3" borderId="25" applyAlignment="1" pivotButton="0" quotePrefix="0" xfId="0">
      <alignment horizontal="center" vertical="center"/>
    </xf>
    <xf numFmtId="2" fontId="24" fillId="3" borderId="26" applyAlignment="1" pivotButton="0" quotePrefix="0" xfId="0">
      <alignment horizontal="center" vertical="center"/>
    </xf>
    <xf numFmtId="2" fontId="24" fillId="7" borderId="29" applyAlignment="1" pivotButton="0" quotePrefix="0" xfId="0">
      <alignment horizontal="center"/>
    </xf>
    <xf numFmtId="2" fontId="24" fillId="3" borderId="29" applyAlignment="1" pivotButton="0" quotePrefix="0" xfId="0">
      <alignment horizontal="center"/>
    </xf>
    <xf numFmtId="2" fontId="17" fillId="2" borderId="3" applyAlignment="1" pivotButton="0" quotePrefix="0" xfId="0">
      <alignment horizontal="center"/>
    </xf>
    <xf numFmtId="2" fontId="17" fillId="2" borderId="22" applyAlignment="1" pivotButton="0" quotePrefix="0" xfId="0">
      <alignment horizontal="right"/>
    </xf>
    <xf numFmtId="2" fontId="24" fillId="3" borderId="23" applyAlignment="1" pivotButton="0" quotePrefix="0" xfId="0">
      <alignment horizontal="center"/>
    </xf>
    <xf numFmtId="2" fontId="24" fillId="4" borderId="21" applyAlignment="1" pivotButton="0" quotePrefix="0" xfId="0">
      <alignment horizontal="center" vertical="center"/>
    </xf>
    <xf numFmtId="2" fontId="17" fillId="2" borderId="25" applyAlignment="1" pivotButton="0" quotePrefix="0" xfId="0">
      <alignment horizontal="right" vertical="center"/>
    </xf>
    <xf numFmtId="2" fontId="15" fillId="3" borderId="26" applyAlignment="1" pivotButton="0" quotePrefix="0" xfId="0">
      <alignment horizontal="center"/>
    </xf>
    <xf numFmtId="2" fontId="24" fillId="7" borderId="26" applyAlignment="1" pivotButton="0" quotePrefix="0" xfId="0">
      <alignment horizontal="center" vertical="center"/>
    </xf>
    <xf numFmtId="2" fontId="17" fillId="7" borderId="46" applyAlignment="1" pivotButton="0" quotePrefix="0" xfId="0">
      <alignment horizontal="center"/>
    </xf>
    <xf numFmtId="2" fontId="17" fillId="7" borderId="20" applyAlignment="1" pivotButton="0" quotePrefix="0" xfId="0">
      <alignment horizontal="center"/>
    </xf>
    <xf numFmtId="2" fontId="0" fillId="2" borderId="7" pivotButton="0" quotePrefix="0" xfId="0"/>
    <xf numFmtId="2" fontId="24" fillId="2" borderId="53" applyAlignment="1" pivotButton="0" quotePrefix="0" xfId="0">
      <alignment horizontal="center"/>
    </xf>
    <xf numFmtId="2" fontId="24" fillId="2" borderId="9" pivotButton="0" quotePrefix="0" xfId="0"/>
    <xf numFmtId="2" fontId="24" fillId="2" borderId="7" pivotButton="0" quotePrefix="0" xfId="0"/>
    <xf numFmtId="2" fontId="24" fillId="2" borderId="53" pivotButton="0" quotePrefix="0" xfId="0"/>
    <xf numFmtId="2" fontId="27" fillId="2" borderId="53" pivotButton="0" quotePrefix="0" xfId="0"/>
    <xf numFmtId="2" fontId="0" fillId="2" borderId="9" pivotButton="0" quotePrefix="0" xfId="0"/>
    <xf numFmtId="2" fontId="27" fillId="2" borderId="9" pivotButton="0" quotePrefix="0" xfId="0"/>
    <xf numFmtId="2" fontId="24" fillId="6" borderId="53" pivotButton="0" quotePrefix="0" xfId="0"/>
    <xf numFmtId="2" fontId="17" fillId="8" borderId="23" applyAlignment="1" pivotButton="0" quotePrefix="0" xfId="0">
      <alignment horizontal="center"/>
    </xf>
    <xf numFmtId="2" fontId="24" fillId="8" borderId="21" applyAlignment="1" pivotButton="0" quotePrefix="0" xfId="0">
      <alignment horizontal="center" vertical="center"/>
    </xf>
    <xf numFmtId="2" fontId="24" fillId="8" borderId="25" applyAlignment="1" pivotButton="0" quotePrefix="0" xfId="0">
      <alignment horizontal="center" vertical="center"/>
    </xf>
    <xf numFmtId="2" fontId="24" fillId="8" borderId="31" applyAlignment="1" pivotButton="0" quotePrefix="0" xfId="0">
      <alignment horizontal="center"/>
    </xf>
    <xf numFmtId="2" fontId="15" fillId="8" borderId="27" applyAlignment="1" pivotButton="0" quotePrefix="0" xfId="0">
      <alignment horizontal="center"/>
    </xf>
    <xf numFmtId="2" fontId="24" fillId="6" borderId="53" applyAlignment="1" pivotButton="0" quotePrefix="0" xfId="0">
      <alignment horizontal="center"/>
    </xf>
    <xf numFmtId="2" fontId="24" fillId="2" borderId="8" pivotButton="0" quotePrefix="0" xfId="0"/>
    <xf numFmtId="2" fontId="24" fillId="6" borderId="53" applyAlignment="1" pivotButton="0" quotePrefix="0" xfId="0">
      <alignment horizontal="center" vertical="center"/>
    </xf>
    <xf numFmtId="2" fontId="27" fillId="2" borderId="7" pivotButton="0" quotePrefix="0" xfId="0"/>
    <xf numFmtId="2" fontId="27" fillId="2" borderId="33" pivotButton="0" quotePrefix="0" xfId="0"/>
    <xf numFmtId="2" fontId="27" fillId="2" borderId="54" pivotButton="0" quotePrefix="0" xfId="0"/>
    <xf numFmtId="2" fontId="27" fillId="2" borderId="51" pivotButton="0" quotePrefix="0" xfId="0"/>
    <xf numFmtId="2" fontId="0" fillId="2" borderId="51" pivotButton="0" quotePrefix="0" xfId="0"/>
    <xf numFmtId="2" fontId="0" fillId="2" borderId="55" pivotButton="0" quotePrefix="0" xfId="0"/>
    <xf numFmtId="2" fontId="24" fillId="7" borderId="52" applyAlignment="1" pivotButton="0" quotePrefix="0" xfId="0">
      <alignment horizontal="center"/>
    </xf>
    <xf numFmtId="2" fontId="23" fillId="6" borderId="56" pivotButton="0" quotePrefix="0" xfId="0"/>
    <xf numFmtId="2" fontId="23" fillId="6" borderId="41" pivotButton="0" quotePrefix="0" xfId="0"/>
    <xf numFmtId="2" fontId="27" fillId="6" borderId="41" pivotButton="0" quotePrefix="0" xfId="0"/>
    <xf numFmtId="2" fontId="24" fillId="6" borderId="57" applyAlignment="1" pivotButton="0" quotePrefix="0" xfId="0">
      <alignment horizontal="center"/>
    </xf>
    <xf numFmtId="2" fontId="23" fillId="6" borderId="39" pivotButton="0" quotePrefix="0" xfId="0"/>
    <xf numFmtId="2" fontId="27" fillId="6" borderId="18" pivotButton="0" quotePrefix="0" xfId="0"/>
    <xf numFmtId="2" fontId="27" fillId="6" borderId="39" pivotButton="0" quotePrefix="0" xfId="0"/>
    <xf numFmtId="2" fontId="28" fillId="6" borderId="18" applyAlignment="1" pivotButton="0" quotePrefix="0" xfId="0">
      <alignment horizontal="center"/>
    </xf>
    <xf numFmtId="2" fontId="27" fillId="2" borderId="47" pivotButton="0" quotePrefix="0" xfId="0"/>
    <xf numFmtId="2" fontId="27" fillId="6" borderId="59" pivotButton="0" quotePrefix="0" xfId="0"/>
    <xf numFmtId="2" fontId="27" fillId="6" borderId="53" pivotButton="0" quotePrefix="0" xfId="0"/>
    <xf numFmtId="2" fontId="24" fillId="2" borderId="16" applyAlignment="1" pivotButton="0" quotePrefix="0" xfId="0">
      <alignment horizontal="center"/>
    </xf>
    <xf numFmtId="2" fontId="24" fillId="6" borderId="16" applyAlignment="1" pivotButton="0" quotePrefix="0" xfId="0">
      <alignment horizontal="center"/>
    </xf>
    <xf numFmtId="2" fontId="24" fillId="2" borderId="16" pivotButton="0" quotePrefix="0" xfId="0"/>
    <xf numFmtId="2" fontId="24" fillId="6" borderId="16" applyAlignment="1" pivotButton="0" quotePrefix="0" xfId="0">
      <alignment horizontal="center" vertical="center"/>
    </xf>
    <xf numFmtId="2" fontId="24" fillId="2" borderId="17" pivotButton="0" quotePrefix="0" xfId="0"/>
    <xf numFmtId="2" fontId="27" fillId="2" borderId="48" pivotButton="0" quotePrefix="0" xfId="0"/>
    <xf numFmtId="2" fontId="27" fillId="2" borderId="36" pivotButton="0" quotePrefix="0" xfId="0"/>
    <xf numFmtId="2" fontId="17" fillId="7" borderId="21" applyAlignment="1" pivotButton="0" quotePrefix="0" xfId="0">
      <alignment horizontal="center"/>
    </xf>
    <xf numFmtId="2" fontId="17" fillId="7" borderId="27" applyAlignment="1" pivotButton="0" quotePrefix="0" xfId="0">
      <alignment horizontal="center"/>
    </xf>
    <xf numFmtId="2" fontId="24" fillId="4" borderId="29" applyAlignment="1" pivotButton="0" quotePrefix="0" xfId="0">
      <alignment horizontal="center"/>
    </xf>
    <xf numFmtId="2" fontId="24" fillId="8" borderId="29" applyAlignment="1" pivotButton="0" quotePrefix="0" xfId="0">
      <alignment horizontal="center"/>
    </xf>
    <xf numFmtId="2" fontId="24" fillId="8" borderId="61" applyAlignment="1" pivotButton="0" quotePrefix="0" xfId="0">
      <alignment horizontal="center"/>
    </xf>
    <xf numFmtId="2" fontId="0" fillId="2" borderId="15" pivotButton="0" quotePrefix="0" xfId="0"/>
    <xf numFmtId="2" fontId="0" fillId="2" borderId="62" pivotButton="0" quotePrefix="0" xfId="0"/>
    <xf numFmtId="2" fontId="0" fillId="2" borderId="63" pivotButton="0" quotePrefix="0" xfId="0"/>
    <xf numFmtId="2" fontId="29" fillId="2" borderId="29" pivotButton="0" quotePrefix="0" xfId="0"/>
    <xf numFmtId="2" fontId="0" fillId="2" borderId="64" pivotButton="0" quotePrefix="0" xfId="0"/>
    <xf numFmtId="2" fontId="30" fillId="2" borderId="65" pivotButton="0" quotePrefix="0" xfId="0"/>
    <xf numFmtId="2" fontId="0" fillId="2" borderId="66" pivotButton="0" quotePrefix="0" xfId="0"/>
    <xf numFmtId="2" fontId="31" fillId="2" borderId="29" pivotButton="0" quotePrefix="0" xfId="0"/>
    <xf numFmtId="2" fontId="0" fillId="2" borderId="67" pivotButton="0" quotePrefix="0" xfId="0"/>
    <xf numFmtId="2" fontId="29" fillId="2" borderId="29" applyAlignment="1" pivotButton="0" quotePrefix="0" xfId="0">
      <alignment vertical="center" wrapText="1"/>
    </xf>
    <xf numFmtId="2" fontId="27" fillId="2" borderId="29" pivotButton="0" quotePrefix="0" xfId="0"/>
    <xf numFmtId="2" fontId="31" fillId="2" borderId="29" applyAlignment="1" pivotButton="0" quotePrefix="0" xfId="0">
      <alignment vertical="center" wrapText="1"/>
    </xf>
    <xf numFmtId="2" fontId="29" fillId="3" borderId="29" pivotButton="0" quotePrefix="0" xfId="0"/>
    <xf numFmtId="2" fontId="0" fillId="2" borderId="68" pivotButton="0" quotePrefix="0" xfId="0"/>
    <xf numFmtId="2" fontId="0" fillId="2" borderId="69" pivotButton="0" quotePrefix="0" xfId="0"/>
    <xf numFmtId="2" fontId="24" fillId="3" borderId="21" applyAlignment="1" pivotButton="0" quotePrefix="0" xfId="0">
      <alignment horizontal="center" vertical="center"/>
    </xf>
    <xf numFmtId="2" fontId="24" fillId="8" borderId="28" applyAlignment="1" pivotButton="0" quotePrefix="0" xfId="0">
      <alignment horizontal="center"/>
    </xf>
    <xf numFmtId="2" fontId="29" fillId="6" borderId="29" pivotButton="0" quotePrefix="0" xfId="0"/>
    <xf numFmtId="2" fontId="27" fillId="2" borderId="62" pivotButton="0" quotePrefix="0" xfId="0"/>
    <xf numFmtId="2" fontId="27" fillId="2" borderId="11" pivotButton="0" quotePrefix="0" xfId="0"/>
    <xf numFmtId="2" fontId="27" fillId="2" borderId="66" pivotButton="0" quotePrefix="0" xfId="0"/>
    <xf numFmtId="2" fontId="27" fillId="2" borderId="63" pivotButton="0" quotePrefix="0" xfId="0"/>
    <xf numFmtId="2" fontId="27" fillId="2" borderId="67" pivotButton="0" quotePrefix="0" xfId="0"/>
    <xf numFmtId="2" fontId="24" fillId="8" borderId="26" applyAlignment="1" pivotButton="0" quotePrefix="0" xfId="0">
      <alignment horizontal="center"/>
    </xf>
    <xf numFmtId="2" fontId="24" fillId="7" borderId="20" applyAlignment="1" pivotButton="0" quotePrefix="0" xfId="0">
      <alignment horizontal="center"/>
    </xf>
    <xf numFmtId="2" fontId="29" fillId="3" borderId="70" pivotButton="0" quotePrefix="0" xfId="0"/>
    <xf numFmtId="2" fontId="0" fillId="0" borderId="1" pivotButton="0" quotePrefix="0" xfId="0"/>
    <xf numFmtId="2" fontId="0" fillId="0" borderId="13" pivotButton="0" quotePrefix="0" xfId="0"/>
    <xf numFmtId="2" fontId="0" fillId="0" borderId="42" pivotButton="0" quotePrefix="0" xfId="0"/>
    <xf numFmtId="2" fontId="0" fillId="0" borderId="19" pivotButton="0" quotePrefix="0" xfId="0"/>
    <xf numFmtId="2" fontId="0" fillId="0" borderId="39" pivotButton="0" quotePrefix="0" xfId="0"/>
    <xf numFmtId="2" fontId="0" fillId="0" borderId="32" pivotButton="0" quotePrefix="0" xfId="0"/>
    <xf numFmtId="2" fontId="0" fillId="0" borderId="18" pivotButton="0" quotePrefix="0" xfId="0"/>
    <xf numFmtId="2" fontId="24" fillId="7" borderId="3" applyAlignment="1" pivotButton="0" quotePrefix="0" xfId="0">
      <alignment horizontal="center"/>
    </xf>
    <xf numFmtId="2" fontId="0" fillId="0" borderId="41" pivotButton="0" quotePrefix="0" xfId="0"/>
    <xf numFmtId="2" fontId="0" fillId="0" borderId="43" pivotButton="0" quotePrefix="0" xfId="0"/>
    <xf numFmtId="2" fontId="0" fillId="0" borderId="44" pivotButton="0" quotePrefix="0" xfId="0"/>
    <xf numFmtId="2" fontId="0" fillId="0" borderId="45" pivotButton="0" quotePrefix="0" xfId="0"/>
    <xf numFmtId="2" fontId="17" fillId="9" borderId="23" applyAlignment="1" pivotButton="0" quotePrefix="0" xfId="0">
      <alignment horizontal="center"/>
    </xf>
    <xf numFmtId="2" fontId="24" fillId="9" borderId="25" applyAlignment="1" pivotButton="0" quotePrefix="0" xfId="0">
      <alignment horizontal="center"/>
    </xf>
    <xf numFmtId="2" fontId="24" fillId="9" borderId="31" applyAlignment="1" pivotButton="0" quotePrefix="0" xfId="0">
      <alignment horizontal="center"/>
    </xf>
    <xf numFmtId="2" fontId="15" fillId="9" borderId="27" applyAlignment="1" pivotButton="0" quotePrefix="0" xfId="0">
      <alignment horizontal="center"/>
    </xf>
    <xf numFmtId="2" fontId="0" fillId="2" borderId="1" pivotButton="0" quotePrefix="0" xfId="0"/>
    <xf numFmtId="2" fontId="0" fillId="2" borderId="41" pivotButton="0" quotePrefix="0" xfId="0"/>
    <xf numFmtId="2" fontId="0" fillId="2" borderId="12" pivotButton="0" quotePrefix="0" xfId="0"/>
    <xf numFmtId="2" fontId="0" fillId="2" borderId="13" pivotButton="0" quotePrefix="0" xfId="0"/>
    <xf numFmtId="2" fontId="0" fillId="2" borderId="43" pivotButton="0" quotePrefix="0" xfId="0"/>
    <xf numFmtId="2" fontId="0" fillId="2" borderId="44" pivotButton="0" quotePrefix="0" xfId="0"/>
    <xf numFmtId="2" fontId="0" fillId="2" borderId="18" pivotButton="0" quotePrefix="0" xfId="0"/>
    <xf numFmtId="2" fontId="0" fillId="2" borderId="45" pivotButton="0" quotePrefix="0" xfId="0"/>
    <xf numFmtId="2" fontId="0" fillId="0" borderId="12" pivotButton="0" quotePrefix="0" xfId="0"/>
    <xf numFmtId="2" fontId="0" fillId="0" borderId="71" pivotButton="0" quotePrefix="0" xfId="0"/>
    <xf numFmtId="2" fontId="0" fillId="0" borderId="72" pivotButton="0" quotePrefix="0" xfId="0"/>
    <xf numFmtId="2" fontId="39" fillId="2" borderId="7" pivotButton="0" quotePrefix="0" xfId="0"/>
    <xf numFmtId="2" fontId="40" fillId="2" borderId="53" applyAlignment="1" pivotButton="0" quotePrefix="0" xfId="0">
      <alignment horizontal="center"/>
    </xf>
    <xf numFmtId="2" fontId="40" fillId="7" borderId="53" applyAlignment="1" pivotButton="0" quotePrefix="0" xfId="0">
      <alignment horizontal="center"/>
    </xf>
    <xf numFmtId="2" fontId="40" fillId="2" borderId="73" pivotButton="0" quotePrefix="0" xfId="0"/>
    <xf numFmtId="2" fontId="41" fillId="2" borderId="3" applyAlignment="1" pivotButton="0" quotePrefix="0" xfId="0">
      <alignment horizontal="center"/>
    </xf>
    <xf numFmtId="2" fontId="40" fillId="7" borderId="59" applyAlignment="1" pivotButton="0" quotePrefix="0" xfId="0">
      <alignment horizontal="center" vertical="center"/>
    </xf>
    <xf numFmtId="2" fontId="40" fillId="2" borderId="8" pivotButton="0" quotePrefix="0" xfId="0"/>
    <xf numFmtId="2" fontId="40" fillId="7" borderId="53" applyAlignment="1" pivotButton="0" quotePrefix="0" xfId="0">
      <alignment horizontal="center" vertical="center"/>
    </xf>
    <xf numFmtId="2" fontId="40" fillId="2" borderId="9" pivotButton="0" quotePrefix="0" xfId="0"/>
    <xf numFmtId="2" fontId="42" fillId="2" borderId="3" pivotButton="0" quotePrefix="0" xfId="0"/>
    <xf numFmtId="2" fontId="41" fillId="2" borderId="20" applyAlignment="1" pivotButton="0" quotePrefix="0" xfId="0">
      <alignment horizontal="center"/>
    </xf>
    <xf numFmtId="2" fontId="41" fillId="4" borderId="22" applyAlignment="1" pivotButton="0" quotePrefix="0" xfId="0">
      <alignment horizontal="center" vertical="center"/>
    </xf>
    <xf numFmtId="2" fontId="41" fillId="11" borderId="23" applyAlignment="1" pivotButton="0" quotePrefix="0" xfId="0">
      <alignment horizontal="center"/>
    </xf>
    <xf numFmtId="2" fontId="41" fillId="2" borderId="20" applyAlignment="1" pivotButton="0" quotePrefix="0" xfId="0">
      <alignment horizontal="right"/>
    </xf>
    <xf numFmtId="2" fontId="40" fillId="8" borderId="21" applyAlignment="1" pivotButton="0" quotePrefix="0" xfId="0">
      <alignment horizontal="center" vertical="center"/>
    </xf>
    <xf numFmtId="2" fontId="40" fillId="9" borderId="21" applyAlignment="1" pivotButton="0" quotePrefix="0" xfId="0">
      <alignment horizontal="center" vertical="center"/>
    </xf>
    <xf numFmtId="2" fontId="40" fillId="9" borderId="25" applyAlignment="1" pivotButton="0" quotePrefix="0" xfId="0">
      <alignment horizontal="center" vertical="center"/>
    </xf>
    <xf numFmtId="2" fontId="41" fillId="2" borderId="21" applyAlignment="1" pivotButton="0" quotePrefix="0" xfId="0">
      <alignment horizontal="right" vertical="center"/>
    </xf>
    <xf numFmtId="2" fontId="40" fillId="11" borderId="25" applyAlignment="1" pivotButton="0" quotePrefix="0" xfId="0">
      <alignment horizontal="center"/>
    </xf>
    <xf numFmtId="2" fontId="41" fillId="2" borderId="21" applyAlignment="1" pivotButton="0" quotePrefix="0" xfId="0">
      <alignment horizontal="right"/>
    </xf>
    <xf numFmtId="2" fontId="40" fillId="8" borderId="21" applyAlignment="1" pivotButton="0" quotePrefix="0" xfId="0">
      <alignment horizontal="center"/>
    </xf>
    <xf numFmtId="2" fontId="40" fillId="9" borderId="29" applyAlignment="1" pivotButton="0" quotePrefix="0" xfId="0">
      <alignment horizontal="center"/>
    </xf>
    <xf numFmtId="2" fontId="41" fillId="4" borderId="21" applyAlignment="1" pivotButton="0" quotePrefix="0" xfId="0">
      <alignment horizontal="center"/>
    </xf>
    <xf numFmtId="2" fontId="42" fillId="2" borderId="27" applyAlignment="1" pivotButton="0" quotePrefix="0" xfId="0">
      <alignment horizontal="right"/>
    </xf>
    <xf numFmtId="2" fontId="41" fillId="4" borderId="27" applyAlignment="1" pivotButton="0" quotePrefix="0" xfId="0">
      <alignment horizontal="center"/>
    </xf>
    <xf numFmtId="2" fontId="40" fillId="9" borderId="27" applyAlignment="1" pivotButton="0" quotePrefix="0" xfId="0">
      <alignment horizontal="center"/>
    </xf>
    <xf numFmtId="2" fontId="40" fillId="11" borderId="31" applyAlignment="1" pivotButton="0" quotePrefix="0" xfId="0">
      <alignment horizontal="center"/>
    </xf>
    <xf numFmtId="2" fontId="42" fillId="2" borderId="50" applyAlignment="1" pivotButton="0" quotePrefix="0" xfId="0">
      <alignment horizontal="right"/>
    </xf>
    <xf numFmtId="2" fontId="42" fillId="2" borderId="20" applyAlignment="1" pivotButton="0" quotePrefix="0" xfId="0">
      <alignment horizontal="center"/>
    </xf>
    <xf numFmtId="2" fontId="42" fillId="2" borderId="51" applyAlignment="1" pivotButton="0" quotePrefix="0" xfId="0">
      <alignment horizontal="right"/>
    </xf>
    <xf numFmtId="2" fontId="42" fillId="2" borderId="27" applyAlignment="1" pivotButton="0" quotePrefix="0" xfId="0">
      <alignment horizontal="center"/>
    </xf>
    <xf numFmtId="2" fontId="42" fillId="11" borderId="27" applyAlignment="1" pivotButton="0" quotePrefix="0" xfId="0">
      <alignment horizontal="center"/>
    </xf>
    <xf numFmtId="2" fontId="42" fillId="4" borderId="3" applyAlignment="1" pivotButton="0" quotePrefix="0" xfId="0">
      <alignment horizontal="center"/>
    </xf>
    <xf numFmtId="2" fontId="39" fillId="2" borderId="10" pivotButton="0" quotePrefix="0" xfId="0"/>
    <xf numFmtId="2" fontId="39" fillId="2" borderId="11" pivotButton="0" quotePrefix="0" xfId="0"/>
    <xf numFmtId="2" fontId="44" fillId="2" borderId="65" pivotButton="0" quotePrefix="0" xfId="0"/>
    <xf numFmtId="2" fontId="39" fillId="2" borderId="66" pivotButton="0" quotePrefix="0" xfId="0"/>
    <xf numFmtId="2" fontId="39" fillId="2" borderId="63" pivotButton="0" quotePrefix="0" xfId="0"/>
    <xf numFmtId="2" fontId="45" fillId="2" borderId="29" applyAlignment="1" pivotButton="0" quotePrefix="0" xfId="0">
      <alignment vertical="center" wrapText="1"/>
    </xf>
    <xf numFmtId="2" fontId="46" fillId="2" borderId="29" pivotButton="0" quotePrefix="0" xfId="0"/>
    <xf numFmtId="2" fontId="39" fillId="2" borderId="67" pivotButton="0" quotePrefix="0" xfId="0"/>
    <xf numFmtId="2" fontId="45" fillId="2" borderId="29" pivotButton="0" quotePrefix="0" xfId="0"/>
    <xf numFmtId="2" fontId="46" fillId="2" borderId="29" applyAlignment="1" pivotButton="0" quotePrefix="0" xfId="0">
      <alignment vertical="center" wrapText="1"/>
    </xf>
    <xf numFmtId="2" fontId="46" fillId="3" borderId="29" pivotButton="0" quotePrefix="0" xfId="0"/>
    <xf numFmtId="2" fontId="41" fillId="9" borderId="23" applyAlignment="1" pivotButton="0" quotePrefix="0" xfId="0">
      <alignment horizontal="center"/>
    </xf>
    <xf numFmtId="2" fontId="40" fillId="8" borderId="25" applyAlignment="1" pivotButton="0" quotePrefix="0" xfId="0">
      <alignment horizontal="center" vertical="center"/>
    </xf>
    <xf numFmtId="2" fontId="40" fillId="7" borderId="21" applyAlignment="1" pivotButton="0" quotePrefix="0" xfId="2">
      <alignment horizontal="center" vertical="center"/>
    </xf>
    <xf numFmtId="2" fontId="40" fillId="9" borderId="21" applyAlignment="1" pivotButton="0" quotePrefix="0" xfId="2">
      <alignment horizontal="center" vertical="center"/>
    </xf>
    <xf numFmtId="2" fontId="40" fillId="13" borderId="25" applyAlignment="1" pivotButton="0" quotePrefix="0" xfId="0">
      <alignment horizontal="center" vertical="center"/>
    </xf>
    <xf numFmtId="2" fontId="40" fillId="8" borderId="49" applyAlignment="1" pivotButton="0" quotePrefix="0" xfId="0">
      <alignment horizontal="center"/>
    </xf>
    <xf numFmtId="2" fontId="40" fillId="9" borderId="21" applyAlignment="1" pivotButton="0" quotePrefix="0" xfId="2">
      <alignment horizontal="center"/>
    </xf>
    <xf numFmtId="2" fontId="40" fillId="7" borderId="29" applyAlignment="1" pivotButton="0" quotePrefix="0" xfId="2">
      <alignment horizontal="center"/>
    </xf>
    <xf numFmtId="2" fontId="41" fillId="4" borderId="21" applyAlignment="1" pivotButton="0" quotePrefix="0" xfId="2">
      <alignment horizontal="center"/>
    </xf>
    <xf numFmtId="2" fontId="40" fillId="9" borderId="31" applyAlignment="1" pivotButton="0" quotePrefix="0" xfId="0">
      <alignment horizontal="center"/>
    </xf>
    <xf numFmtId="2" fontId="40" fillId="7" borderId="27" applyAlignment="1" pivotButton="0" quotePrefix="0" xfId="2">
      <alignment horizontal="center"/>
    </xf>
    <xf numFmtId="2" fontId="41" fillId="4" borderId="27" applyAlignment="1" pivotButton="0" quotePrefix="0" xfId="2">
      <alignment horizontal="center"/>
    </xf>
    <xf numFmtId="2" fontId="24" fillId="10" borderId="53" applyAlignment="1" pivotButton="0" quotePrefix="0" xfId="0">
      <alignment horizontal="center"/>
    </xf>
    <xf numFmtId="2" fontId="24" fillId="10" borderId="53" applyAlignment="1" pivotButton="0" quotePrefix="0" xfId="0">
      <alignment horizontal="center" vertical="center"/>
    </xf>
    <xf numFmtId="2" fontId="24" fillId="14" borderId="53" applyAlignment="1" pivotButton="0" quotePrefix="0" xfId="0">
      <alignment horizontal="center"/>
    </xf>
    <xf numFmtId="2" fontId="51" fillId="2" borderId="7" pivotButton="0" quotePrefix="0" xfId="0"/>
    <xf numFmtId="2" fontId="52" fillId="2" borderId="53" applyAlignment="1" pivotButton="0" quotePrefix="0" xfId="0">
      <alignment horizontal="center"/>
    </xf>
    <xf numFmtId="2" fontId="52" fillId="10" borderId="53" applyAlignment="1" pivotButton="0" quotePrefix="0" xfId="0">
      <alignment horizontal="center"/>
    </xf>
    <xf numFmtId="2" fontId="52" fillId="2" borderId="8" pivotButton="0" quotePrefix="0" xfId="0"/>
    <xf numFmtId="2" fontId="52" fillId="10" borderId="53" applyAlignment="1" pivotButton="0" quotePrefix="0" xfId="0">
      <alignment horizontal="center" vertical="center"/>
    </xf>
    <xf numFmtId="2" fontId="52" fillId="6" borderId="53" applyAlignment="1" pivotButton="0" quotePrefix="0" xfId="0">
      <alignment horizontal="center" vertical="center"/>
    </xf>
    <xf numFmtId="2" fontId="52" fillId="2" borderId="9" pivotButton="0" quotePrefix="0" xfId="0"/>
    <xf numFmtId="2" fontId="52" fillId="14" borderId="53" applyAlignment="1" pivotButton="0" quotePrefix="0" xfId="0">
      <alignment horizontal="center"/>
    </xf>
    <xf numFmtId="2" fontId="53" fillId="2" borderId="3" pivotButton="0" quotePrefix="0" xfId="0"/>
    <xf numFmtId="2" fontId="54" fillId="2" borderId="20" applyAlignment="1" pivotButton="0" quotePrefix="0" xfId="0">
      <alignment horizontal="center"/>
    </xf>
    <xf numFmtId="2" fontId="54" fillId="4" borderId="22" applyAlignment="1" pivotButton="0" quotePrefix="0" xfId="0">
      <alignment horizontal="center" vertical="center"/>
    </xf>
    <xf numFmtId="2" fontId="54" fillId="8" borderId="23" applyAlignment="1" pivotButton="0" quotePrefix="0" xfId="0">
      <alignment horizontal="center"/>
    </xf>
    <xf numFmtId="2" fontId="54" fillId="2" borderId="20" applyAlignment="1" pivotButton="0" quotePrefix="0" xfId="0">
      <alignment horizontal="right"/>
    </xf>
    <xf numFmtId="2" fontId="52" fillId="7" borderId="25" applyAlignment="1" pivotButton="0" quotePrefix="0" xfId="0">
      <alignment horizontal="center" vertical="center"/>
    </xf>
    <xf numFmtId="2" fontId="52" fillId="7" borderId="21" applyAlignment="1" pivotButton="0" quotePrefix="0" xfId="0">
      <alignment horizontal="center" vertical="center"/>
    </xf>
    <xf numFmtId="2" fontId="54" fillId="2" borderId="21" applyAlignment="1" pivotButton="0" quotePrefix="0" xfId="0">
      <alignment horizontal="right" vertical="center"/>
    </xf>
    <xf numFmtId="2" fontId="52" fillId="8" borderId="25" applyAlignment="1" pivotButton="0" quotePrefix="0" xfId="0">
      <alignment horizontal="center"/>
    </xf>
    <xf numFmtId="2" fontId="54" fillId="2" borderId="21" applyAlignment="1" pivotButton="0" quotePrefix="0" xfId="0">
      <alignment horizontal="right"/>
    </xf>
    <xf numFmtId="2" fontId="52" fillId="7" borderId="49" applyAlignment="1" pivotButton="0" quotePrefix="0" xfId="0">
      <alignment horizontal="center"/>
    </xf>
    <xf numFmtId="2" fontId="52" fillId="7" borderId="21" applyAlignment="1" pivotButton="0" quotePrefix="0" xfId="0">
      <alignment horizontal="center"/>
    </xf>
    <xf numFmtId="2" fontId="54" fillId="2" borderId="25" applyAlignment="1" pivotButton="0" quotePrefix="0" xfId="0">
      <alignment horizontal="right"/>
    </xf>
    <xf numFmtId="2" fontId="54" fillId="4" borderId="21" applyAlignment="1" pivotButton="0" quotePrefix="0" xfId="0">
      <alignment horizontal="center"/>
    </xf>
    <xf numFmtId="2" fontId="53" fillId="2" borderId="27" applyAlignment="1" pivotButton="0" quotePrefix="0" xfId="0">
      <alignment horizontal="right"/>
    </xf>
    <xf numFmtId="2" fontId="52" fillId="8" borderId="31" applyAlignment="1" pivotButton="0" quotePrefix="0" xfId="0">
      <alignment horizontal="center"/>
    </xf>
    <xf numFmtId="2" fontId="54" fillId="4" borderId="27" applyAlignment="1" pivotButton="0" quotePrefix="0" xfId="0">
      <alignment horizontal="center"/>
    </xf>
    <xf numFmtId="2" fontId="53" fillId="2" borderId="50" applyAlignment="1" pivotButton="0" quotePrefix="0" xfId="0">
      <alignment horizontal="right"/>
    </xf>
    <xf numFmtId="2" fontId="53" fillId="2" borderId="51" applyAlignment="1" pivotButton="0" quotePrefix="0" xfId="0">
      <alignment horizontal="right"/>
    </xf>
    <xf numFmtId="2" fontId="53" fillId="8" borderId="27" applyAlignment="1" pivotButton="0" quotePrefix="0" xfId="0">
      <alignment horizontal="center"/>
    </xf>
    <xf numFmtId="2" fontId="53" fillId="4" borderId="3" applyAlignment="1" pivotButton="0" quotePrefix="0" xfId="0">
      <alignment horizontal="center"/>
    </xf>
    <xf numFmtId="2" fontId="57" fillId="14" borderId="53" applyAlignment="1" pivotButton="0" quotePrefix="0" xfId="0">
      <alignment horizontal="center" vertical="center"/>
    </xf>
    <xf numFmtId="2" fontId="24" fillId="14" borderId="53" applyAlignment="1" pivotButton="0" quotePrefix="0" xfId="0">
      <alignment horizontal="center" vertical="center"/>
    </xf>
    <xf numFmtId="2" fontId="52" fillId="15" borderId="21" applyAlignment="1" pivotButton="0" quotePrefix="0" xfId="0">
      <alignment horizontal="center"/>
    </xf>
    <xf numFmtId="2" fontId="24" fillId="15" borderId="25" applyAlignment="1" pivotButton="0" quotePrefix="0" xfId="0">
      <alignment horizontal="center"/>
    </xf>
    <xf numFmtId="2" fontId="54" fillId="15" borderId="21" applyAlignment="1" pivotButton="0" quotePrefix="0" xfId="0">
      <alignment horizontal="center"/>
    </xf>
    <xf numFmtId="2" fontId="58" fillId="14" borderId="53" applyAlignment="1" pivotButton="0" quotePrefix="0" xfId="0">
      <alignment horizontal="center"/>
    </xf>
    <xf numFmtId="2" fontId="17" fillId="17" borderId="22" applyAlignment="1" pivotButton="0" quotePrefix="0" xfId="0">
      <alignment horizontal="center" vertical="center"/>
    </xf>
    <xf numFmtId="2" fontId="17" fillId="18" borderId="20" applyAlignment="1" pivotButton="0" quotePrefix="0" xfId="0">
      <alignment horizontal="right"/>
    </xf>
    <xf numFmtId="2" fontId="24" fillId="18" borderId="25" applyAlignment="1" pivotButton="0" quotePrefix="0" xfId="0">
      <alignment horizontal="center" vertical="center"/>
    </xf>
    <xf numFmtId="2" fontId="24" fillId="18" borderId="21" applyAlignment="1" pivotButton="0" quotePrefix="0" xfId="0">
      <alignment horizontal="center" vertical="center"/>
    </xf>
    <xf numFmtId="2" fontId="0" fillId="18" borderId="48" pivotButton="0" quotePrefix="0" xfId="0"/>
    <xf numFmtId="2" fontId="0" fillId="18" borderId="10" pivotButton="0" quotePrefix="0" xfId="0"/>
    <xf numFmtId="2" fontId="0" fillId="18" borderId="0" pivotButton="0" quotePrefix="0" xfId="0"/>
    <xf numFmtId="2" fontId="24" fillId="0" borderId="25" applyAlignment="1" pivotButton="0" quotePrefix="0" xfId="0">
      <alignment horizontal="center"/>
    </xf>
    <xf numFmtId="2" fontId="17" fillId="18" borderId="21" applyAlignment="1" pivotButton="0" quotePrefix="0" xfId="0">
      <alignment horizontal="right"/>
    </xf>
    <xf numFmtId="2" fontId="24" fillId="18" borderId="49" applyAlignment="1" pivotButton="0" quotePrefix="0" xfId="0">
      <alignment horizontal="center"/>
    </xf>
    <xf numFmtId="2" fontId="24" fillId="18" borderId="21" applyAlignment="1" pivotButton="0" quotePrefix="0" xfId="0">
      <alignment horizontal="center"/>
    </xf>
    <xf numFmtId="2" fontId="0" fillId="18" borderId="36" pivotButton="0" quotePrefix="0" xfId="0"/>
    <xf numFmtId="2" fontId="17" fillId="10" borderId="25" applyAlignment="1" pivotButton="0" quotePrefix="0" xfId="0">
      <alignment horizontal="right"/>
    </xf>
    <xf numFmtId="2" fontId="0" fillId="10" borderId="36" pivotButton="0" quotePrefix="0" xfId="0"/>
    <xf numFmtId="2" fontId="0" fillId="10" borderId="10" pivotButton="0" quotePrefix="0" xfId="0"/>
    <xf numFmtId="2" fontId="0" fillId="10" borderId="0" pivotButton="0" quotePrefix="0" xfId="0"/>
    <xf numFmtId="2" fontId="17" fillId="0" borderId="21" applyAlignment="1" pivotButton="0" quotePrefix="0" xfId="0">
      <alignment horizontal="center"/>
    </xf>
    <xf numFmtId="2" fontId="17" fillId="0" borderId="27" applyAlignment="1" pivotButton="0" quotePrefix="0" xfId="0">
      <alignment horizontal="center"/>
    </xf>
    <xf numFmtId="2" fontId="17" fillId="10" borderId="21" applyAlignment="1" pivotButton="0" quotePrefix="0" xfId="0">
      <alignment horizontal="center"/>
    </xf>
    <xf numFmtId="2" fontId="17" fillId="0" borderId="49" applyAlignment="1" pivotButton="0" quotePrefix="0" xfId="0">
      <alignment horizontal="center"/>
    </xf>
    <xf numFmtId="2" fontId="24" fillId="0" borderId="78" applyAlignment="1" pivotButton="0" quotePrefix="0" xfId="0">
      <alignment horizontal="center"/>
    </xf>
    <xf numFmtId="2" fontId="24" fillId="0" borderId="31" applyAlignment="1" pivotButton="0" quotePrefix="0" xfId="0">
      <alignment horizontal="center"/>
    </xf>
    <xf numFmtId="2" fontId="17" fillId="10" borderId="27" applyAlignment="1" pivotButton="0" quotePrefix="0" xfId="0">
      <alignment horizontal="center"/>
    </xf>
    <xf numFmtId="2" fontId="15" fillId="10" borderId="3" applyAlignment="1" pivotButton="0" quotePrefix="0" xfId="0">
      <alignment horizontal="center"/>
    </xf>
    <xf numFmtId="2" fontId="24" fillId="2" borderId="87" pivotButton="0" quotePrefix="0" xfId="0"/>
    <xf numFmtId="2" fontId="17" fillId="8" borderId="88" applyAlignment="1" pivotButton="0" quotePrefix="0" xfId="0">
      <alignment horizontal="center"/>
    </xf>
    <xf numFmtId="2" fontId="24" fillId="18" borderId="89" applyAlignment="1" pivotButton="0" quotePrefix="0" xfId="0">
      <alignment horizontal="center" vertical="center"/>
    </xf>
    <xf numFmtId="2" fontId="17" fillId="10" borderId="21" applyAlignment="1" pivotButton="0" quotePrefix="0" xfId="0">
      <alignment horizontal="right" vertical="center"/>
    </xf>
    <xf numFmtId="2" fontId="24" fillId="10" borderId="25" applyAlignment="1" pivotButton="0" quotePrefix="0" xfId="0">
      <alignment horizontal="center"/>
    </xf>
    <xf numFmtId="2" fontId="24" fillId="18" borderId="89" applyAlignment="1" pivotButton="0" quotePrefix="0" xfId="0">
      <alignment horizontal="center"/>
    </xf>
    <xf numFmtId="2" fontId="24" fillId="0" borderId="89" applyAlignment="1" pivotButton="0" quotePrefix="0" xfId="0">
      <alignment horizontal="center"/>
    </xf>
    <xf numFmtId="2" fontId="24" fillId="0" borderId="90" applyAlignment="1" pivotButton="0" quotePrefix="0" xfId="0">
      <alignment horizontal="center"/>
    </xf>
    <xf numFmtId="2" fontId="26" fillId="0" borderId="3" applyAlignment="1" pivotButton="0" quotePrefix="0" xfId="0">
      <alignment horizontal="center"/>
    </xf>
    <xf numFmtId="2" fontId="15" fillId="10" borderId="11" applyAlignment="1" pivotButton="0" quotePrefix="0" xfId="0">
      <alignment horizontal="right"/>
    </xf>
    <xf numFmtId="2" fontId="26" fillId="10" borderId="41" applyAlignment="1" pivotButton="0" quotePrefix="0" xfId="0">
      <alignment horizontal="center"/>
    </xf>
    <xf numFmtId="2" fontId="15" fillId="10" borderId="41" applyAlignment="1" pivotButton="0" quotePrefix="0" xfId="0">
      <alignment horizontal="center"/>
    </xf>
    <xf numFmtId="2" fontId="0" fillId="10" borderId="33" pivotButton="0" quotePrefix="0" xfId="0"/>
    <xf numFmtId="2" fontId="0" fillId="10" borderId="15" pivotButton="0" quotePrefix="0" xfId="0"/>
    <xf numFmtId="2" fontId="0" fillId="10" borderId="62" pivotButton="0" quotePrefix="0" xfId="0"/>
    <xf numFmtId="2" fontId="0" fillId="0" borderId="0" pivotButton="0" quotePrefix="0" xfId="0"/>
    <xf numFmtId="0" fontId="65" fillId="0" borderId="92" pivotButton="0" quotePrefix="0" xfId="0"/>
    <xf numFmtId="0" fontId="65" fillId="0" borderId="100" applyAlignment="1" pivotButton="0" quotePrefix="0" xfId="0">
      <alignment horizontal="center"/>
    </xf>
    <xf numFmtId="2" fontId="65" fillId="10" borderId="101" applyAlignment="1" pivotButton="0" quotePrefix="0" xfId="0">
      <alignment horizontal="center" vertical="center"/>
    </xf>
    <xf numFmtId="0" fontId="65" fillId="0" borderId="102" applyAlignment="1" pivotButton="0" quotePrefix="0" xfId="0">
      <alignment horizontal="center"/>
    </xf>
    <xf numFmtId="2" fontId="66" fillId="0" borderId="82" applyAlignment="1" pivotButton="0" quotePrefix="0" xfId="0">
      <alignment horizontal="right" vertical="center"/>
    </xf>
    <xf numFmtId="167" fontId="65" fillId="19" borderId="81" applyAlignment="1" pivotButton="0" quotePrefix="0" xfId="3">
      <alignment horizontal="center"/>
    </xf>
    <xf numFmtId="167" fontId="65" fillId="10" borderId="108" applyAlignment="1" pivotButton="0" quotePrefix="0" xfId="3">
      <alignment horizontal="center"/>
    </xf>
    <xf numFmtId="0" fontId="66" fillId="0" borderId="115" applyAlignment="1" pivotButton="0" quotePrefix="0" xfId="0">
      <alignment horizontal="right"/>
    </xf>
    <xf numFmtId="167" fontId="65" fillId="19" borderId="77" applyAlignment="1" pivotButton="0" quotePrefix="0" xfId="0">
      <alignment horizontal="center"/>
    </xf>
    <xf numFmtId="167" fontId="65" fillId="10" borderId="110" applyAlignment="1" pivotButton="0" quotePrefix="0" xfId="0">
      <alignment horizontal="center"/>
    </xf>
    <xf numFmtId="0" fontId="65" fillId="19" borderId="77" applyAlignment="1" pivotButton="0" quotePrefix="0" xfId="0">
      <alignment horizontal="center"/>
    </xf>
    <xf numFmtId="0" fontId="65" fillId="10" borderId="110" applyAlignment="1" pivotButton="0" quotePrefix="0" xfId="0">
      <alignment horizontal="center"/>
    </xf>
    <xf numFmtId="168" fontId="65" fillId="19" borderId="77" applyAlignment="1" pivotButton="0" quotePrefix="0" xfId="3">
      <alignment horizontal="center"/>
    </xf>
    <xf numFmtId="168" fontId="65" fillId="10" borderId="110" applyAlignment="1" pivotButton="0" quotePrefix="0" xfId="3">
      <alignment horizontal="center"/>
    </xf>
    <xf numFmtId="10" fontId="65" fillId="19" borderId="77" applyAlignment="1" pivotButton="0" quotePrefix="0" xfId="4">
      <alignment horizontal="center"/>
    </xf>
    <xf numFmtId="10" fontId="65" fillId="10" borderId="110" applyAlignment="1" pivotButton="0" quotePrefix="0" xfId="4">
      <alignment horizontal="center"/>
    </xf>
    <xf numFmtId="2" fontId="65" fillId="19" borderId="77" applyAlignment="1" pivotButton="0" quotePrefix="0" xfId="0">
      <alignment horizontal="center"/>
    </xf>
    <xf numFmtId="2" fontId="65" fillId="10" borderId="110" applyAlignment="1" pivotButton="0" quotePrefix="0" xfId="0">
      <alignment horizontal="center"/>
    </xf>
    <xf numFmtId="2" fontId="65" fillId="19" borderId="80" applyAlignment="1" pivotButton="0" quotePrefix="0" xfId="0">
      <alignment horizontal="center"/>
    </xf>
    <xf numFmtId="0" fontId="66" fillId="0" borderId="116" applyAlignment="1" pivotButton="0" quotePrefix="0" xfId="0">
      <alignment horizontal="right"/>
    </xf>
    <xf numFmtId="2" fontId="65" fillId="19" borderId="122" applyAlignment="1" pivotButton="0" quotePrefix="0" xfId="0">
      <alignment horizontal="center"/>
    </xf>
    <xf numFmtId="2" fontId="65" fillId="10" borderId="126" applyAlignment="1" pivotButton="0" quotePrefix="0" xfId="0">
      <alignment horizontal="center"/>
    </xf>
    <xf numFmtId="0" fontId="66" fillId="20" borderId="94" applyAlignment="1" pivotButton="0" quotePrefix="0" xfId="0">
      <alignment horizontal="right"/>
    </xf>
    <xf numFmtId="1" fontId="65" fillId="0" borderId="104" applyAlignment="1" pivotButton="0" quotePrefix="0" xfId="0">
      <alignment horizontal="center"/>
    </xf>
    <xf numFmtId="0" fontId="66" fillId="0" borderId="127" applyAlignment="1" pivotButton="0" quotePrefix="0" xfId="0">
      <alignment horizontal="right"/>
    </xf>
    <xf numFmtId="2" fontId="65" fillId="0" borderId="105" applyAlignment="1" pivotButton="0" quotePrefix="0" xfId="0">
      <alignment horizontal="center"/>
    </xf>
    <xf numFmtId="0" fontId="66" fillId="0" borderId="85" applyAlignment="1" pivotButton="0" quotePrefix="0" xfId="0">
      <alignment horizontal="right"/>
    </xf>
    <xf numFmtId="2" fontId="65" fillId="0" borderId="122" applyAlignment="1" pivotButton="0" quotePrefix="0" xfId="0">
      <alignment horizontal="center"/>
    </xf>
    <xf numFmtId="167" fontId="65" fillId="0" borderId="107" applyAlignment="1" pivotButton="0" quotePrefix="0" xfId="3">
      <alignment horizontal="center"/>
    </xf>
    <xf numFmtId="167" fontId="65" fillId="0" borderId="109" applyAlignment="1" pivotButton="0" quotePrefix="0" xfId="0">
      <alignment horizontal="center"/>
    </xf>
    <xf numFmtId="0" fontId="65" fillId="0" borderId="109" applyAlignment="1" pivotButton="0" quotePrefix="0" xfId="0">
      <alignment horizontal="center"/>
    </xf>
    <xf numFmtId="168" fontId="65" fillId="0" borderId="109" applyAlignment="1" pivotButton="0" quotePrefix="0" xfId="3">
      <alignment horizontal="center"/>
    </xf>
    <xf numFmtId="10" fontId="65" fillId="0" borderId="109" applyAlignment="1" pivotButton="0" quotePrefix="0" xfId="4">
      <alignment horizontal="center"/>
    </xf>
    <xf numFmtId="2" fontId="65" fillId="0" borderId="109" applyAlignment="1" pivotButton="0" quotePrefix="0" xfId="0">
      <alignment horizontal="center"/>
    </xf>
    <xf numFmtId="168" fontId="65" fillId="0" borderId="109" applyAlignment="1" pivotButton="0" quotePrefix="0" xfId="0">
      <alignment horizontal="center"/>
    </xf>
    <xf numFmtId="2" fontId="65" fillId="0" borderId="128" applyAlignment="1" pivotButton="0" quotePrefix="0" xfId="0">
      <alignment horizontal="center"/>
    </xf>
    <xf numFmtId="1" fontId="65" fillId="20" borderId="100" applyAlignment="1" pivotButton="0" quotePrefix="0" xfId="0">
      <alignment horizontal="center"/>
    </xf>
    <xf numFmtId="2" fontId="65" fillId="0" borderId="107" applyAlignment="1" pivotButton="0" quotePrefix="0" xfId="0">
      <alignment horizontal="center"/>
    </xf>
    <xf numFmtId="2" fontId="65" fillId="0" borderId="111" applyAlignment="1" pivotButton="0" quotePrefix="0" xfId="0">
      <alignment horizontal="center"/>
    </xf>
    <xf numFmtId="2" fontId="24" fillId="0" borderId="12" applyAlignment="1" pivotButton="0" quotePrefix="0" xfId="0">
      <alignment horizontal="center"/>
    </xf>
    <xf numFmtId="2" fontId="27" fillId="0" borderId="1" pivotButton="0" quotePrefix="0" xfId="0"/>
    <xf numFmtId="2" fontId="24" fillId="0" borderId="71" applyAlignment="1" pivotButton="0" quotePrefix="0" xfId="0">
      <alignment horizontal="center"/>
    </xf>
    <xf numFmtId="2" fontId="24" fillId="0" borderId="71" pivotButton="0" quotePrefix="0" xfId="0"/>
    <xf numFmtId="2" fontId="24" fillId="0" borderId="18" applyAlignment="1" pivotButton="0" quotePrefix="0" xfId="0">
      <alignment horizontal="center" vertical="center"/>
    </xf>
    <xf numFmtId="2" fontId="0" fillId="2" borderId="129" pivotButton="0" quotePrefix="0" xfId="0"/>
    <xf numFmtId="2" fontId="0" fillId="0" borderId="125" pivotButton="0" quotePrefix="0" xfId="0"/>
    <xf numFmtId="2" fontId="0" fillId="0" borderId="130" pivotButton="0" quotePrefix="0" xfId="0"/>
    <xf numFmtId="2" fontId="0" fillId="0" borderId="93" pivotButton="0" quotePrefix="0" xfId="0"/>
    <xf numFmtId="1" fontId="65" fillId="21" borderId="102" applyAlignment="1" pivotButton="0" quotePrefix="0" xfId="0">
      <alignment horizontal="center"/>
    </xf>
    <xf numFmtId="2" fontId="65" fillId="21" borderId="108" applyAlignment="1" pivotButton="0" quotePrefix="0" xfId="0">
      <alignment horizontal="center"/>
    </xf>
    <xf numFmtId="2" fontId="65" fillId="21" borderId="113" applyAlignment="1" pivotButton="0" quotePrefix="0" xfId="0">
      <alignment horizontal="center"/>
    </xf>
    <xf numFmtId="0" fontId="66" fillId="0" borderId="131" applyAlignment="1" pivotButton="0" quotePrefix="0" xfId="0">
      <alignment horizontal="center"/>
    </xf>
    <xf numFmtId="14" fontId="67" fillId="0" borderId="94" applyAlignment="1" pivotButton="0" quotePrefix="0" xfId="0">
      <alignment horizontal="right"/>
    </xf>
    <xf numFmtId="0" fontId="67" fillId="0" borderId="125" applyAlignment="1" pivotButton="0" quotePrefix="0" xfId="0">
      <alignment horizontal="right"/>
    </xf>
    <xf numFmtId="0" fontId="67" fillId="0" borderId="127" applyAlignment="1" pivotButton="0" quotePrefix="0" xfId="0">
      <alignment horizontal="right"/>
    </xf>
    <xf numFmtId="0" fontId="67" fillId="0" borderId="131" pivotButton="0" quotePrefix="0" xfId="0"/>
    <xf numFmtId="0" fontId="67" fillId="0" borderId="130" pivotButton="0" quotePrefix="0" xfId="0"/>
    <xf numFmtId="0" fontId="67" fillId="0" borderId="127" pivotButton="0" quotePrefix="0" xfId="0"/>
    <xf numFmtId="0" fontId="67" fillId="0" borderId="130" applyAlignment="1" pivotButton="0" quotePrefix="0" xfId="0">
      <alignment horizontal="left"/>
    </xf>
    <xf numFmtId="0" fontId="70" fillId="0" borderId="127" pivotButton="0" quotePrefix="0" xfId="0"/>
    <xf numFmtId="0" fontId="71" fillId="0" borderId="127" pivotButton="0" quotePrefix="0" xfId="0"/>
    <xf numFmtId="0" fontId="72" fillId="0" borderId="127" pivotButton="0" quotePrefix="0" xfId="0"/>
    <xf numFmtId="0" fontId="73" fillId="0" borderId="114" pivotButton="0" quotePrefix="0" xfId="0"/>
    <xf numFmtId="0" fontId="74" fillId="0" borderId="132" applyAlignment="1" pivotButton="0" quotePrefix="0" xfId="5">
      <alignment horizontal="right"/>
    </xf>
    <xf numFmtId="0" fontId="73" fillId="0" borderId="127" pivotButton="0" quotePrefix="0" xfId="0"/>
    <xf numFmtId="0" fontId="73" fillId="0" borderId="85" pivotButton="0" quotePrefix="0" xfId="0"/>
    <xf numFmtId="0" fontId="74" fillId="0" borderId="83" applyAlignment="1" pivotButton="0" quotePrefix="0" xfId="5">
      <alignment horizontal="right"/>
    </xf>
    <xf numFmtId="0" fontId="72" fillId="0" borderId="133" pivotButton="0" quotePrefix="0" xfId="0"/>
    <xf numFmtId="14" fontId="67" fillId="0" borderId="93" applyAlignment="1" pivotButton="0" quotePrefix="0" xfId="0">
      <alignment horizontal="right"/>
    </xf>
    <xf numFmtId="0" fontId="67" fillId="0" borderId="94" applyAlignment="1" pivotButton="0" quotePrefix="0" xfId="0">
      <alignment horizontal="right"/>
    </xf>
    <xf numFmtId="0" fontId="69" fillId="0" borderId="82" applyAlignment="1" applyProtection="1" pivotButton="0" quotePrefix="0" xfId="0">
      <alignment horizontal="right"/>
      <protection locked="0" hidden="0"/>
    </xf>
    <xf numFmtId="0" fontId="69" fillId="0" borderId="114" applyAlignment="1" applyProtection="1" pivotButton="0" quotePrefix="0" xfId="0">
      <alignment horizontal="right"/>
      <protection locked="0" hidden="0"/>
    </xf>
    <xf numFmtId="0" fontId="72" fillId="0" borderId="114" applyAlignment="1" pivotButton="0" quotePrefix="0" xfId="0">
      <alignment horizontal="right"/>
    </xf>
    <xf numFmtId="0" fontId="74" fillId="0" borderId="114" applyAlignment="1" pivotButton="0" quotePrefix="0" xfId="5">
      <alignment horizontal="right"/>
    </xf>
    <xf numFmtId="0" fontId="74" fillId="0" borderId="85" applyAlignment="1" pivotButton="0" quotePrefix="0" xfId="5">
      <alignment horizontal="right"/>
    </xf>
    <xf numFmtId="0" fontId="72" fillId="0" borderId="132" applyAlignment="1" pivotButton="0" quotePrefix="0" xfId="0">
      <alignment horizontal="right"/>
    </xf>
    <xf numFmtId="0" fontId="71" fillId="0" borderId="114" pivotButton="0" quotePrefix="0" xfId="0"/>
    <xf numFmtId="0" fontId="72" fillId="0" borderId="136" applyAlignment="1" pivotButton="0" quotePrefix="0" xfId="0">
      <alignment horizontal="right"/>
    </xf>
    <xf numFmtId="0" fontId="73" fillId="0" borderId="132" applyAlignment="1" applyProtection="1" pivotButton="0" quotePrefix="0" xfId="0">
      <alignment horizontal="right"/>
      <protection locked="0" hidden="0"/>
    </xf>
    <xf numFmtId="0" fontId="72" fillId="0" borderId="83" applyAlignment="1" pivotButton="0" quotePrefix="0" xfId="0">
      <alignment horizontal="right"/>
    </xf>
    <xf numFmtId="14" fontId="67" fillId="0" borderId="94" pivotButton="0" quotePrefix="0" xfId="0"/>
    <xf numFmtId="0" fontId="72" fillId="0" borderId="82" pivotButton="0" quotePrefix="0" xfId="0"/>
    <xf numFmtId="0" fontId="72" fillId="0" borderId="114" pivotButton="0" quotePrefix="0" xfId="0"/>
    <xf numFmtId="0" fontId="72" fillId="0" borderId="85" pivotButton="0" quotePrefix="0" xfId="0"/>
    <xf numFmtId="0" fontId="69" fillId="0" borderId="132" applyAlignment="1" applyProtection="1" pivotButton="0" quotePrefix="0" xfId="0">
      <alignment horizontal="right"/>
      <protection locked="0" hidden="0"/>
    </xf>
    <xf numFmtId="0" fontId="69" fillId="0" borderId="132" applyProtection="1" pivotButton="0" quotePrefix="0" xfId="0">
      <protection locked="0" hidden="0"/>
    </xf>
    <xf numFmtId="0" fontId="73" fillId="0" borderId="83" applyProtection="1" pivotButton="0" quotePrefix="0" xfId="0">
      <protection locked="0" hidden="0"/>
    </xf>
    <xf numFmtId="0" fontId="72" fillId="0" borderId="114" applyAlignment="1" pivotButton="0" quotePrefix="0" xfId="0">
      <alignment horizontal="left"/>
    </xf>
    <xf numFmtId="0" fontId="67" fillId="0" borderId="18" pivotButton="0" quotePrefix="0" xfId="0"/>
    <xf numFmtId="0" fontId="67" fillId="0" borderId="18" applyAlignment="1" pivotButton="0" quotePrefix="0" xfId="0">
      <alignment horizontal="left"/>
    </xf>
    <xf numFmtId="0" fontId="68" fillId="0" borderId="18" pivotButton="0" quotePrefix="0" xfId="0"/>
    <xf numFmtId="0" fontId="69" fillId="0" borderId="18" applyAlignment="1" applyProtection="1" pivotButton="0" quotePrefix="0" xfId="0">
      <alignment horizontal="right"/>
      <protection locked="0" hidden="0"/>
    </xf>
    <xf numFmtId="0" fontId="73" fillId="0" borderId="18" applyAlignment="1" applyProtection="1" pivotButton="0" quotePrefix="0" xfId="0">
      <alignment horizontal="right"/>
      <protection locked="0" hidden="0"/>
    </xf>
    <xf numFmtId="0" fontId="73" fillId="0" borderId="18" applyProtection="1" pivotButton="0" quotePrefix="0" xfId="0">
      <protection locked="0" hidden="0"/>
    </xf>
    <xf numFmtId="0" fontId="72" fillId="0" borderId="134" pivotButton="0" quotePrefix="0" xfId="0"/>
    <xf numFmtId="0" fontId="72" fillId="0" borderId="135" pivotButton="0" quotePrefix="0" xfId="0"/>
    <xf numFmtId="0" fontId="69" fillId="0" borderId="135" pivotButton="0" quotePrefix="0" xfId="0"/>
    <xf numFmtId="0" fontId="69" fillId="0" borderId="95" pivotButton="0" quotePrefix="0" xfId="0"/>
    <xf numFmtId="0" fontId="69" fillId="0" borderId="114" pivotButton="0" quotePrefix="0" xfId="0"/>
    <xf numFmtId="169" fontId="65" fillId="19" borderId="77" applyAlignment="1" pivotButton="0" quotePrefix="0" xfId="3">
      <alignment horizontal="center"/>
    </xf>
    <xf numFmtId="0" fontId="72" fillId="0" borderId="136" applyAlignment="1" pivotButton="0" quotePrefix="0" xfId="0">
      <alignment horizontal="left"/>
    </xf>
    <xf numFmtId="0" fontId="72" fillId="0" borderId="132" applyAlignment="1" pivotButton="0" quotePrefix="0" xfId="0">
      <alignment horizontal="left"/>
    </xf>
    <xf numFmtId="0" fontId="69" fillId="0" borderId="132" applyAlignment="1" applyProtection="1" pivotButton="0" quotePrefix="0" xfId="0">
      <alignment horizontal="left"/>
      <protection locked="0" hidden="0"/>
    </xf>
    <xf numFmtId="0" fontId="73" fillId="0" borderId="83" applyAlignment="1" applyProtection="1" pivotButton="0" quotePrefix="0" xfId="0">
      <alignment horizontal="left"/>
      <protection locked="0" hidden="0"/>
    </xf>
    <xf numFmtId="0" fontId="50" fillId="0" borderId="82" applyAlignment="1" applyProtection="1" pivotButton="0" quotePrefix="0" xfId="0">
      <alignment horizontal="right"/>
      <protection locked="0" hidden="0"/>
    </xf>
    <xf numFmtId="0" fontId="50" fillId="0" borderId="114" applyAlignment="1" applyProtection="1" pivotButton="0" quotePrefix="0" xfId="0">
      <alignment horizontal="right"/>
      <protection locked="0" hidden="0"/>
    </xf>
    <xf numFmtId="0" fontId="76" fillId="0" borderId="114" applyAlignment="1" pivotButton="0" quotePrefix="0" xfId="5">
      <alignment horizontal="right"/>
    </xf>
    <xf numFmtId="2" fontId="69" fillId="0" borderId="95" pivotButton="0" quotePrefix="0" xfId="0"/>
    <xf numFmtId="167" fontId="65" fillId="22" borderId="110" applyAlignment="1" pivotButton="0" quotePrefix="0" xfId="0">
      <alignment horizontal="center"/>
    </xf>
    <xf numFmtId="167" fontId="65" fillId="22" borderId="81" applyAlignment="1" pivotButton="0" quotePrefix="0" xfId="3">
      <alignment horizontal="center"/>
    </xf>
    <xf numFmtId="0" fontId="65" fillId="22" borderId="77" applyAlignment="1" pivotButton="0" quotePrefix="0" xfId="0">
      <alignment horizontal="center"/>
    </xf>
    <xf numFmtId="168" fontId="65" fillId="22" borderId="77" applyAlignment="1" pivotButton="0" quotePrefix="0" xfId="3">
      <alignment horizontal="center"/>
    </xf>
    <xf numFmtId="10" fontId="65" fillId="22" borderId="77" applyAlignment="1" pivotButton="0" quotePrefix="0" xfId="4">
      <alignment horizontal="center"/>
    </xf>
    <xf numFmtId="2" fontId="65" fillId="22" borderId="77" applyAlignment="1" pivotButton="0" quotePrefix="0" xfId="0">
      <alignment horizontal="center"/>
    </xf>
    <xf numFmtId="2" fontId="65" fillId="22" borderId="80" applyAlignment="1" pivotButton="0" quotePrefix="0" xfId="0">
      <alignment horizontal="center"/>
    </xf>
    <xf numFmtId="2" fontId="65" fillId="22" borderId="122" applyAlignment="1" pivotButton="0" quotePrefix="0" xfId="0">
      <alignment horizontal="center"/>
    </xf>
    <xf numFmtId="167" fontId="65" fillId="22" borderId="77" applyAlignment="1" pivotButton="0" quotePrefix="0" xfId="0">
      <alignment horizontal="center"/>
    </xf>
    <xf numFmtId="168" fontId="65" fillId="22" borderId="109" applyAlignment="1" pivotButton="0" quotePrefix="0" xfId="3">
      <alignment horizontal="center"/>
    </xf>
    <xf numFmtId="167" fontId="65" fillId="10" borderId="109" applyAlignment="1" pivotButton="0" quotePrefix="0" xfId="0">
      <alignment horizontal="center"/>
    </xf>
    <xf numFmtId="168" fontId="65" fillId="22" borderId="106" applyAlignment="1" pivotButton="0" quotePrefix="0" xfId="3">
      <alignment horizontal="center"/>
    </xf>
    <xf numFmtId="167" fontId="65" fillId="10" borderId="137" applyAlignment="1" pivotButton="0" quotePrefix="0" xfId="0">
      <alignment horizontal="center"/>
    </xf>
    <xf numFmtId="4" fontId="7" fillId="10" borderId="77" pivotButton="0" quotePrefix="0" xfId="0"/>
    <xf numFmtId="49" fontId="7" fillId="10" borderId="94" pivotButton="0" quotePrefix="0" xfId="0"/>
    <xf numFmtId="0" fontId="8" fillId="10" borderId="94" applyAlignment="1" pivotButton="0" quotePrefix="0" xfId="0">
      <alignment horizontal="right"/>
    </xf>
    <xf numFmtId="49" fontId="8" fillId="10" borderId="94" pivotButton="0" quotePrefix="0" xfId="0"/>
    <xf numFmtId="2" fontId="8" fillId="10" borderId="104" applyAlignment="1" pivotButton="0" quotePrefix="0" xfId="0">
      <alignment horizontal="center"/>
    </xf>
    <xf numFmtId="49" fontId="8" fillId="10" borderId="101" applyAlignment="1" pivotButton="0" quotePrefix="0" xfId="0">
      <alignment horizontal="center"/>
    </xf>
    <xf numFmtId="0" fontId="8" fillId="10" borderId="101" applyAlignment="1" pivotButton="0" quotePrefix="0" xfId="0">
      <alignment horizontal="center"/>
    </xf>
    <xf numFmtId="2" fontId="11" fillId="10" borderId="101" applyAlignment="1" pivotButton="0" quotePrefix="0" xfId="0">
      <alignment horizontal="center"/>
    </xf>
    <xf numFmtId="49" fontId="8" fillId="10" borderId="117" applyAlignment="1" pivotButton="0" quotePrefix="0" xfId="0">
      <alignment horizontal="center"/>
    </xf>
    <xf numFmtId="49" fontId="8" fillId="10" borderId="100" applyAlignment="1" pivotButton="0" quotePrefix="0" xfId="0">
      <alignment horizontal="center"/>
    </xf>
    <xf numFmtId="49" fontId="8" fillId="10" borderId="102" applyAlignment="1" pivotButton="0" quotePrefix="0" xfId="0">
      <alignment horizontal="center"/>
    </xf>
    <xf numFmtId="0" fontId="50" fillId="10" borderId="114" applyAlignment="1" pivotButton="0" quotePrefix="0" xfId="0">
      <alignment horizontal="right"/>
    </xf>
    <xf numFmtId="0" fontId="50" fillId="10" borderId="115" applyAlignment="1" pivotButton="0" quotePrefix="0" xfId="0">
      <alignment horizontal="right"/>
    </xf>
    <xf numFmtId="0" fontId="77" fillId="10" borderId="115" applyAlignment="1" pivotButton="0" quotePrefix="0" xfId="0">
      <alignment horizontal="right"/>
    </xf>
    <xf numFmtId="0" fontId="7" fillId="10" borderId="19" pivotButton="0" quotePrefix="0" xfId="0"/>
    <xf numFmtId="0" fontId="16" fillId="2" borderId="77" pivotButton="0" quotePrefix="0" xfId="0"/>
    <xf numFmtId="49" fontId="17" fillId="2" borderId="77" pivotButton="0" quotePrefix="0" xfId="0"/>
    <xf numFmtId="2" fontId="16" fillId="2" borderId="77" pivotButton="0" quotePrefix="0" xfId="0"/>
    <xf numFmtId="165" fontId="16" fillId="2" borderId="77" pivotButton="0" quotePrefix="0" xfId="0"/>
    <xf numFmtId="0" fontId="13" fillId="2" borderId="77" pivotButton="0" quotePrefix="0" xfId="0"/>
    <xf numFmtId="49" fontId="7" fillId="2" borderId="77" pivotButton="0" quotePrefix="0" xfId="0"/>
    <xf numFmtId="165" fontId="12" fillId="2" borderId="77" applyAlignment="1" pivotButton="0" quotePrefix="0" xfId="0">
      <alignment horizontal="right"/>
    </xf>
    <xf numFmtId="0" fontId="16" fillId="2" borderId="80" pivotButton="0" quotePrefix="0" xfId="0"/>
    <xf numFmtId="49" fontId="17" fillId="2" borderId="80" applyAlignment="1" pivotButton="0" quotePrefix="0" xfId="0">
      <alignment horizontal="center"/>
    </xf>
    <xf numFmtId="2" fontId="17" fillId="2" borderId="80" applyAlignment="1" pivotButton="0" quotePrefix="0" xfId="0">
      <alignment horizontal="center"/>
    </xf>
    <xf numFmtId="0" fontId="17" fillId="2" borderId="80" applyAlignment="1" pivotButton="0" quotePrefix="0" xfId="0">
      <alignment horizontal="center"/>
    </xf>
    <xf numFmtId="165" fontId="16" fillId="2" borderId="80" applyAlignment="1" pivotButton="0" quotePrefix="0" xfId="0">
      <alignment horizontal="center"/>
    </xf>
    <xf numFmtId="170" fontId="8" fillId="2" borderId="80" applyAlignment="1" pivotButton="0" quotePrefix="0" xfId="0">
      <alignment horizontal="center"/>
    </xf>
    <xf numFmtId="165" fontId="8" fillId="2" borderId="80" applyAlignment="1" pivotButton="0" quotePrefix="0" xfId="0">
      <alignment horizontal="center"/>
    </xf>
    <xf numFmtId="0" fontId="16" fillId="2" borderId="80" applyAlignment="1" pivotButton="0" quotePrefix="0" xfId="0">
      <alignment horizontal="center" vertical="center"/>
    </xf>
    <xf numFmtId="0" fontId="13" fillId="2" borderId="81" pivotButton="0" quotePrefix="0" xfId="0"/>
    <xf numFmtId="0" fontId="12" fillId="2" borderId="81" applyAlignment="1" pivotButton="0" quotePrefix="0" xfId="0">
      <alignment vertical="center"/>
    </xf>
    <xf numFmtId="2" fontId="13" fillId="2" borderId="81" pivotButton="0" quotePrefix="0" xfId="0"/>
    <xf numFmtId="164" fontId="13" fillId="2" borderId="81" pivotButton="0" quotePrefix="0" xfId="0"/>
    <xf numFmtId="165" fontId="13" fillId="2" borderId="81" pivotButton="0" quotePrefix="0" xfId="0"/>
    <xf numFmtId="2" fontId="13" fillId="4" borderId="81" pivotButton="0" quotePrefix="0" xfId="0"/>
    <xf numFmtId="4" fontId="13" fillId="5" borderId="81" pivotButton="0" quotePrefix="0" xfId="0"/>
    <xf numFmtId="49" fontId="15" fillId="2" borderId="138" applyAlignment="1" pivotButton="0" quotePrefix="0" xfId="0">
      <alignment horizontal="center"/>
    </xf>
    <xf numFmtId="0" fontId="15" fillId="2" borderId="139" applyAlignment="1" pivotButton="0" quotePrefix="0" xfId="0">
      <alignment horizontal="center"/>
    </xf>
    <xf numFmtId="2" fontId="19" fillId="2" borderId="139" applyAlignment="1" pivotButton="0" quotePrefix="0" xfId="0">
      <alignment horizontal="center"/>
    </xf>
    <xf numFmtId="49" fontId="19" fillId="2" borderId="139" applyAlignment="1" pivotButton="0" quotePrefix="0" xfId="0">
      <alignment horizontal="center"/>
    </xf>
    <xf numFmtId="0" fontId="19" fillId="2" borderId="139" applyAlignment="1" pivotButton="0" quotePrefix="0" xfId="0">
      <alignment horizontal="center"/>
    </xf>
    <xf numFmtId="49" fontId="12" fillId="2" borderId="139" applyAlignment="1" pivotButton="0" quotePrefix="0" xfId="0">
      <alignment horizontal="center"/>
    </xf>
    <xf numFmtId="49" fontId="8" fillId="2" borderId="139" applyAlignment="1" pivotButton="0" quotePrefix="0" xfId="0">
      <alignment horizontal="center"/>
    </xf>
    <xf numFmtId="49" fontId="20" fillId="2" borderId="140" applyAlignment="1" pivotButton="0" quotePrefix="0" xfId="0">
      <alignment horizontal="center"/>
    </xf>
    <xf numFmtId="0" fontId="13" fillId="2" borderId="109" pivotButton="0" quotePrefix="0" xfId="0"/>
    <xf numFmtId="49" fontId="7" fillId="2" borderId="109" pivotButton="0" quotePrefix="0" xfId="0"/>
    <xf numFmtId="164" fontId="13" fillId="3" borderId="110" pivotButton="0" quotePrefix="0" xfId="0"/>
    <xf numFmtId="0" fontId="12" fillId="2" borderId="111" applyAlignment="1" pivotButton="0" quotePrefix="0" xfId="0">
      <alignment vertical="center"/>
    </xf>
    <xf numFmtId="0" fontId="12" fillId="2" borderId="112" applyAlignment="1" pivotButton="0" quotePrefix="0" xfId="0">
      <alignment vertical="center"/>
    </xf>
    <xf numFmtId="49" fontId="19" fillId="2" borderId="140" applyAlignment="1" pivotButton="0" quotePrefix="0" xfId="0">
      <alignment horizontal="center"/>
    </xf>
    <xf numFmtId="49" fontId="20" fillId="2" borderId="141" applyAlignment="1" pivotButton="0" quotePrefix="0" xfId="0">
      <alignment horizontal="center"/>
    </xf>
    <xf numFmtId="2" fontId="13" fillId="3" borderId="106" pivotButton="0" quotePrefix="0" xfId="0"/>
    <xf numFmtId="49" fontId="12" fillId="2" borderId="138" applyAlignment="1" pivotButton="0" quotePrefix="0" xfId="0">
      <alignment horizontal="center"/>
    </xf>
    <xf numFmtId="49" fontId="12" fillId="2" borderId="140" applyAlignment="1" pivotButton="0" quotePrefix="0" xfId="0">
      <alignment horizontal="center"/>
    </xf>
    <xf numFmtId="164" fontId="12" fillId="2" borderId="118" pivotButton="0" quotePrefix="0" xfId="0"/>
    <xf numFmtId="2" fontId="13" fillId="3" borderId="100" pivotButton="0" quotePrefix="0" xfId="0"/>
    <xf numFmtId="2" fontId="13" fillId="3" borderId="101" pivotButton="0" quotePrefix="0" xfId="0"/>
    <xf numFmtId="2" fontId="13" fillId="3" borderId="102" pivotButton="0" quotePrefix="0" xfId="0"/>
    <xf numFmtId="2" fontId="13" fillId="3" borderId="104" pivotButton="0" quotePrefix="0" xfId="0"/>
    <xf numFmtId="164" fontId="13" fillId="3" borderId="102" pivotButton="0" quotePrefix="0" xfId="0"/>
    <xf numFmtId="49" fontId="15" fillId="2" borderId="142" applyAlignment="1" pivotButton="0" quotePrefix="0" xfId="0">
      <alignment horizontal="center"/>
    </xf>
    <xf numFmtId="0" fontId="16" fillId="2" borderId="79" pivotButton="0" quotePrefix="0" xfId="0"/>
    <xf numFmtId="2" fontId="19" fillId="2" borderId="138" applyAlignment="1" pivotButton="0" quotePrefix="0" xfId="0">
      <alignment horizontal="center"/>
    </xf>
    <xf numFmtId="49" fontId="21" fillId="2" borderId="111" applyAlignment="1" pivotButton="0" quotePrefix="0" xfId="0">
      <alignment horizontal="center" vertical="center"/>
    </xf>
    <xf numFmtId="0" fontId="21" fillId="2" borderId="112" applyAlignment="1" pivotButton="0" quotePrefix="0" xfId="0">
      <alignment horizontal="center"/>
    </xf>
    <xf numFmtId="49" fontId="21" fillId="2" borderId="112" applyAlignment="1" pivotButton="0" quotePrefix="0" xfId="0">
      <alignment horizontal="center" vertical="center"/>
    </xf>
    <xf numFmtId="49" fontId="19" fillId="2" borderId="112" applyAlignment="1" pivotButton="0" quotePrefix="0" xfId="0">
      <alignment horizontal="center"/>
    </xf>
    <xf numFmtId="0" fontId="19" fillId="2" borderId="112" applyAlignment="1" pivotButton="0" quotePrefix="0" xfId="0">
      <alignment horizontal="center"/>
    </xf>
    <xf numFmtId="0" fontId="21" fillId="2" borderId="113" applyAlignment="1" pivotButton="0" quotePrefix="0" xfId="0">
      <alignment horizontal="center"/>
    </xf>
    <xf numFmtId="49" fontId="12" fillId="2" borderId="111" applyAlignment="1" pivotButton="0" quotePrefix="0" xfId="0">
      <alignment horizontal="center"/>
    </xf>
    <xf numFmtId="49" fontId="12" fillId="2" borderId="112" applyAlignment="1" pivotButton="0" quotePrefix="0" xfId="0">
      <alignment horizontal="center"/>
    </xf>
    <xf numFmtId="49" fontId="8" fillId="2" borderId="112" applyAlignment="1" pivotButton="0" quotePrefix="0" xfId="0">
      <alignment horizontal="center"/>
    </xf>
    <xf numFmtId="0" fontId="8" fillId="2" borderId="112" applyAlignment="1" pivotButton="0" quotePrefix="0" xfId="0">
      <alignment horizontal="center"/>
    </xf>
    <xf numFmtId="0" fontId="22" fillId="2" borderId="112" applyAlignment="1" pivotButton="0" quotePrefix="0" xfId="0">
      <alignment horizontal="center"/>
    </xf>
    <xf numFmtId="49" fontId="12" fillId="2" borderId="113" applyAlignment="1" pivotButton="0" quotePrefix="0" xfId="0">
      <alignment horizontal="center"/>
    </xf>
    <xf numFmtId="49" fontId="12" fillId="2" borderId="122" applyAlignment="1" pivotButton="0" quotePrefix="0" xfId="0">
      <alignment horizontal="center"/>
    </xf>
    <xf numFmtId="49" fontId="15" fillId="2" borderId="113" applyAlignment="1" pivotButton="0" quotePrefix="0" xfId="0">
      <alignment horizontal="center"/>
    </xf>
    <xf numFmtId="0" fontId="49" fillId="2" borderId="10" pivotButton="0" quotePrefix="0" xfId="0"/>
    <xf numFmtId="49" fontId="78" fillId="2" borderId="10" applyAlignment="1" pivotButton="0" quotePrefix="0" xfId="0">
      <alignment horizontal="center"/>
    </xf>
    <xf numFmtId="49" fontId="79" fillId="2" borderId="10" pivotButton="0" quotePrefix="0" xfId="0"/>
    <xf numFmtId="49" fontId="80" fillId="2" borderId="54" applyAlignment="1" pivotButton="0" quotePrefix="0" xfId="0">
      <alignment horizontal="center"/>
    </xf>
    <xf numFmtId="49" fontId="81" fillId="2" borderId="63" applyAlignment="1" pivotButton="0" quotePrefix="0" xfId="0">
      <alignment vertical="center"/>
    </xf>
    <xf numFmtId="0" fontId="49" fillId="2" borderId="48" pivotButton="0" quotePrefix="0" xfId="0"/>
    <xf numFmtId="49" fontId="82" fillId="2" borderId="63" pivotButton="0" quotePrefix="0" xfId="0"/>
    <xf numFmtId="49" fontId="83" fillId="2" borderId="29" pivotButton="0" quotePrefix="0" xfId="0"/>
    <xf numFmtId="49" fontId="38" fillId="2" borderId="63" pivotButton="0" quotePrefix="0" xfId="0"/>
    <xf numFmtId="2" fontId="38" fillId="10" borderId="29" applyAlignment="1" pivotButton="0" quotePrefix="0" xfId="0">
      <alignment horizontal="right" vertical="center"/>
    </xf>
    <xf numFmtId="49" fontId="38" fillId="2" borderId="63" applyAlignment="1" pivotButton="0" quotePrefix="0" xfId="0">
      <alignment horizontal="left"/>
    </xf>
    <xf numFmtId="49" fontId="83" fillId="2" borderId="63" pivotButton="0" quotePrefix="0" xfId="0"/>
    <xf numFmtId="2" fontId="38" fillId="10" borderId="29" applyAlignment="1" pivotButton="0" quotePrefix="0" xfId="0">
      <alignment vertical="center"/>
    </xf>
    <xf numFmtId="0" fontId="38" fillId="10" borderId="29" applyAlignment="1" pivotButton="0" quotePrefix="0" xfId="0">
      <alignment vertical="center"/>
    </xf>
    <xf numFmtId="0" fontId="38" fillId="10" borderId="29" pivotButton="0" quotePrefix="0" xfId="0"/>
    <xf numFmtId="2" fontId="38" fillId="10" borderId="28" applyAlignment="1" pivotButton="0" quotePrefix="0" xfId="0">
      <alignment horizontal="right" vertical="center"/>
    </xf>
    <xf numFmtId="49" fontId="84" fillId="2" borderId="51" applyAlignment="1" pivotButton="0" quotePrefix="0" xfId="0">
      <alignment vertical="center"/>
    </xf>
    <xf numFmtId="2" fontId="83" fillId="10" borderId="3" applyAlignment="1" pivotButton="0" quotePrefix="0" xfId="0">
      <alignment horizontal="right" vertical="center"/>
    </xf>
    <xf numFmtId="2" fontId="83" fillId="10" borderId="3" applyAlignment="1" pivotButton="0" quotePrefix="0" xfId="0">
      <alignment vertical="center"/>
    </xf>
    <xf numFmtId="2" fontId="38" fillId="10" borderId="24" applyAlignment="1" pivotButton="0" quotePrefix="0" xfId="0">
      <alignment horizontal="right" vertical="center"/>
    </xf>
    <xf numFmtId="49" fontId="38" fillId="2" borderId="74" pivotButton="0" quotePrefix="0" xfId="0"/>
    <xf numFmtId="49" fontId="84" fillId="2" borderId="75" applyAlignment="1" pivotButton="0" quotePrefix="0" xfId="0">
      <alignment vertical="center"/>
    </xf>
    <xf numFmtId="0" fontId="38" fillId="2" borderId="76" pivotButton="0" quotePrefix="0" xfId="0"/>
    <xf numFmtId="49" fontId="83" fillId="2" borderId="63" applyAlignment="1" pivotButton="0" quotePrefix="0" xfId="0">
      <alignment vertical="center"/>
    </xf>
    <xf numFmtId="49" fontId="84" fillId="2" borderId="63" pivotButton="0" quotePrefix="0" xfId="0"/>
    <xf numFmtId="2" fontId="38" fillId="10" borderId="29" pivotButton="0" quotePrefix="0" xfId="0"/>
    <xf numFmtId="49" fontId="84" fillId="2" borderId="63" applyAlignment="1" pivotButton="0" quotePrefix="0" xfId="0">
      <alignment vertical="center"/>
    </xf>
    <xf numFmtId="0" fontId="38" fillId="2" borderId="48" pivotButton="0" quotePrefix="0" xfId="0"/>
    <xf numFmtId="2" fontId="38" fillId="10" borderId="84" applyAlignment="1" pivotButton="0" quotePrefix="0" xfId="0">
      <alignment horizontal="right" vertical="center"/>
    </xf>
    <xf numFmtId="2" fontId="19" fillId="10" borderId="139" applyAlignment="1" pivotButton="0" quotePrefix="0" xfId="0">
      <alignment horizontal="center"/>
    </xf>
    <xf numFmtId="49" fontId="21" fillId="10" borderId="112" pivotButton="0" quotePrefix="0" xfId="0"/>
    <xf numFmtId="2" fontId="13" fillId="10" borderId="77" pivotButton="0" quotePrefix="0" xfId="0"/>
    <xf numFmtId="0" fontId="29" fillId="2" borderId="144" pivotButton="0" quotePrefix="0" xfId="0"/>
    <xf numFmtId="2" fontId="38" fillId="10" borderId="24" applyAlignment="1" pivotButton="0" quotePrefix="0" xfId="0">
      <alignment vertical="center"/>
    </xf>
    <xf numFmtId="2" fontId="38" fillId="10" borderId="28" applyAlignment="1" pivotButton="0" quotePrefix="0" xfId="0">
      <alignment vertical="center"/>
    </xf>
    <xf numFmtId="0" fontId="7" fillId="10" borderId="6" pivotButton="0" quotePrefix="0" xfId="0"/>
    <xf numFmtId="2" fontId="8" fillId="10" borderId="62" applyAlignment="1" pivotButton="0" quotePrefix="0" xfId="0">
      <alignment vertical="center"/>
    </xf>
    <xf numFmtId="0" fontId="9" fillId="10" borderId="37" pivotButton="0" quotePrefix="0" xfId="0"/>
    <xf numFmtId="0" fontId="9" fillId="10" borderId="10" pivotButton="0" quotePrefix="0" xfId="0"/>
    <xf numFmtId="0" fontId="9" fillId="10" borderId="34" pivotButton="0" quotePrefix="0" xfId="0"/>
    <xf numFmtId="0" fontId="9" fillId="10" borderId="35" pivotButton="0" quotePrefix="0" xfId="0"/>
    <xf numFmtId="0" fontId="0" fillId="10" borderId="10" pivotButton="0" quotePrefix="0" xfId="0"/>
    <xf numFmtId="14" fontId="24" fillId="2" borderId="53" applyAlignment="1" pivotButton="0" quotePrefix="0" xfId="0">
      <alignment horizontal="center"/>
    </xf>
    <xf numFmtId="14" fontId="24" fillId="6" borderId="53" applyAlignment="1" pivotButton="0" quotePrefix="0" xfId="0">
      <alignment horizontal="center"/>
    </xf>
    <xf numFmtId="14" fontId="24" fillId="2" borderId="8" pivotButton="0" quotePrefix="0" xfId="0"/>
    <xf numFmtId="14" fontId="24" fillId="6" borderId="53" applyAlignment="1" pivotButton="0" quotePrefix="0" xfId="0">
      <alignment horizontal="center" vertical="center"/>
    </xf>
    <xf numFmtId="14" fontId="24" fillId="2" borderId="65" applyAlignment="1" pivotButton="0" quotePrefix="0" xfId="0">
      <alignment horizontal="center"/>
    </xf>
    <xf numFmtId="14" fontId="24" fillId="2" borderId="9" pivotButton="0" quotePrefix="0" xfId="0"/>
    <xf numFmtId="0" fontId="7" fillId="10" borderId="96" pivotButton="0" quotePrefix="0" xfId="0"/>
    <xf numFmtId="2" fontId="50" fillId="10" borderId="81" pivotButton="0" quotePrefix="0" xfId="0"/>
    <xf numFmtId="2" fontId="50" fillId="10" borderId="77" pivotButton="0" quotePrefix="0" xfId="0"/>
    <xf numFmtId="4" fontId="13" fillId="10" borderId="77" pivotButton="0" quotePrefix="0" xfId="0"/>
    <xf numFmtId="164" fontId="0" fillId="0" borderId="0" pivotButton="0" quotePrefix="0" xfId="0"/>
    <xf numFmtId="2" fontId="38" fillId="10" borderId="0" pivotButton="0" quotePrefix="0" xfId="0"/>
    <xf numFmtId="2" fontId="38" fillId="10" borderId="29" applyAlignment="1" pivotButton="0" quotePrefix="0" xfId="3">
      <alignment vertical="center"/>
    </xf>
    <xf numFmtId="14" fontId="40" fillId="2" borderId="53" applyAlignment="1" pivotButton="0" quotePrefix="0" xfId="0">
      <alignment horizontal="center"/>
    </xf>
    <xf numFmtId="165" fontId="8" fillId="10" borderId="115" pivotButton="0" quotePrefix="0" xfId="11"/>
    <xf numFmtId="14" fontId="40" fillId="7" borderId="53" applyAlignment="1" pivotButton="0" quotePrefix="0" xfId="0">
      <alignment horizontal="center"/>
    </xf>
    <xf numFmtId="14" fontId="40" fillId="2" borderId="73" pivotButton="0" quotePrefix="0" xfId="0"/>
    <xf numFmtId="14" fontId="41" fillId="2" borderId="3" applyAlignment="1" pivotButton="0" quotePrefix="0" xfId="0">
      <alignment horizontal="center"/>
    </xf>
    <xf numFmtId="14" fontId="40" fillId="7" borderId="59" applyAlignment="1" pivotButton="0" quotePrefix="0" xfId="0">
      <alignment horizontal="center" vertical="center"/>
    </xf>
    <xf numFmtId="14" fontId="40" fillId="2" borderId="8" pivotButton="0" quotePrefix="0" xfId="0"/>
    <xf numFmtId="14" fontId="40" fillId="7" borderId="53" applyAlignment="1" pivotButton="0" quotePrefix="0" xfId="0">
      <alignment horizontal="center" vertical="center"/>
    </xf>
    <xf numFmtId="14" fontId="40" fillId="2" borderId="9" pivotButton="0" quotePrefix="0" xfId="0"/>
    <xf numFmtId="49" fontId="8" fillId="10" borderId="104" applyAlignment="1" pivotButton="0" quotePrefix="0" xfId="0">
      <alignment horizontal="center"/>
    </xf>
    <xf numFmtId="164" fontId="7" fillId="10" borderId="105" pivotButton="0" quotePrefix="0" xfId="0"/>
    <xf numFmtId="164" fontId="7" fillId="10" borderId="106" pivotButton="0" quotePrefix="0" xfId="0"/>
    <xf numFmtId="3" fontId="7" fillId="10" borderId="109" pivotButton="0" quotePrefix="0" xfId="0"/>
    <xf numFmtId="3" fontId="7" fillId="10" borderId="77" pivotButton="0" quotePrefix="0" xfId="0"/>
    <xf numFmtId="3" fontId="7" fillId="10" borderId="107" pivotButton="0" quotePrefix="0" xfId="0"/>
    <xf numFmtId="3" fontId="7" fillId="10" borderId="81" pivotButton="0" quotePrefix="0" xfId="0"/>
    <xf numFmtId="2" fontId="63" fillId="0" borderId="44" pivotButton="0" quotePrefix="0" xfId="0"/>
    <xf numFmtId="167" fontId="0" fillId="0" borderId="0" pivotButton="0" quotePrefix="0" xfId="0"/>
    <xf numFmtId="171" fontId="14" fillId="10" borderId="81" applyAlignment="1" pivotButton="0" quotePrefix="0" xfId="3">
      <alignment horizontal="center"/>
    </xf>
    <xf numFmtId="10" fontId="24" fillId="8" borderId="61" applyAlignment="1" pivotButton="0" quotePrefix="0" xfId="0">
      <alignment horizontal="center"/>
    </xf>
    <xf numFmtId="0" fontId="7" fillId="10" borderId="62" pivotButton="0" quotePrefix="0" xfId="0"/>
    <xf numFmtId="169" fontId="9" fillId="10" borderId="10" pivotButton="0" quotePrefix="0" xfId="0"/>
    <xf numFmtId="0" fontId="7" fillId="10" borderId="62" applyAlignment="1" pivotButton="0" quotePrefix="0" xfId="0">
      <alignment horizontal="center" vertical="center"/>
    </xf>
    <xf numFmtId="164" fontId="7" fillId="24" borderId="77" pivotButton="0" quotePrefix="0" xfId="0"/>
    <xf numFmtId="1" fontId="60" fillId="10" borderId="34" applyAlignment="1" pivotButton="0" quotePrefix="0" xfId="0">
      <alignment horizontal="center"/>
    </xf>
    <xf numFmtId="1" fontId="14" fillId="24" borderId="81" applyAlignment="1" pivotButton="0" quotePrefix="0" xfId="0">
      <alignment horizontal="center"/>
    </xf>
    <xf numFmtId="0" fontId="7" fillId="10" borderId="1" pivotButton="0" quotePrefix="0" xfId="0"/>
    <xf numFmtId="0" fontId="7" fillId="10" borderId="2" applyAlignment="1" pivotButton="0" quotePrefix="0" xfId="0">
      <alignment horizontal="right"/>
    </xf>
    <xf numFmtId="49" fontId="7" fillId="10" borderId="3" pivotButton="0" quotePrefix="0" xfId="0"/>
    <xf numFmtId="49" fontId="8" fillId="10" borderId="4" pivotButton="0" quotePrefix="0" xfId="0"/>
    <xf numFmtId="0" fontId="7" fillId="10" borderId="5" pivotButton="0" quotePrefix="0" xfId="0"/>
    <xf numFmtId="2" fontId="7" fillId="10" borderId="6" pivotButton="0" quotePrefix="0" xfId="0"/>
    <xf numFmtId="0" fontId="7" fillId="10" borderId="7" pivotButton="0" quotePrefix="0" xfId="0"/>
    <xf numFmtId="0" fontId="7" fillId="10" borderId="8" pivotButton="0" quotePrefix="0" xfId="0"/>
    <xf numFmtId="0" fontId="7" fillId="10" borderId="9" pivotButton="0" quotePrefix="0" xfId="0"/>
    <xf numFmtId="0" fontId="7" fillId="10" borderId="34" pivotButton="0" quotePrefix="0" xfId="0"/>
    <xf numFmtId="165" fontId="7" fillId="10" borderId="34" pivotButton="0" quotePrefix="0" xfId="0"/>
    <xf numFmtId="49" fontId="7" fillId="10" borderId="34" pivotButton="0" quotePrefix="0" xfId="0"/>
    <xf numFmtId="0" fontId="9" fillId="10" borderId="12" pivotButton="0" quotePrefix="0" xfId="0"/>
    <xf numFmtId="0" fontId="9" fillId="10" borderId="13" pivotButton="0" quotePrefix="0" xfId="0"/>
    <xf numFmtId="0" fontId="7" fillId="10" borderId="97" applyAlignment="1" pivotButton="0" quotePrefix="0" xfId="0">
      <alignment horizontal="center" vertical="center"/>
    </xf>
    <xf numFmtId="0" fontId="7" fillId="10" borderId="98" pivotButton="0" quotePrefix="0" xfId="0"/>
    <xf numFmtId="0" fontId="7" fillId="10" borderId="41" pivotButton="0" quotePrefix="0" xfId="0"/>
    <xf numFmtId="0" fontId="7" fillId="10" borderId="99" pivotButton="0" quotePrefix="0" xfId="0"/>
    <xf numFmtId="170" fontId="8" fillId="10" borderId="120" applyAlignment="1" pivotButton="0" quotePrefix="0" xfId="0">
      <alignment horizontal="center"/>
    </xf>
    <xf numFmtId="165" fontId="8" fillId="10" borderId="120" applyAlignment="1" pivotButton="0" quotePrefix="0" xfId="0">
      <alignment horizontal="center"/>
    </xf>
    <xf numFmtId="169" fontId="7" fillId="10" borderId="18" pivotButton="0" quotePrefix="0" xfId="0"/>
    <xf numFmtId="0" fontId="9" fillId="10" borderId="37" applyAlignment="1" pivotButton="0" quotePrefix="0" xfId="0">
      <alignment horizontal="right"/>
    </xf>
    <xf numFmtId="2" fontId="9" fillId="10" borderId="43" pivotButton="0" quotePrefix="0" xfId="0"/>
    <xf numFmtId="0" fontId="9" fillId="10" borderId="10" applyAlignment="1" pivotButton="0" quotePrefix="0" xfId="0">
      <alignment horizontal="right"/>
    </xf>
    <xf numFmtId="2" fontId="9" fillId="10" borderId="10" pivotButton="0" quotePrefix="0" xfId="0"/>
    <xf numFmtId="0" fontId="9" fillId="10" borderId="11" pivotButton="0" quotePrefix="0" xfId="0"/>
    <xf numFmtId="0" fontId="9" fillId="10" borderId="36" pivotButton="0" quotePrefix="0" xfId="0"/>
    <xf numFmtId="0" fontId="0" fillId="10" borderId="10" applyAlignment="1" pivotButton="0" quotePrefix="0" xfId="0">
      <alignment horizontal="right"/>
    </xf>
    <xf numFmtId="0" fontId="0" fillId="10" borderId="37" pivotButton="0" quotePrefix="0" xfId="0"/>
    <xf numFmtId="0" fontId="0" fillId="10" borderId="0" applyAlignment="1" pivotButton="0" quotePrefix="0" xfId="0">
      <alignment horizontal="right"/>
    </xf>
    <xf numFmtId="2" fontId="50" fillId="24" borderId="77" pivotButton="0" quotePrefix="0" xfId="0"/>
    <xf numFmtId="0" fontId="29" fillId="2" borderId="145" pivotButton="0" quotePrefix="0" xfId="0"/>
    <xf numFmtId="0" fontId="72" fillId="0" borderId="18" pivotButton="0" quotePrefix="0" xfId="0"/>
    <xf numFmtId="0" fontId="74" fillId="0" borderId="18" applyAlignment="1" pivotButton="0" quotePrefix="0" xfId="5">
      <alignment horizontal="right"/>
    </xf>
    <xf numFmtId="0" fontId="73" fillId="0" borderId="18" pivotButton="0" quotePrefix="0" xfId="0"/>
    <xf numFmtId="0" fontId="72" fillId="0" borderId="18" applyAlignment="1" pivotButton="0" quotePrefix="0" xfId="0">
      <alignment horizontal="right"/>
    </xf>
    <xf numFmtId="2" fontId="69" fillId="0" borderId="18" pivotButton="0" quotePrefix="0" xfId="0"/>
    <xf numFmtId="0" fontId="7" fillId="10" borderId="146" applyAlignment="1" pivotButton="0" quotePrefix="0" xfId="0">
      <alignment horizontal="center" vertical="center"/>
    </xf>
    <xf numFmtId="49" fontId="8" fillId="10" borderId="130" applyAlignment="1" pivotButton="0" quotePrefix="0" xfId="0">
      <alignment horizontal="center"/>
    </xf>
    <xf numFmtId="165" fontId="7" fillId="10" borderId="119" applyAlignment="1" pivotButton="0" quotePrefix="0" xfId="0">
      <alignment horizontal="center"/>
    </xf>
    <xf numFmtId="0" fontId="7" fillId="10" borderId="121" pivotButton="0" quotePrefix="0" xfId="0"/>
    <xf numFmtId="49" fontId="7" fillId="10" borderId="138" pivotButton="0" quotePrefix="0" xfId="0"/>
    <xf numFmtId="0" fontId="7" fillId="10" borderId="139" pivotButton="0" quotePrefix="0" xfId="0"/>
    <xf numFmtId="165" fontId="56" fillId="10" borderId="139" applyAlignment="1" pivotButton="0" quotePrefix="0" xfId="0">
      <alignment horizontal="center"/>
    </xf>
    <xf numFmtId="49" fontId="7" fillId="10" borderId="139" pivotButton="0" quotePrefix="0" xfId="0"/>
    <xf numFmtId="0" fontId="7" fillId="10" borderId="139" applyAlignment="1" pivotButton="0" quotePrefix="0" xfId="0">
      <alignment horizontal="center"/>
    </xf>
    <xf numFmtId="165" fontId="8" fillId="10" borderId="139" applyAlignment="1" pivotButton="0" quotePrefix="0" xfId="0">
      <alignment horizontal="right"/>
    </xf>
    <xf numFmtId="49" fontId="7" fillId="10" borderId="139" applyAlignment="1" pivotButton="0" quotePrefix="0" xfId="0">
      <alignment horizontal="center"/>
    </xf>
    <xf numFmtId="164" fontId="7" fillId="10" borderId="139" pivotButton="0" quotePrefix="0" xfId="0"/>
    <xf numFmtId="4" fontId="7" fillId="10" borderId="139" pivotButton="0" quotePrefix="0" xfId="0"/>
    <xf numFmtId="2" fontId="7" fillId="10" borderId="139" pivotButton="0" quotePrefix="0" xfId="0"/>
    <xf numFmtId="2" fontId="50" fillId="10" borderId="139" pivotButton="0" quotePrefix="0" xfId="0"/>
    <xf numFmtId="164" fontId="7" fillId="10" borderId="142" pivotButton="0" quotePrefix="0" xfId="0"/>
    <xf numFmtId="164" fontId="7" fillId="10" borderId="138" pivotButton="0" quotePrefix="0" xfId="0"/>
    <xf numFmtId="0" fontId="7" fillId="10" borderId="138" applyAlignment="1" pivotButton="0" quotePrefix="0" xfId="0">
      <alignment horizontal="center"/>
    </xf>
    <xf numFmtId="0" fontId="7" fillId="10" borderId="139" applyAlignment="1" pivotButton="0" quotePrefix="0" xfId="0">
      <alignment horizontal="center"/>
    </xf>
    <xf numFmtId="2" fontId="7" fillId="10" borderId="140" pivotButton="0" quotePrefix="0" xfId="0"/>
    <xf numFmtId="164" fontId="7" fillId="10" borderId="136" pivotButton="0" quotePrefix="0" xfId="0"/>
    <xf numFmtId="2" fontId="7" fillId="24" borderId="109" pivotButton="0" quotePrefix="0" xfId="0"/>
    <xf numFmtId="10" fontId="24" fillId="8" borderId="29" applyAlignment="1" pivotButton="0" quotePrefix="0" xfId="0">
      <alignment horizontal="center"/>
    </xf>
    <xf numFmtId="10" fontId="24" fillId="4" borderId="29" applyAlignment="1" pivotButton="0" quotePrefix="0" xfId="0">
      <alignment horizontal="center"/>
    </xf>
    <xf numFmtId="49" fontId="35" fillId="2" borderId="147" applyAlignment="1" pivotButton="0" quotePrefix="0" xfId="0">
      <alignment vertical="center"/>
    </xf>
    <xf numFmtId="2" fontId="7" fillId="26" borderId="100" pivotButton="0" quotePrefix="0" xfId="0"/>
    <xf numFmtId="164" fontId="7" fillId="26" borderId="101" pivotButton="0" quotePrefix="0" xfId="0"/>
    <xf numFmtId="2" fontId="7" fillId="26" borderId="101" pivotButton="0" quotePrefix="0" xfId="0"/>
    <xf numFmtId="0" fontId="7" fillId="26" borderId="101" pivotButton="0" quotePrefix="0" xfId="0"/>
    <xf numFmtId="4" fontId="7" fillId="26" borderId="102" pivotButton="0" quotePrefix="0" xfId="0"/>
    <xf numFmtId="0" fontId="8" fillId="10" borderId="148" applyAlignment="1" pivotButton="0" quotePrefix="0" xfId="0">
      <alignment horizontal="right" vertical="center"/>
    </xf>
    <xf numFmtId="0" fontId="7" fillId="10" borderId="103" applyAlignment="1" pivotButton="0" quotePrefix="0" xfId="0">
      <alignment horizontal="right"/>
    </xf>
    <xf numFmtId="164" fontId="8" fillId="10" borderId="94" pivotButton="0" quotePrefix="0" xfId="0"/>
    <xf numFmtId="2" fontId="7" fillId="10" borderId="104" pivotButton="0" quotePrefix="0" xfId="0"/>
    <xf numFmtId="0" fontId="8" fillId="26" borderId="95" applyAlignment="1" pivotButton="0" quotePrefix="0" xfId="0">
      <alignment vertical="center"/>
    </xf>
    <xf numFmtId="2" fontId="9" fillId="26" borderId="149" pivotButton="0" quotePrefix="0" xfId="0"/>
    <xf numFmtId="172" fontId="65" fillId="0" borderId="109" applyAlignment="1" pivotButton="0" quotePrefix="0" xfId="0">
      <alignment horizontal="center"/>
    </xf>
    <xf numFmtId="2" fontId="65" fillId="10" borderId="107" applyAlignment="1" pivotButton="0" quotePrefix="0" xfId="0">
      <alignment horizontal="center"/>
    </xf>
    <xf numFmtId="2" fontId="65" fillId="10" borderId="105" applyAlignment="1" pivotButton="0" quotePrefix="0" xfId="0">
      <alignment horizontal="center"/>
    </xf>
    <xf numFmtId="2" fontId="65" fillId="10" borderId="108" applyAlignment="1" pivotButton="0" quotePrefix="0" xfId="0">
      <alignment horizontal="center"/>
    </xf>
    <xf numFmtId="2" fontId="65" fillId="10" borderId="111" applyAlignment="1" pivotButton="0" quotePrefix="0" xfId="0">
      <alignment horizontal="center"/>
    </xf>
    <xf numFmtId="2" fontId="65" fillId="10" borderId="122" applyAlignment="1" pivotButton="0" quotePrefix="0" xfId="0">
      <alignment horizontal="center"/>
    </xf>
    <xf numFmtId="2" fontId="65" fillId="10" borderId="113" applyAlignment="1" pivotButton="0" quotePrefix="0" xfId="0">
      <alignment horizontal="center"/>
    </xf>
    <xf numFmtId="1" fontId="65" fillId="27" borderId="100" applyAlignment="1" pivotButton="0" quotePrefix="0" xfId="0">
      <alignment horizontal="center"/>
    </xf>
    <xf numFmtId="1" fontId="65" fillId="27" borderId="104" applyAlignment="1" pivotButton="0" quotePrefix="0" xfId="0">
      <alignment horizontal="center"/>
    </xf>
    <xf numFmtId="1" fontId="65" fillId="27" borderId="102" applyAlignment="1" pivotButton="0" quotePrefix="0" xfId="0">
      <alignment horizontal="center"/>
    </xf>
    <xf numFmtId="0" fontId="65" fillId="12" borderId="100" applyAlignment="1" pivotButton="0" quotePrefix="0" xfId="0">
      <alignment horizontal="center"/>
    </xf>
    <xf numFmtId="2" fontId="0" fillId="12" borderId="0" pivotButton="0" quotePrefix="0" xfId="0"/>
    <xf numFmtId="2" fontId="65" fillId="28" borderId="101" applyAlignment="1" pivotButton="0" quotePrefix="0" xfId="0">
      <alignment horizontal="center" vertical="center"/>
    </xf>
    <xf numFmtId="2" fontId="0" fillId="28" borderId="0" pivotButton="0" quotePrefix="0" xfId="0"/>
    <xf numFmtId="10" fontId="38" fillId="10" borderId="29" applyAlignment="1" pivotButton="0" quotePrefix="0" xfId="0">
      <alignment horizontal="right" vertical="center"/>
    </xf>
    <xf numFmtId="10" fontId="83" fillId="10" borderId="29" applyAlignment="1" pivotButton="0" quotePrefix="0" xfId="0">
      <alignment horizontal="right" vertical="center"/>
    </xf>
    <xf numFmtId="0" fontId="71" fillId="0" borderId="114" applyAlignment="1" pivotButton="0" quotePrefix="0" xfId="0">
      <alignment horizontal="right"/>
    </xf>
    <xf numFmtId="0" fontId="65" fillId="29" borderId="100" applyAlignment="1" pivotButton="0" quotePrefix="0" xfId="0">
      <alignment horizontal="center"/>
    </xf>
    <xf numFmtId="2" fontId="65" fillId="29" borderId="101" applyAlignment="1" pivotButton="0" quotePrefix="0" xfId="0">
      <alignment horizontal="center" vertical="center"/>
    </xf>
    <xf numFmtId="0" fontId="65" fillId="29" borderId="102" applyAlignment="1" pivotButton="0" quotePrefix="0" xfId="0">
      <alignment horizontal="center"/>
    </xf>
    <xf numFmtId="2" fontId="0" fillId="29" borderId="0" pivotButton="0" quotePrefix="0" xfId="0"/>
    <xf numFmtId="0" fontId="65" fillId="14" borderId="100" applyAlignment="1" pivotButton="0" quotePrefix="0" xfId="0">
      <alignment horizontal="center"/>
    </xf>
    <xf numFmtId="2" fontId="65" fillId="14" borderId="101" applyAlignment="1" pivotButton="0" quotePrefix="0" xfId="0">
      <alignment horizontal="center" vertical="center"/>
    </xf>
    <xf numFmtId="0" fontId="65" fillId="14" borderId="102" applyAlignment="1" pivotButton="0" quotePrefix="0" xfId="0">
      <alignment horizontal="center"/>
    </xf>
    <xf numFmtId="2" fontId="0" fillId="14" borderId="0" pivotButton="0" quotePrefix="0" xfId="0"/>
    <xf numFmtId="9" fontId="65" fillId="0" borderId="109" applyAlignment="1" pivotButton="0" quotePrefix="0" xfId="0">
      <alignment horizontal="center"/>
    </xf>
    <xf numFmtId="0" fontId="66" fillId="0" borderId="18" applyAlignment="1" pivotButton="0" quotePrefix="0" xfId="0">
      <alignment horizontal="right"/>
    </xf>
    <xf numFmtId="2" fontId="65" fillId="10" borderId="18" applyAlignment="1" pivotButton="0" quotePrefix="0" xfId="0">
      <alignment horizontal="center"/>
    </xf>
    <xf numFmtId="1" fontId="65" fillId="27" borderId="94" applyAlignment="1" pivotButton="0" quotePrefix="0" xfId="0">
      <alignment horizontal="center"/>
    </xf>
    <xf numFmtId="2" fontId="65" fillId="10" borderId="114" applyAlignment="1" pivotButton="0" quotePrefix="0" xfId="0">
      <alignment horizontal="center"/>
    </xf>
    <xf numFmtId="2" fontId="65" fillId="10" borderId="116" applyAlignment="1" pivotButton="0" quotePrefix="0" xfId="0">
      <alignment horizontal="center"/>
    </xf>
    <xf numFmtId="1" fontId="65" fillId="27" borderId="85" applyAlignment="1" pivotButton="0" quotePrefix="0" xfId="0">
      <alignment horizontal="center"/>
    </xf>
    <xf numFmtId="2" fontId="65" fillId="10" borderId="150" applyAlignment="1" pivotButton="0" quotePrefix="0" xfId="0">
      <alignment horizontal="center"/>
    </xf>
    <xf numFmtId="2" fontId="65" fillId="30" borderId="18" applyAlignment="1" pivotButton="0" quotePrefix="0" xfId="0">
      <alignment horizontal="center"/>
    </xf>
    <xf numFmtId="2" fontId="0" fillId="30" borderId="0" pivotButton="0" quotePrefix="0" xfId="0"/>
    <xf numFmtId="4" fontId="7" fillId="10" borderId="77" applyAlignment="1" pivotButton="0" quotePrefix="0" xfId="0">
      <alignment horizontal="right"/>
    </xf>
    <xf numFmtId="49" fontId="31" fillId="2" borderId="151" applyAlignment="1" pivotButton="0" quotePrefix="0" xfId="0">
      <alignment horizontal="center" vertical="center"/>
    </xf>
    <xf numFmtId="0" fontId="29" fillId="2" borderId="152" applyAlignment="1" pivotButton="0" quotePrefix="0" xfId="0">
      <alignment horizontal="center"/>
    </xf>
    <xf numFmtId="0" fontId="29" fillId="2" borderId="153" applyAlignment="1" pivotButton="0" quotePrefix="0" xfId="0">
      <alignment horizontal="center"/>
    </xf>
    <xf numFmtId="0" fontId="29" fillId="2" borderId="154" pivotButton="0" quotePrefix="0" xfId="0"/>
    <xf numFmtId="49" fontId="29" fillId="2" borderId="38" applyAlignment="1" pivotButton="0" quotePrefix="0" xfId="0">
      <alignment horizontal="left"/>
    </xf>
    <xf numFmtId="49" fontId="31" fillId="2" borderId="155" applyAlignment="1" pivotButton="0" quotePrefix="0" xfId="0">
      <alignment horizontal="center" vertical="center"/>
    </xf>
    <xf numFmtId="2" fontId="29" fillId="2" borderId="40" applyAlignment="1" pivotButton="0" quotePrefix="0" xfId="0">
      <alignment horizontal="right"/>
    </xf>
    <xf numFmtId="0" fontId="13" fillId="10" borderId="77" pivotButton="0" quotePrefix="0" xfId="0"/>
    <xf numFmtId="165" fontId="12" fillId="10" borderId="77" applyAlignment="1" pivotButton="0" quotePrefix="0" xfId="0">
      <alignment horizontal="right"/>
    </xf>
    <xf numFmtId="0" fontId="70" fillId="10" borderId="115" applyAlignment="1" pivotButton="0" quotePrefix="0" xfId="0">
      <alignment horizontal="right"/>
    </xf>
    <xf numFmtId="2" fontId="7" fillId="2" borderId="77" pivotButton="0" quotePrefix="0" xfId="0"/>
    <xf numFmtId="2" fontId="65" fillId="27" borderId="114" applyAlignment="1" pivotButton="0" quotePrefix="0" xfId="0">
      <alignment horizontal="center"/>
    </xf>
    <xf numFmtId="2" fontId="65" fillId="27" borderId="116" applyAlignment="1" pivotButton="0" quotePrefix="0" xfId="0">
      <alignment horizontal="center"/>
    </xf>
    <xf numFmtId="167" fontId="65" fillId="22" borderId="77" applyAlignment="1" pivotButton="0" quotePrefix="0" xfId="4">
      <alignment horizontal="center"/>
    </xf>
    <xf numFmtId="167" fontId="65" fillId="22" borderId="81" applyAlignment="1" pivotButton="0" quotePrefix="0" xfId="8">
      <alignment horizontal="center"/>
    </xf>
    <xf numFmtId="168" fontId="65" fillId="22" borderId="77" applyAlignment="1" pivotButton="0" quotePrefix="0" xfId="8">
      <alignment horizontal="center"/>
    </xf>
    <xf numFmtId="10" fontId="65" fillId="22" borderId="77" applyAlignment="1" pivotButton="0" quotePrefix="0" xfId="9">
      <alignment horizontal="center"/>
    </xf>
    <xf numFmtId="167" fontId="65" fillId="10" borderId="108" applyAlignment="1" pivotButton="0" quotePrefix="0" xfId="8">
      <alignment horizontal="center"/>
    </xf>
    <xf numFmtId="168" fontId="65" fillId="10" borderId="110" applyAlignment="1" pivotButton="0" quotePrefix="0" xfId="8">
      <alignment horizontal="center"/>
    </xf>
    <xf numFmtId="10" fontId="65" fillId="10" borderId="110" applyAlignment="1" pivotButton="0" quotePrefix="0" xfId="9">
      <alignment horizontal="center"/>
    </xf>
    <xf numFmtId="167" fontId="65" fillId="10" borderId="81" applyAlignment="1" pivotButton="0" quotePrefix="0" xfId="8">
      <alignment horizontal="center"/>
    </xf>
    <xf numFmtId="167" fontId="65" fillId="10" borderId="77" applyAlignment="1" pivotButton="0" quotePrefix="0" xfId="0">
      <alignment horizontal="center"/>
    </xf>
    <xf numFmtId="0" fontId="65" fillId="10" borderId="77" applyAlignment="1" pivotButton="0" quotePrefix="0" xfId="0">
      <alignment horizontal="center"/>
    </xf>
    <xf numFmtId="168" fontId="65" fillId="10" borderId="77" applyAlignment="1" pivotButton="0" quotePrefix="0" xfId="8">
      <alignment horizontal="center"/>
    </xf>
    <xf numFmtId="10" fontId="65" fillId="10" borderId="77" applyAlignment="1" pivotButton="0" quotePrefix="0" xfId="9">
      <alignment horizontal="center"/>
    </xf>
    <xf numFmtId="2" fontId="65" fillId="10" borderId="77" applyAlignment="1" pivotButton="0" quotePrefix="0" xfId="0">
      <alignment horizontal="center"/>
    </xf>
    <xf numFmtId="2" fontId="65" fillId="10" borderId="80" applyAlignment="1" pivotButton="0" quotePrefix="0" xfId="0">
      <alignment horizontal="center"/>
    </xf>
    <xf numFmtId="168" fontId="65" fillId="22" borderId="106" applyAlignment="1" pivotButton="0" quotePrefix="0" xfId="8">
      <alignment horizontal="center"/>
    </xf>
    <xf numFmtId="0" fontId="65" fillId="31" borderId="100" applyAlignment="1" pivotButton="0" quotePrefix="0" xfId="0">
      <alignment horizontal="center"/>
    </xf>
    <xf numFmtId="2" fontId="65" fillId="31" borderId="101" applyAlignment="1" pivotButton="0" quotePrefix="0" xfId="0">
      <alignment horizontal="center" vertical="center"/>
    </xf>
    <xf numFmtId="0" fontId="65" fillId="31" borderId="102" applyAlignment="1" pivotButton="0" quotePrefix="0" xfId="0">
      <alignment horizontal="center"/>
    </xf>
    <xf numFmtId="2" fontId="65" fillId="32" borderId="18" applyAlignment="1" pivotButton="0" quotePrefix="0" xfId="0">
      <alignment horizontal="center"/>
    </xf>
    <xf numFmtId="2" fontId="0" fillId="32" borderId="0" pivotButton="0" quotePrefix="0" xfId="0"/>
    <xf numFmtId="164" fontId="7" fillId="10" borderId="157" pivotButton="0" quotePrefix="0" xfId="0"/>
    <xf numFmtId="0" fontId="0" fillId="0" borderId="18" pivotButton="0" quotePrefix="0" xfId="0"/>
    <xf numFmtId="171" fontId="7" fillId="10" borderId="106" pivotButton="0" quotePrefix="0" xfId="3"/>
    <xf numFmtId="171" fontId="0" fillId="0" borderId="0" pivotButton="0" quotePrefix="0" xfId="3"/>
    <xf numFmtId="0" fontId="63" fillId="0" borderId="0" pivotButton="0" quotePrefix="0" xfId="0"/>
    <xf numFmtId="0" fontId="63" fillId="0" borderId="0" pivotButton="0" quotePrefix="0" xfId="0"/>
    <xf numFmtId="0" fontId="63" fillId="0" borderId="18" pivotButton="0" quotePrefix="0" xfId="0"/>
    <xf numFmtId="164" fontId="13" fillId="33" borderId="77" pivotButton="0" quotePrefix="0" xfId="0"/>
    <xf numFmtId="49" fontId="7" fillId="10" borderId="109" pivotButton="0" quotePrefix="0" xfId="0"/>
    <xf numFmtId="165" fontId="8" fillId="10" borderId="115" applyAlignment="1" pivotButton="0" quotePrefix="0" xfId="0">
      <alignment horizontal="left" vertical="center"/>
    </xf>
    <xf numFmtId="1" fontId="16" fillId="2" borderId="77" pivotButton="0" quotePrefix="0" xfId="0"/>
    <xf numFmtId="167" fontId="65" fillId="10" borderId="81" applyAlignment="1" pivotButton="0" quotePrefix="0" xfId="3">
      <alignment horizontal="center"/>
    </xf>
    <xf numFmtId="168" fontId="65" fillId="10" borderId="77" applyAlignment="1" pivotButton="0" quotePrefix="0" xfId="3">
      <alignment horizontal="center"/>
    </xf>
    <xf numFmtId="10" fontId="65" fillId="10" borderId="77" applyAlignment="1" pivotButton="0" quotePrefix="0" xfId="4">
      <alignment horizontal="center"/>
    </xf>
    <xf numFmtId="0" fontId="72" fillId="0" borderId="135" applyAlignment="1" pivotButton="0" quotePrefix="0" xfId="0">
      <alignment horizontal="right"/>
    </xf>
    <xf numFmtId="0" fontId="29" fillId="2" borderId="161" pivotButton="0" quotePrefix="0" xfId="0"/>
    <xf numFmtId="0" fontId="29" fillId="2" borderId="40" pivotButton="0" quotePrefix="0" xfId="0"/>
    <xf numFmtId="0" fontId="0" fillId="12" borderId="0" pivotButton="0" quotePrefix="0" xfId="0"/>
    <xf numFmtId="0" fontId="0" fillId="12" borderId="0" pivotButton="0" quotePrefix="0" xfId="0"/>
    <xf numFmtId="49" fontId="37" fillId="10" borderId="109" pivotButton="0" quotePrefix="0" xfId="0"/>
    <xf numFmtId="164" fontId="13" fillId="10" borderId="110" pivotButton="0" quotePrefix="0" xfId="0"/>
    <xf numFmtId="164" fontId="13" fillId="10" borderId="109" pivotButton="0" quotePrefix="0" xfId="0"/>
    <xf numFmtId="0" fontId="13" fillId="10" borderId="77" applyAlignment="1" pivotButton="0" quotePrefix="0" xfId="0">
      <alignment horizontal="center"/>
    </xf>
    <xf numFmtId="164" fontId="13" fillId="33" borderId="77" pivotButton="0" quotePrefix="0" xfId="3"/>
    <xf numFmtId="164" fontId="13" fillId="33" borderId="110" pivotButton="0" quotePrefix="0" xfId="0"/>
    <xf numFmtId="2" fontId="13" fillId="33" borderId="106" pivotButton="0" quotePrefix="0" xfId="0"/>
    <xf numFmtId="0" fontId="31" fillId="2" borderId="144" pivotButton="0" quotePrefix="0" xfId="0"/>
    <xf numFmtId="49" fontId="7" fillId="10" borderId="105" applyAlignment="1" pivotButton="0" quotePrefix="0" xfId="0">
      <alignment horizontal="right"/>
    </xf>
    <xf numFmtId="167" fontId="72" fillId="0" borderId="114" pivotButton="0" quotePrefix="0" xfId="0"/>
    <xf numFmtId="49" fontId="7" fillId="10" borderId="105" applyAlignment="1" pivotButton="0" quotePrefix="0" xfId="0">
      <alignment horizontal="center"/>
    </xf>
    <xf numFmtId="165" fontId="8" fillId="10" borderId="81" applyAlignment="1" pivotButton="0" quotePrefix="0" xfId="0">
      <alignment horizontal="center"/>
    </xf>
    <xf numFmtId="164" fontId="7" fillId="10" borderId="81" applyAlignment="1" pivotButton="0" quotePrefix="0" xfId="0">
      <alignment horizontal="center"/>
    </xf>
    <xf numFmtId="2" fontId="7" fillId="10" borderId="81" applyAlignment="1" pivotButton="0" quotePrefix="0" xfId="0">
      <alignment horizontal="center"/>
    </xf>
    <xf numFmtId="164" fontId="7" fillId="10" borderId="77" applyAlignment="1" pivotButton="0" quotePrefix="0" xfId="0">
      <alignment horizontal="center"/>
    </xf>
    <xf numFmtId="164" fontId="7" fillId="10" borderId="105" applyAlignment="1" pivotButton="0" quotePrefix="0" xfId="0">
      <alignment horizontal="center"/>
    </xf>
    <xf numFmtId="164" fontId="7" fillId="10" borderId="106" applyAlignment="1" pivotButton="0" quotePrefix="0" xfId="0">
      <alignment horizontal="center"/>
    </xf>
    <xf numFmtId="4" fontId="7" fillId="10" borderId="106" applyAlignment="1" pivotButton="0" quotePrefix="0" xfId="0">
      <alignment horizontal="center"/>
    </xf>
    <xf numFmtId="4" fontId="7" fillId="10" borderId="107" pivotButton="0" quotePrefix="0" xfId="0"/>
    <xf numFmtId="4" fontId="7" fillId="10" borderId="109" pivotButton="0" quotePrefix="0" xfId="0"/>
    <xf numFmtId="2" fontId="56" fillId="10" borderId="81" applyAlignment="1" pivotButton="0" quotePrefix="0" xfId="0">
      <alignment horizontal="right"/>
    </xf>
    <xf numFmtId="2" fontId="7" fillId="10" borderId="77" applyAlignment="1" pivotButton="0" quotePrefix="0" xfId="0">
      <alignment horizontal="right"/>
    </xf>
    <xf numFmtId="0" fontId="7" fillId="10" borderId="81" applyAlignment="1" pivotButton="0" quotePrefix="0" xfId="0">
      <alignment horizontal="right"/>
    </xf>
    <xf numFmtId="49" fontId="7" fillId="10" borderId="81" applyAlignment="1" pivotButton="0" quotePrefix="0" xfId="0">
      <alignment horizontal="right"/>
    </xf>
    <xf numFmtId="2" fontId="7" fillId="10" borderId="81" applyAlignment="1" pivotButton="0" quotePrefix="0" xfId="0">
      <alignment horizontal="right"/>
    </xf>
    <xf numFmtId="167" fontId="72" fillId="0" borderId="114" applyAlignment="1" pivotButton="0" quotePrefix="0" xfId="0">
      <alignment horizontal="left"/>
    </xf>
    <xf numFmtId="172" fontId="65" fillId="10" borderId="110" applyAlignment="1" pivotButton="0" quotePrefix="0" xfId="0">
      <alignment horizontal="center"/>
    </xf>
    <xf numFmtId="0" fontId="65" fillId="35" borderId="100" applyAlignment="1" pivotButton="0" quotePrefix="0" xfId="0">
      <alignment horizontal="center"/>
    </xf>
    <xf numFmtId="2" fontId="65" fillId="35" borderId="101" applyAlignment="1" pivotButton="0" quotePrefix="0" xfId="0">
      <alignment horizontal="center" vertical="center"/>
    </xf>
    <xf numFmtId="0" fontId="65" fillId="35" borderId="102" applyAlignment="1" pivotButton="0" quotePrefix="0" xfId="0">
      <alignment horizontal="center"/>
    </xf>
    <xf numFmtId="2" fontId="65" fillId="35" borderId="18" applyAlignment="1" pivotButton="0" quotePrefix="0" xfId="0">
      <alignment horizontal="center"/>
    </xf>
    <xf numFmtId="2" fontId="0" fillId="35" borderId="0" pivotButton="0" quotePrefix="0" xfId="0"/>
    <xf numFmtId="167" fontId="69" fillId="0" borderId="132" applyAlignment="1" applyProtection="1" pivotButton="0" quotePrefix="0" xfId="0">
      <alignment horizontal="right"/>
      <protection locked="0" hidden="0"/>
    </xf>
    <xf numFmtId="167" fontId="74" fillId="0" borderId="132" applyAlignment="1" pivotButton="0" quotePrefix="0" xfId="5">
      <alignment horizontal="right"/>
    </xf>
    <xf numFmtId="49" fontId="8" fillId="10" borderId="125" applyAlignment="1" pivotButton="0" quotePrefix="0" xfId="0">
      <alignment horizontal="center"/>
    </xf>
    <xf numFmtId="164" fontId="7" fillId="10" borderId="94" pivotButton="0" quotePrefix="0" xfId="0"/>
    <xf numFmtId="49" fontId="13" fillId="10" borderId="109" pivotButton="0" quotePrefix="0" xfId="0"/>
    <xf numFmtId="2" fontId="50" fillId="24" borderId="109" pivotButton="0" quotePrefix="0" xfId="0"/>
    <xf numFmtId="1" fontId="65" fillId="10" borderId="94" applyAlignment="1" pivotButton="0" quotePrefix="0" xfId="0">
      <alignment horizontal="center"/>
    </xf>
    <xf numFmtId="1" fontId="65" fillId="10" borderId="104" applyAlignment="1" pivotButton="0" quotePrefix="0" xfId="0">
      <alignment horizontal="center"/>
    </xf>
    <xf numFmtId="1" fontId="65" fillId="10" borderId="102" applyAlignment="1" pivotButton="0" quotePrefix="0" xfId="0">
      <alignment horizontal="center"/>
    </xf>
    <xf numFmtId="49" fontId="49" fillId="10" borderId="54" pivotButton="0" quotePrefix="0" xfId="0"/>
    <xf numFmtId="2" fontId="7" fillId="10" borderId="1" pivotButton="0" quotePrefix="0" xfId="0"/>
    <xf numFmtId="0" fontId="29" fillId="2" borderId="162" pivotButton="0" quotePrefix="0" xfId="0"/>
    <xf numFmtId="49" fontId="7" fillId="10" borderId="163" pivotButton="0" quotePrefix="0" xfId="0"/>
    <xf numFmtId="165" fontId="8" fillId="10" borderId="163" applyAlignment="1" pivotButton="0" quotePrefix="0" xfId="0">
      <alignment horizontal="left" vertical="center"/>
    </xf>
    <xf numFmtId="165" fontId="8" fillId="10" borderId="114" applyAlignment="1" pivotButton="0" quotePrefix="0" xfId="0">
      <alignment horizontal="left" vertical="center"/>
    </xf>
    <xf numFmtId="2" fontId="50" fillId="24" borderId="81" pivotButton="0" quotePrefix="0" xfId="0"/>
    <xf numFmtId="49" fontId="7" fillId="10" borderId="82" pivotButton="0" quotePrefix="0" xfId="0"/>
    <xf numFmtId="0" fontId="50" fillId="10" borderId="82" applyAlignment="1" pivotButton="0" quotePrefix="0" xfId="0">
      <alignment horizontal="right"/>
    </xf>
    <xf numFmtId="165" fontId="8" fillId="10" borderId="82" applyAlignment="1" pivotButton="0" quotePrefix="0" xfId="0">
      <alignment horizontal="left" vertical="center"/>
    </xf>
    <xf numFmtId="49" fontId="7" fillId="10" borderId="116" pivotButton="0" quotePrefix="0" xfId="0"/>
    <xf numFmtId="0" fontId="50" fillId="10" borderId="116" applyAlignment="1" pivotButton="0" quotePrefix="0" xfId="0">
      <alignment horizontal="right"/>
    </xf>
    <xf numFmtId="165" fontId="8" fillId="10" borderId="116" applyAlignment="1" pivotButton="0" quotePrefix="0" xfId="0">
      <alignment horizontal="left" vertical="center"/>
    </xf>
    <xf numFmtId="2" fontId="50" fillId="24" borderId="112" pivotButton="0" quotePrefix="0" xfId="0"/>
    <xf numFmtId="1" fontId="14" fillId="10" borderId="139" applyAlignment="1" pivotButton="0" quotePrefix="0" xfId="0">
      <alignment horizontal="center"/>
    </xf>
    <xf numFmtId="0" fontId="14" fillId="10" borderId="139" applyAlignment="1" pivotButton="0" quotePrefix="0" xfId="0">
      <alignment horizontal="center"/>
    </xf>
    <xf numFmtId="1" fontId="14" fillId="24" borderId="139" applyAlignment="1" pivotButton="0" quotePrefix="0" xfId="0">
      <alignment horizontal="center"/>
    </xf>
    <xf numFmtId="171" fontId="14" fillId="10" borderId="139" applyAlignment="1" pivotButton="0" quotePrefix="0" xfId="3">
      <alignment horizontal="center"/>
    </xf>
    <xf numFmtId="1" fontId="14" fillId="10" borderId="140" applyAlignment="1" pivotButton="0" quotePrefix="0" xfId="0">
      <alignment horizontal="center"/>
    </xf>
    <xf numFmtId="2" fontId="50" fillId="10" borderId="80" pivotButton="0" quotePrefix="0" xfId="0"/>
    <xf numFmtId="2" fontId="50" fillId="10" borderId="128" pivotButton="0" quotePrefix="0" xfId="0"/>
    <xf numFmtId="165" fontId="8" fillId="10" borderId="127" applyAlignment="1" pivotButton="0" quotePrefix="0" xfId="0">
      <alignment horizontal="left" vertical="center"/>
    </xf>
    <xf numFmtId="2" fontId="50" fillId="10" borderId="167" pivotButton="0" quotePrefix="0" xfId="0"/>
    <xf numFmtId="2" fontId="50" fillId="34" borderId="77" pivotButton="0" quotePrefix="0" xfId="0"/>
    <xf numFmtId="169" fontId="7" fillId="26" borderId="101" pivotButton="0" quotePrefix="0" xfId="0"/>
    <xf numFmtId="1" fontId="14" fillId="24" borderId="77" applyAlignment="1" pivotButton="0" quotePrefix="0" xfId="0">
      <alignment horizontal="center"/>
    </xf>
    <xf numFmtId="1" fontId="14" fillId="10" borderId="77" applyAlignment="1" pivotButton="0" quotePrefix="0" xfId="0">
      <alignment horizontal="center"/>
    </xf>
    <xf numFmtId="0" fontId="14" fillId="10" borderId="77" applyAlignment="1" pivotButton="0" quotePrefix="0" xfId="0">
      <alignment horizontal="center"/>
    </xf>
    <xf numFmtId="171" fontId="14" fillId="10" borderId="77" applyAlignment="1" pivotButton="0" quotePrefix="0" xfId="3">
      <alignment horizontal="center"/>
    </xf>
    <xf numFmtId="49" fontId="50" fillId="10" borderId="107" pivotButton="0" quotePrefix="0" xfId="0"/>
    <xf numFmtId="0" fontId="50" fillId="10" borderId="81" pivotButton="0" quotePrefix="0" xfId="0"/>
    <xf numFmtId="165" fontId="50" fillId="10" borderId="81" applyAlignment="1" pivotButton="0" quotePrefix="0" xfId="0">
      <alignment horizontal="center"/>
    </xf>
    <xf numFmtId="49" fontId="50" fillId="10" borderId="81" pivotButton="0" quotePrefix="0" xfId="0"/>
    <xf numFmtId="0" fontId="50" fillId="10" borderId="81" applyAlignment="1" pivotButton="0" quotePrefix="0" xfId="0">
      <alignment horizontal="left"/>
    </xf>
    <xf numFmtId="165" fontId="86" fillId="10" borderId="81" applyAlignment="1" pivotButton="0" quotePrefix="0" xfId="0">
      <alignment horizontal="right"/>
    </xf>
    <xf numFmtId="49" fontId="50" fillId="10" borderId="81" applyAlignment="1" pivotButton="0" quotePrefix="0" xfId="0">
      <alignment horizontal="center"/>
    </xf>
    <xf numFmtId="164" fontId="50" fillId="10" borderId="81" pivotButton="0" quotePrefix="0" xfId="0"/>
    <xf numFmtId="4" fontId="50" fillId="10" borderId="81" pivotButton="0" quotePrefix="0" xfId="0"/>
    <xf numFmtId="164" fontId="50" fillId="10" borderId="103" pivotButton="0" quotePrefix="0" xfId="0"/>
    <xf numFmtId="164" fontId="50" fillId="10" borderId="107" pivotButton="0" quotePrefix="0" xfId="0"/>
    <xf numFmtId="0" fontId="50" fillId="10" borderId="107" applyAlignment="1" pivotButton="0" quotePrefix="0" xfId="0">
      <alignment horizontal="center"/>
    </xf>
    <xf numFmtId="0" fontId="50" fillId="10" borderId="81" applyAlignment="1" pivotButton="0" quotePrefix="0" xfId="0">
      <alignment horizontal="center"/>
    </xf>
    <xf numFmtId="2" fontId="50" fillId="10" borderId="108" pivotButton="0" quotePrefix="0" xfId="0"/>
    <xf numFmtId="164" fontId="50" fillId="10" borderId="132" pivotButton="0" quotePrefix="0" xfId="0"/>
    <xf numFmtId="2" fontId="50" fillId="10" borderId="109" applyAlignment="1" pivotButton="0" quotePrefix="0" xfId="0">
      <alignment horizontal="right"/>
    </xf>
    <xf numFmtId="164" fontId="50" fillId="10" borderId="77" pivotButton="0" quotePrefix="0" xfId="0"/>
    <xf numFmtId="4" fontId="50" fillId="10" borderId="77" applyAlignment="1" pivotButton="0" quotePrefix="0" xfId="0">
      <alignment horizontal="right"/>
    </xf>
    <xf numFmtId="0" fontId="50" fillId="10" borderId="77" pivotButton="0" quotePrefix="0" xfId="0"/>
    <xf numFmtId="4" fontId="50" fillId="10" borderId="77" pivotButton="0" quotePrefix="0" xfId="0"/>
    <xf numFmtId="164" fontId="50" fillId="34" borderId="77" pivotButton="0" quotePrefix="0" xfId="0"/>
    <xf numFmtId="164" fontId="50" fillId="10" borderId="79" pivotButton="0" quotePrefix="0" xfId="0"/>
    <xf numFmtId="164" fontId="50" fillId="10" borderId="109" pivotButton="0" quotePrefix="0" xfId="0"/>
    <xf numFmtId="0" fontId="50" fillId="10" borderId="109" applyAlignment="1" pivotButton="0" quotePrefix="0" xfId="0">
      <alignment horizontal="center"/>
    </xf>
    <xf numFmtId="0" fontId="50" fillId="10" borderId="77" applyAlignment="1" pivotButton="0" quotePrefix="0" xfId="0">
      <alignment horizontal="center"/>
    </xf>
    <xf numFmtId="2" fontId="50" fillId="10" borderId="110" pivotButton="0" quotePrefix="0" xfId="0"/>
    <xf numFmtId="164" fontId="50" fillId="10" borderId="137" pivotButton="0" quotePrefix="0" xfId="0"/>
    <xf numFmtId="0" fontId="50" fillId="10" borderId="77" applyAlignment="1" pivotButton="0" quotePrefix="0" xfId="0">
      <alignment horizontal="center"/>
    </xf>
    <xf numFmtId="164" fontId="50" fillId="10" borderId="80" pivotButton="0" quotePrefix="0" xfId="0"/>
    <xf numFmtId="4" fontId="50" fillId="10" borderId="80" pivotButton="0" quotePrefix="0" xfId="0"/>
    <xf numFmtId="164" fontId="50" fillId="10" borderId="128" pivotButton="0" quotePrefix="0" xfId="0"/>
    <xf numFmtId="164" fontId="50" fillId="10" borderId="164" pivotButton="0" quotePrefix="0" xfId="0"/>
    <xf numFmtId="0" fontId="50" fillId="10" borderId="128" applyAlignment="1" pivotButton="0" quotePrefix="0" xfId="0">
      <alignment horizontal="center"/>
    </xf>
    <xf numFmtId="0" fontId="50" fillId="10" borderId="80" applyAlignment="1" pivotButton="0" quotePrefix="0" xfId="0">
      <alignment horizontal="center"/>
    </xf>
    <xf numFmtId="2" fontId="50" fillId="10" borderId="165" pivotButton="0" quotePrefix="0" xfId="0"/>
    <xf numFmtId="2" fontId="50" fillId="10" borderId="138" pivotButton="0" quotePrefix="0" xfId="0"/>
    <xf numFmtId="164" fontId="50" fillId="10" borderId="139" pivotButton="0" quotePrefix="0" xfId="0"/>
    <xf numFmtId="4" fontId="50" fillId="10" borderId="139" pivotButton="0" quotePrefix="0" xfId="0"/>
    <xf numFmtId="2" fontId="50" fillId="34" borderId="139" pivotButton="0" quotePrefix="0" xfId="0"/>
    <xf numFmtId="164" fontId="50" fillId="34" borderId="139" pivotButton="0" quotePrefix="0" xfId="0"/>
    <xf numFmtId="164" fontId="50" fillId="10" borderId="142" pivotButton="0" quotePrefix="0" xfId="0"/>
    <xf numFmtId="164" fontId="50" fillId="10" borderId="138" pivotButton="0" quotePrefix="0" xfId="0"/>
    <xf numFmtId="0" fontId="50" fillId="10" borderId="138" applyAlignment="1" pivotButton="0" quotePrefix="0" xfId="0">
      <alignment horizontal="center"/>
    </xf>
    <xf numFmtId="0" fontId="50" fillId="10" borderId="139" applyAlignment="1" pivotButton="0" quotePrefix="0" xfId="0">
      <alignment horizontal="center"/>
    </xf>
    <xf numFmtId="2" fontId="50" fillId="10" borderId="140" pivotButton="0" quotePrefix="0" xfId="0"/>
    <xf numFmtId="164" fontId="50" fillId="10" borderId="136" pivotButton="0" quotePrefix="0" xfId="0"/>
    <xf numFmtId="2" fontId="50" fillId="10" borderId="112" pivotButton="0" quotePrefix="0" xfId="0"/>
    <xf numFmtId="164" fontId="50" fillId="10" borderId="112" pivotButton="0" quotePrefix="0" xfId="0"/>
    <xf numFmtId="164" fontId="50" fillId="24" borderId="111" pivotButton="0" quotePrefix="0" xfId="0"/>
    <xf numFmtId="164" fontId="50" fillId="24" borderId="118" pivotButton="0" quotePrefix="0" xfId="0"/>
    <xf numFmtId="0" fontId="50" fillId="24" borderId="111" applyAlignment="1" pivotButton="0" quotePrefix="0" xfId="0">
      <alignment horizontal="center"/>
    </xf>
    <xf numFmtId="164" fontId="50" fillId="24" borderId="112" pivotButton="0" quotePrefix="0" xfId="0"/>
    <xf numFmtId="0" fontId="50" fillId="24" borderId="112" applyAlignment="1" pivotButton="0" quotePrefix="0" xfId="0">
      <alignment horizontal="center"/>
    </xf>
    <xf numFmtId="2" fontId="50" fillId="24" borderId="113" pivotButton="0" quotePrefix="0" xfId="0"/>
    <xf numFmtId="164" fontId="50" fillId="24" borderId="126" pivotButton="0" quotePrefix="0" xfId="0"/>
    <xf numFmtId="0" fontId="50" fillId="10" borderId="81" applyAlignment="1" pivotButton="0" quotePrefix="0" xfId="0">
      <alignment horizontal="center"/>
    </xf>
    <xf numFmtId="2" fontId="50" fillId="10" borderId="109" pivotButton="0" quotePrefix="0" xfId="0"/>
    <xf numFmtId="4" fontId="50" fillId="24" borderId="112" pivotButton="0" quotePrefix="0" xfId="0"/>
    <xf numFmtId="164" fontId="50" fillId="24" borderId="77" pivotButton="0" quotePrefix="0" xfId="0"/>
    <xf numFmtId="164" fontId="50" fillId="24" borderId="79" pivotButton="0" quotePrefix="0" xfId="0"/>
    <xf numFmtId="2" fontId="50" fillId="24" borderId="139" pivotButton="0" quotePrefix="0" xfId="0"/>
    <xf numFmtId="164" fontId="50" fillId="24" borderId="139" pivotButton="0" quotePrefix="0" xfId="0"/>
    <xf numFmtId="164" fontId="50" fillId="34" borderId="167" pivotButton="0" quotePrefix="0" xfId="0"/>
    <xf numFmtId="164" fontId="50" fillId="10" borderId="167" pivotButton="0" quotePrefix="0" xfId="0"/>
    <xf numFmtId="4" fontId="50" fillId="10" borderId="167" pivotButton="0" quotePrefix="0" xfId="0"/>
    <xf numFmtId="2" fontId="50" fillId="34" borderId="167" pivotButton="0" quotePrefix="0" xfId="0"/>
    <xf numFmtId="164" fontId="50" fillId="10" borderId="169" pivotButton="0" quotePrefix="0" xfId="0"/>
    <xf numFmtId="164" fontId="50" fillId="10" borderId="133" pivotButton="0" quotePrefix="0" xfId="0"/>
    <xf numFmtId="0" fontId="50" fillId="10" borderId="133" applyAlignment="1" pivotButton="0" quotePrefix="0" xfId="0">
      <alignment horizontal="center"/>
    </xf>
    <xf numFmtId="2" fontId="50" fillId="10" borderId="170" pivotButton="0" quotePrefix="0" xfId="0"/>
    <xf numFmtId="49" fontId="14" fillId="2" borderId="123" applyAlignment="1" pivotButton="0" quotePrefix="0" xfId="0">
      <alignment horizontal="center"/>
    </xf>
    <xf numFmtId="0" fontId="63" fillId="0" borderId="18" pivotButton="0" quotePrefix="0" xfId="0"/>
    <xf numFmtId="1" fontId="14" fillId="10" borderId="110" applyAlignment="1" pivotButton="0" quotePrefix="0" xfId="0">
      <alignment horizontal="center"/>
    </xf>
    <xf numFmtId="1" fontId="14" fillId="10" borderId="108" applyAlignment="1" pivotButton="0" quotePrefix="0" xfId="0">
      <alignment horizontal="center"/>
    </xf>
    <xf numFmtId="1" fontId="14" fillId="10" borderId="107" applyAlignment="1" pivotButton="0" quotePrefix="0" xfId="0">
      <alignment horizontal="center"/>
    </xf>
    <xf numFmtId="1" fontId="14" fillId="24" borderId="109" applyAlignment="1" pivotButton="0" quotePrefix="0" xfId="0">
      <alignment horizontal="center"/>
    </xf>
    <xf numFmtId="1" fontId="14" fillId="10" borderId="138" applyAlignment="1" pivotButton="0" quotePrefix="0" xfId="0">
      <alignment horizontal="center"/>
    </xf>
    <xf numFmtId="2" fontId="7" fillId="10" borderId="105" applyAlignment="1" pivotButton="0" quotePrefix="0" xfId="0">
      <alignment horizontal="right"/>
    </xf>
    <xf numFmtId="0" fontId="50" fillId="10" borderId="127" applyAlignment="1" pivotButton="0" quotePrefix="0" xfId="0">
      <alignment horizontal="right"/>
    </xf>
    <xf numFmtId="49" fontId="50" fillId="10" borderId="115" applyAlignment="1" pivotButton="0" quotePrefix="0" xfId="0">
      <alignment horizontal="right"/>
    </xf>
    <xf numFmtId="1" fontId="14" fillId="10" borderId="109" applyAlignment="1" pivotButton="0" quotePrefix="0" xfId="0">
      <alignment horizontal="center"/>
    </xf>
    <xf numFmtId="0" fontId="14" fillId="10" borderId="110" applyAlignment="1" pivotButton="0" quotePrefix="0" xfId="0">
      <alignment horizontal="center"/>
    </xf>
    <xf numFmtId="0" fontId="65" fillId="36" borderId="100" applyAlignment="1" pivotButton="0" quotePrefix="0" xfId="0">
      <alignment horizontal="center"/>
    </xf>
    <xf numFmtId="2" fontId="65" fillId="36" borderId="101" applyAlignment="1" pivotButton="0" quotePrefix="0" xfId="0">
      <alignment horizontal="center" vertical="center"/>
    </xf>
    <xf numFmtId="0" fontId="65" fillId="36" borderId="102" applyAlignment="1" pivotButton="0" quotePrefix="0" xfId="0">
      <alignment horizontal="center"/>
    </xf>
    <xf numFmtId="2" fontId="65" fillId="36" borderId="18" applyAlignment="1" pivotButton="0" quotePrefix="0" xfId="0">
      <alignment horizontal="center"/>
    </xf>
    <xf numFmtId="2" fontId="0" fillId="36" borderId="0" pivotButton="0" quotePrefix="0" xfId="0"/>
    <xf numFmtId="164" fontId="7" fillId="24" borderId="105" applyAlignment="1" pivotButton="0" quotePrefix="0" xfId="0">
      <alignment horizontal="center"/>
    </xf>
    <xf numFmtId="164" fontId="7" fillId="24" borderId="106" applyAlignment="1" pivotButton="0" quotePrefix="0" xfId="0">
      <alignment horizontal="center"/>
    </xf>
    <xf numFmtId="4" fontId="7" fillId="24" borderId="107" pivotButton="0" quotePrefix="0" xfId="0"/>
    <xf numFmtId="164" fontId="7" fillId="24" borderId="106" pivotButton="0" quotePrefix="0" xfId="0"/>
    <xf numFmtId="4" fontId="7" fillId="24" borderId="81" pivotButton="0" quotePrefix="0" xfId="0"/>
    <xf numFmtId="2" fontId="7" fillId="24" borderId="77" pivotButton="0" quotePrefix="0" xfId="0"/>
    <xf numFmtId="164" fontId="7" fillId="24" borderId="110" pivotButton="0" quotePrefix="0" xfId="0"/>
    <xf numFmtId="49" fontId="7" fillId="24" borderId="105" applyAlignment="1" pivotButton="0" quotePrefix="0" xfId="0">
      <alignment horizontal="right"/>
    </xf>
    <xf numFmtId="164" fontId="7" fillId="24" borderId="105" pivotButton="0" quotePrefix="0" xfId="0"/>
    <xf numFmtId="2" fontId="7" fillId="10" borderId="107" pivotButton="0" quotePrefix="0" xfId="0"/>
    <xf numFmtId="49" fontId="14" fillId="10" borderId="115" pivotButton="0" quotePrefix="0" xfId="0"/>
    <xf numFmtId="0" fontId="38" fillId="23" borderId="61" applyAlignment="1" pivotButton="0" quotePrefix="0" xfId="0">
      <alignment horizontal="right" vertical="center"/>
    </xf>
    <xf numFmtId="49" fontId="32" fillId="2" borderId="36" pivotButton="0" quotePrefix="0" xfId="0"/>
    <xf numFmtId="0" fontId="38" fillId="2" borderId="143" pivotButton="0" quotePrefix="0" xfId="0"/>
    <xf numFmtId="0" fontId="38" fillId="10" borderId="77" pivotButton="0" quotePrefix="0" xfId="0"/>
    <xf numFmtId="2" fontId="83" fillId="10" borderId="61" pivotButton="0" quotePrefix="0" xfId="0"/>
    <xf numFmtId="2" fontId="38" fillId="10" borderId="77" pivotButton="0" quotePrefix="0" xfId="0"/>
    <xf numFmtId="2" fontId="38" fillId="2" borderId="173" applyAlignment="1" pivotButton="0" quotePrefix="0" xfId="0">
      <alignment horizontal="right" vertical="center"/>
    </xf>
    <xf numFmtId="2" fontId="38" fillId="2" borderId="77" applyAlignment="1" pivotButton="0" quotePrefix="0" xfId="0">
      <alignment horizontal="right" vertical="center"/>
    </xf>
    <xf numFmtId="2" fontId="50" fillId="24" borderId="0" pivotButton="0" quotePrefix="0" xfId="0"/>
    <xf numFmtId="49" fontId="14" fillId="10" borderId="115" applyAlignment="1" pivotButton="0" quotePrefix="0" xfId="0">
      <alignment horizontal="left"/>
    </xf>
    <xf numFmtId="0" fontId="0" fillId="2" borderId="13" pivotButton="0" quotePrefix="0" xfId="0"/>
    <xf numFmtId="0" fontId="29" fillId="2" borderId="174" pivotButton="0" quotePrefix="0" xfId="0"/>
    <xf numFmtId="49" fontId="83" fillId="2" borderId="77" applyAlignment="1" pivotButton="0" quotePrefix="0" xfId="0">
      <alignment horizontal="center"/>
    </xf>
    <xf numFmtId="0" fontId="83" fillId="2" borderId="77" applyAlignment="1" pivotButton="0" quotePrefix="0" xfId="0">
      <alignment horizontal="center"/>
    </xf>
    <xf numFmtId="0" fontId="83" fillId="10" borderId="77" applyAlignment="1" pivotButton="0" quotePrefix="0" xfId="0">
      <alignment horizontal="center"/>
    </xf>
    <xf numFmtId="1" fontId="83" fillId="10" borderId="139" applyAlignment="1" pivotButton="0" quotePrefix="0" xfId="0">
      <alignment horizontal="center"/>
    </xf>
    <xf numFmtId="49" fontId="83" fillId="2" borderId="139" applyAlignment="1" pivotButton="0" quotePrefix="0" xfId="0">
      <alignment horizontal="center"/>
    </xf>
    <xf numFmtId="49" fontId="83" fillId="10" borderId="139" applyAlignment="1" pivotButton="0" quotePrefix="0" xfId="0">
      <alignment horizontal="center"/>
    </xf>
    <xf numFmtId="49" fontId="83" fillId="2" borderId="140" applyAlignment="1" pivotButton="0" quotePrefix="0" xfId="0">
      <alignment horizontal="center"/>
    </xf>
    <xf numFmtId="0" fontId="83" fillId="2" borderId="110" applyAlignment="1" pivotButton="0" quotePrefix="0" xfId="0">
      <alignment horizontal="center"/>
    </xf>
    <xf numFmtId="49" fontId="83" fillId="2" borderId="112" applyAlignment="1" pivotButton="0" quotePrefix="0" xfId="0">
      <alignment horizontal="center"/>
    </xf>
    <xf numFmtId="0" fontId="83" fillId="2" borderId="112" applyAlignment="1" pivotButton="0" quotePrefix="0" xfId="0">
      <alignment horizontal="center"/>
    </xf>
    <xf numFmtId="0" fontId="83" fillId="10" borderId="112" applyAlignment="1" pivotButton="0" quotePrefix="0" xfId="0">
      <alignment horizontal="center"/>
    </xf>
    <xf numFmtId="0" fontId="83" fillId="2" borderId="113" applyAlignment="1" pivotButton="0" quotePrefix="0" xfId="0">
      <alignment horizontal="center"/>
    </xf>
    <xf numFmtId="49" fontId="14" fillId="2" borderId="82" applyAlignment="1" pivotButton="0" quotePrefix="0" xfId="0">
      <alignment horizontal="center"/>
    </xf>
    <xf numFmtId="49" fontId="14" fillId="2" borderId="115" applyAlignment="1" pivotButton="0" quotePrefix="0" xfId="0">
      <alignment horizontal="center"/>
    </xf>
    <xf numFmtId="49" fontId="14" fillId="2" borderId="116" applyAlignment="1" pivotButton="0" quotePrefix="0" xfId="0">
      <alignment horizontal="center"/>
    </xf>
    <xf numFmtId="49" fontId="14" fillId="2" borderId="115" pivotButton="0" quotePrefix="0" xfId="0"/>
    <xf numFmtId="0" fontId="14" fillId="10" borderId="116" pivotButton="0" quotePrefix="0" xfId="0"/>
    <xf numFmtId="1" fontId="83" fillId="2" borderId="138" applyAlignment="1" pivotButton="0" quotePrefix="0" xfId="0">
      <alignment horizontal="center"/>
    </xf>
    <xf numFmtId="49" fontId="83" fillId="2" borderId="109" applyAlignment="1" pivotButton="0" quotePrefix="0" xfId="0">
      <alignment horizontal="center"/>
    </xf>
    <xf numFmtId="49" fontId="83" fillId="2" borderId="111" applyAlignment="1" pivotButton="0" quotePrefix="0" xfId="0">
      <alignment horizontal="center"/>
    </xf>
    <xf numFmtId="1" fontId="62" fillId="25" borderId="111" pivotButton="0" quotePrefix="0" xfId="0"/>
    <xf numFmtId="1" fontId="62" fillId="25" borderId="112" pivotButton="0" quotePrefix="0" xfId="0"/>
    <xf numFmtId="166" fontId="62" fillId="25" borderId="112" pivotButton="0" quotePrefix="0" xfId="0"/>
    <xf numFmtId="1" fontId="62" fillId="25" borderId="112" applyAlignment="1" pivotButton="0" quotePrefix="0" xfId="0">
      <alignment horizontal="center"/>
    </xf>
    <xf numFmtId="1" fontId="62" fillId="25" borderId="113" pivotButton="0" quotePrefix="0" xfId="0"/>
    <xf numFmtId="49" fontId="14" fillId="10" borderId="163" pivotButton="0" quotePrefix="0" xfId="0"/>
    <xf numFmtId="1" fontId="14" fillId="24" borderId="80" applyAlignment="1" pivotButton="0" quotePrefix="0" xfId="0">
      <alignment horizontal="center"/>
    </xf>
    <xf numFmtId="1" fontId="14" fillId="10" borderId="80" applyAlignment="1" pivotButton="0" quotePrefix="0" xfId="0">
      <alignment horizontal="center"/>
    </xf>
    <xf numFmtId="0" fontId="14" fillId="10" borderId="80" applyAlignment="1" pivotButton="0" quotePrefix="0" xfId="0">
      <alignment horizontal="center"/>
    </xf>
    <xf numFmtId="49" fontId="14" fillId="10" borderId="114" pivotButton="0" quotePrefix="0" xfId="0"/>
    <xf numFmtId="49" fontId="14" fillId="10" borderId="82" pivotButton="0" quotePrefix="0" xfId="0"/>
    <xf numFmtId="49" fontId="14" fillId="10" borderId="116" pivotButton="0" quotePrefix="0" xfId="0"/>
    <xf numFmtId="1" fontId="14" fillId="24" borderId="111" applyAlignment="1" pivotButton="0" quotePrefix="0" xfId="0">
      <alignment horizontal="center"/>
    </xf>
    <xf numFmtId="1" fontId="14" fillId="24" borderId="112" applyAlignment="1" pivotButton="0" quotePrefix="0" xfId="0">
      <alignment horizontal="center"/>
    </xf>
    <xf numFmtId="1" fontId="14" fillId="10" borderId="112" applyAlignment="1" pivotButton="0" quotePrefix="0" xfId="0">
      <alignment horizontal="center"/>
    </xf>
    <xf numFmtId="0" fontId="14" fillId="10" borderId="112" applyAlignment="1" pivotButton="0" quotePrefix="0" xfId="0">
      <alignment horizontal="center"/>
    </xf>
    <xf numFmtId="0" fontId="14" fillId="24" borderId="112" applyAlignment="1" pivotButton="0" quotePrefix="0" xfId="0">
      <alignment horizontal="center"/>
    </xf>
    <xf numFmtId="171" fontId="14" fillId="24" borderId="112" applyAlignment="1" pivotButton="0" quotePrefix="0" xfId="3">
      <alignment horizontal="center"/>
    </xf>
    <xf numFmtId="1" fontId="14" fillId="34" borderId="113" applyAlignment="1" pivotButton="0" quotePrefix="0" xfId="0">
      <alignment horizontal="center"/>
    </xf>
    <xf numFmtId="1" fontId="14" fillId="10" borderId="128" applyAlignment="1" pivotButton="0" quotePrefix="0" xfId="0">
      <alignment horizontal="center"/>
    </xf>
    <xf numFmtId="171" fontId="14" fillId="10" borderId="80" applyAlignment="1" pivotButton="0" quotePrefix="0" xfId="3">
      <alignment horizontal="center"/>
    </xf>
    <xf numFmtId="2" fontId="50" fillId="24" borderId="80" pivotButton="0" quotePrefix="0" xfId="0"/>
    <xf numFmtId="165" fontId="8" fillId="10" borderId="85" applyAlignment="1" pivotButton="0" quotePrefix="0" xfId="0">
      <alignment horizontal="left" vertical="center"/>
    </xf>
    <xf numFmtId="2" fontId="50" fillId="24" borderId="172" pivotButton="0" quotePrefix="0" xfId="0"/>
    <xf numFmtId="164" fontId="50" fillId="24" borderId="168" pivotButton="0" quotePrefix="0" xfId="0"/>
    <xf numFmtId="2" fontId="50" fillId="24" borderId="168" pivotButton="0" quotePrefix="0" xfId="0"/>
    <xf numFmtId="49" fontId="7" fillId="10" borderId="178" pivotButton="0" quotePrefix="0" xfId="0"/>
    <xf numFmtId="165" fontId="8" fillId="10" borderId="140" applyAlignment="1" pivotButton="0" quotePrefix="0" xfId="0">
      <alignment horizontal="left" vertical="center"/>
    </xf>
    <xf numFmtId="164" fontId="50" fillId="24" borderId="80" pivotButton="0" quotePrefix="0" xfId="0"/>
    <xf numFmtId="49" fontId="7" fillId="10" borderId="135" pivotButton="0" quotePrefix="0" xfId="0"/>
    <xf numFmtId="0" fontId="50" fillId="10" borderId="167" applyAlignment="1" pivotButton="0" quotePrefix="0" xfId="0">
      <alignment horizontal="center"/>
    </xf>
    <xf numFmtId="0" fontId="50" fillId="10" borderId="178" applyAlignment="1" pivotButton="0" quotePrefix="0" xfId="0">
      <alignment horizontal="right"/>
    </xf>
    <xf numFmtId="165" fontId="8" fillId="10" borderId="178" applyAlignment="1" pivotButton="0" quotePrefix="0" xfId="0">
      <alignment horizontal="left" vertical="center"/>
    </xf>
    <xf numFmtId="2" fontId="50" fillId="10" borderId="179" pivotButton="0" quotePrefix="0" xfId="0"/>
    <xf numFmtId="164" fontId="50" fillId="10" borderId="180" pivotButton="0" quotePrefix="0" xfId="0"/>
    <xf numFmtId="2" fontId="50" fillId="10" borderId="180" pivotButton="0" quotePrefix="0" xfId="0"/>
    <xf numFmtId="4" fontId="50" fillId="10" borderId="180" pivotButton="0" quotePrefix="0" xfId="0"/>
    <xf numFmtId="2" fontId="50" fillId="34" borderId="180" pivotButton="0" quotePrefix="0" xfId="0"/>
    <xf numFmtId="164" fontId="50" fillId="34" borderId="180" pivotButton="0" quotePrefix="0" xfId="0"/>
    <xf numFmtId="164" fontId="50" fillId="10" borderId="181" pivotButton="0" quotePrefix="0" xfId="0"/>
    <xf numFmtId="164" fontId="50" fillId="10" borderId="179" pivotButton="0" quotePrefix="0" xfId="0"/>
    <xf numFmtId="0" fontId="50" fillId="10" borderId="179" applyAlignment="1" pivotButton="0" quotePrefix="0" xfId="0">
      <alignment horizontal="center"/>
    </xf>
    <xf numFmtId="0" fontId="50" fillId="10" borderId="180" applyAlignment="1" pivotButton="0" quotePrefix="0" xfId="0">
      <alignment horizontal="center"/>
    </xf>
    <xf numFmtId="2" fontId="50" fillId="10" borderId="182" pivotButton="0" quotePrefix="0" xfId="0"/>
    <xf numFmtId="164" fontId="50" fillId="10" borderId="146" pivotButton="0" quotePrefix="0" xfId="0"/>
    <xf numFmtId="2" fontId="50" fillId="34" borderId="100" pivotButton="0" quotePrefix="0" xfId="0"/>
    <xf numFmtId="164" fontId="50" fillId="34" borderId="101" pivotButton="0" quotePrefix="0" xfId="0"/>
    <xf numFmtId="2" fontId="50" fillId="34" borderId="101" pivotButton="0" quotePrefix="0" xfId="0"/>
    <xf numFmtId="164" fontId="50" fillId="10" borderId="168" pivotButton="0" quotePrefix="0" xfId="0"/>
    <xf numFmtId="4" fontId="50" fillId="34" borderId="101" pivotButton="0" quotePrefix="0" xfId="0"/>
    <xf numFmtId="2" fontId="50" fillId="10" borderId="168" pivotButton="0" quotePrefix="0" xfId="0"/>
    <xf numFmtId="164" fontId="50" fillId="34" borderId="117" pivotButton="0" quotePrefix="0" xfId="0"/>
    <xf numFmtId="164" fontId="50" fillId="24" borderId="100" pivotButton="0" quotePrefix="0" xfId="0"/>
    <xf numFmtId="164" fontId="50" fillId="24" borderId="117" pivotButton="0" quotePrefix="0" xfId="0"/>
    <xf numFmtId="0" fontId="50" fillId="24" borderId="100" applyAlignment="1" pivotButton="0" quotePrefix="0" xfId="0">
      <alignment horizontal="center"/>
    </xf>
    <xf numFmtId="164" fontId="50" fillId="24" borderId="101" pivotButton="0" quotePrefix="0" xfId="0"/>
    <xf numFmtId="0" fontId="50" fillId="24" borderId="101" applyAlignment="1" pivotButton="0" quotePrefix="0" xfId="0">
      <alignment horizontal="center"/>
    </xf>
    <xf numFmtId="2" fontId="50" fillId="24" borderId="102" pivotButton="0" quotePrefix="0" xfId="0"/>
    <xf numFmtId="164" fontId="50" fillId="24" borderId="130" pivotButton="0" quotePrefix="0" xfId="0"/>
    <xf numFmtId="2" fontId="50" fillId="10" borderId="133" pivotButton="0" quotePrefix="0" xfId="0"/>
    <xf numFmtId="49" fontId="7" fillId="10" borderId="85" pivotButton="0" quotePrefix="0" xfId="0"/>
    <xf numFmtId="2" fontId="50" fillId="24" borderId="100" pivotButton="0" quotePrefix="0" xfId="0"/>
    <xf numFmtId="2" fontId="50" fillId="24" borderId="101" pivotButton="0" quotePrefix="0" xfId="0"/>
    <xf numFmtId="4" fontId="50" fillId="24" borderId="168" pivotButton="0" quotePrefix="0" xfId="0"/>
    <xf numFmtId="2" fontId="50" fillId="10" borderId="80" applyAlignment="1" pivotButton="0" quotePrefix="0" xfId="0">
      <alignment wrapText="1"/>
    </xf>
    <xf numFmtId="0" fontId="50" fillId="10" borderId="163" applyAlignment="1" pivotButton="0" quotePrefix="0" xfId="0">
      <alignment horizontal="right"/>
    </xf>
    <xf numFmtId="0" fontId="50" fillId="10" borderId="170" applyAlignment="1" pivotButton="0" quotePrefix="0" xfId="0">
      <alignment horizontal="right"/>
    </xf>
    <xf numFmtId="164" fontId="50" fillId="10" borderId="105" pivotButton="0" quotePrefix="0" xfId="0"/>
    <xf numFmtId="0" fontId="50" fillId="10" borderId="92" applyAlignment="1" pivotButton="0" quotePrefix="0" xfId="0">
      <alignment horizontal="right"/>
    </xf>
    <xf numFmtId="2" fontId="50" fillId="24" borderId="180" pivotButton="0" quotePrefix="0" xfId="0"/>
    <xf numFmtId="164" fontId="50" fillId="24" borderId="180" pivotButton="0" quotePrefix="0" xfId="0"/>
    <xf numFmtId="1" fontId="14" fillId="10" borderId="139" applyAlignment="1" pivotButton="0" quotePrefix="0" xfId="3">
      <alignment horizontal="center"/>
    </xf>
    <xf numFmtId="164" fontId="7" fillId="10" borderId="104" pivotButton="0" quotePrefix="0" xfId="3"/>
    <xf numFmtId="0" fontId="0" fillId="0" borderId="183" pivotButton="0" quotePrefix="0" xfId="0"/>
    <xf numFmtId="49" fontId="83" fillId="10" borderId="127" applyAlignment="1" pivotButton="0" quotePrefix="0" xfId="0">
      <alignment horizontal="center"/>
    </xf>
    <xf numFmtId="1" fontId="65" fillId="21" borderId="104" applyAlignment="1" pivotButton="0" quotePrefix="0" xfId="0">
      <alignment horizontal="center"/>
    </xf>
    <xf numFmtId="2" fontId="65" fillId="21" borderId="105" applyAlignment="1" pivotButton="0" quotePrefix="0" xfId="0">
      <alignment horizontal="center"/>
    </xf>
    <xf numFmtId="2" fontId="65" fillId="21" borderId="122" applyAlignment="1" pivotButton="0" quotePrefix="0" xfId="0">
      <alignment horizontal="center"/>
    </xf>
    <xf numFmtId="4" fontId="7" fillId="24" borderId="106" pivotButton="0" quotePrefix="0" xfId="0"/>
    <xf numFmtId="0" fontId="50" fillId="10" borderId="81" applyAlignment="1" pivotButton="0" quotePrefix="0" xfId="0">
      <alignment horizontal="right"/>
    </xf>
    <xf numFmtId="165" fontId="8" fillId="10" borderId="81" applyAlignment="1" pivotButton="0" quotePrefix="0" xfId="0">
      <alignment horizontal="left" vertical="center"/>
    </xf>
    <xf numFmtId="0" fontId="29" fillId="10" borderId="20" pivotButton="0" quotePrefix="0" xfId="0"/>
    <xf numFmtId="49" fontId="31" fillId="13" borderId="21" applyAlignment="1" pivotButton="0" quotePrefix="0" xfId="0">
      <alignment horizontal="center"/>
    </xf>
    <xf numFmtId="0" fontId="29" fillId="13" borderId="158" pivotButton="0" quotePrefix="0" xfId="0"/>
    <xf numFmtId="0" fontId="29" fillId="13" borderId="151" applyAlignment="1" pivotButton="0" quotePrefix="0" xfId="0">
      <alignment horizontal="center"/>
    </xf>
    <xf numFmtId="0" fontId="29" fillId="13" borderId="176" pivotButton="0" quotePrefix="0" xfId="0"/>
    <xf numFmtId="0" fontId="29" fillId="13" borderId="20" pivotButton="0" quotePrefix="0" xfId="0"/>
    <xf numFmtId="49" fontId="87" fillId="2" borderId="106" pivotButton="0" quotePrefix="0" xfId="0"/>
    <xf numFmtId="49" fontId="88" fillId="2" borderId="159" pivotButton="0" quotePrefix="0" xfId="0"/>
    <xf numFmtId="49" fontId="88" fillId="2" borderId="115" pivotButton="0" quotePrefix="0" xfId="0"/>
    <xf numFmtId="49" fontId="88" fillId="10" borderId="156" pivotButton="0" quotePrefix="0" xfId="0"/>
    <xf numFmtId="170" fontId="88" fillId="2" borderId="175" applyAlignment="1" pivotButton="0" quotePrefix="0" xfId="0">
      <alignment horizontal="left"/>
    </xf>
    <xf numFmtId="49" fontId="88" fillId="13" borderId="177" applyAlignment="1" pivotButton="0" quotePrefix="0" xfId="0">
      <alignment horizontal="center"/>
    </xf>
    <xf numFmtId="0" fontId="88" fillId="13" borderId="94" applyAlignment="1" pivotButton="0" quotePrefix="0" xfId="0">
      <alignment horizontal="left"/>
    </xf>
    <xf numFmtId="0" fontId="88" fillId="2" borderId="174" applyAlignment="1" pivotButton="0" quotePrefix="0" xfId="18">
      <alignment horizontal="center" vertical="center"/>
    </xf>
    <xf numFmtId="0" fontId="88" fillId="2" borderId="123" pivotButton="0" quotePrefix="0" xfId="18"/>
    <xf numFmtId="49" fontId="89" fillId="10" borderId="171" applyAlignment="1" pivotButton="0" quotePrefix="0" xfId="0">
      <alignment horizontal="center"/>
    </xf>
    <xf numFmtId="49" fontId="17" fillId="10" borderId="20" applyAlignment="1" pivotButton="0" quotePrefix="0" xfId="0">
      <alignment horizontal="center"/>
    </xf>
    <xf numFmtId="49" fontId="15" fillId="2" borderId="71" applyAlignment="1" pivotButton="0" quotePrefix="0" xfId="0">
      <alignment horizontal="center"/>
    </xf>
    <xf numFmtId="0" fontId="88" fillId="2" borderId="144" pivotButton="0" quotePrefix="0" xfId="1"/>
    <xf numFmtId="49" fontId="17" fillId="13" borderId="20" applyAlignment="1" pivotButton="0" quotePrefix="0" xfId="0">
      <alignment horizontal="center"/>
    </xf>
    <xf numFmtId="49" fontId="17" fillId="2" borderId="21" pivotButton="0" quotePrefix="0" xfId="0"/>
    <xf numFmtId="49" fontId="17" fillId="10" borderId="115" applyAlignment="1" pivotButton="0" quotePrefix="0" xfId="0">
      <alignment horizontal="center"/>
    </xf>
    <xf numFmtId="49" fontId="17" fillId="2" borderId="162" pivotButton="0" quotePrefix="0" xfId="0"/>
    <xf numFmtId="0" fontId="17" fillId="2" borderId="27" applyAlignment="1" pivotButton="0" quotePrefix="0" xfId="0">
      <alignment horizontal="center"/>
    </xf>
    <xf numFmtId="0" fontId="17" fillId="2" borderId="21" pivotButton="0" quotePrefix="0" xfId="0"/>
    <xf numFmtId="49" fontId="17" fillId="10" borderId="21" pivotButton="0" quotePrefix="0" xfId="0"/>
    <xf numFmtId="0" fontId="17" fillId="2" borderId="160" applyAlignment="1" pivotButton="0" quotePrefix="0" xfId="0">
      <alignment horizontal="center"/>
    </xf>
    <xf numFmtId="170" fontId="17" fillId="13" borderId="38" applyAlignment="1" pivotButton="0" quotePrefix="0" xfId="0">
      <alignment horizontal="left"/>
    </xf>
    <xf numFmtId="0" fontId="17" fillId="13" borderId="20" pivotButton="0" quotePrefix="0" xfId="0"/>
    <xf numFmtId="49" fontId="89" fillId="2" borderId="123" applyAlignment="1" pivotButton="0" quotePrefix="0" xfId="0">
      <alignment horizontal="center"/>
    </xf>
    <xf numFmtId="49" fontId="89" fillId="10" borderId="123" applyAlignment="1" pivotButton="0" quotePrefix="0" xfId="0">
      <alignment horizontal="center"/>
    </xf>
    <xf numFmtId="49" fontId="7" fillId="2" borderId="81" pivotButton="0" quotePrefix="0" xfId="0"/>
    <xf numFmtId="0" fontId="89" fillId="10" borderId="162" applyAlignment="1" pivotButton="0" quotePrefix="0" xfId="0">
      <alignment horizontal="left"/>
    </xf>
    <xf numFmtId="49" fontId="90" fillId="10" borderId="114" pivotButton="0" quotePrefix="0" xfId="0"/>
    <xf numFmtId="2" fontId="7" fillId="24" borderId="106" pivotButton="0" quotePrefix="0" xfId="0"/>
    <xf numFmtId="0" fontId="88" fillId="10" borderId="174" applyAlignment="1" pivotButton="0" quotePrefix="0" xfId="18">
      <alignment horizontal="center" vertical="center"/>
    </xf>
    <xf numFmtId="0" fontId="31" fillId="10" borderId="144" pivotButton="0" quotePrefix="0" xfId="0"/>
    <xf numFmtId="0" fontId="88" fillId="10" borderId="124" pivotButton="0" quotePrefix="0" xfId="18"/>
    <xf numFmtId="164" fontId="7" fillId="2" borderId="110" pivotButton="0" quotePrefix="0" xfId="0"/>
    <xf numFmtId="168" fontId="65" fillId="22" borderId="110" applyAlignment="1" pivotButton="0" quotePrefix="0" xfId="3">
      <alignment horizontal="center"/>
    </xf>
    <xf numFmtId="0" fontId="91" fillId="37" borderId="100" applyAlignment="1" pivotButton="0" quotePrefix="0" xfId="0">
      <alignment horizontal="center"/>
    </xf>
    <xf numFmtId="2" fontId="91" fillId="37" borderId="101" applyAlignment="1" pivotButton="0" quotePrefix="0" xfId="0">
      <alignment horizontal="center" vertical="center"/>
    </xf>
    <xf numFmtId="0" fontId="91" fillId="37" borderId="102" applyAlignment="1" pivotButton="0" quotePrefix="0" xfId="0">
      <alignment horizontal="center"/>
    </xf>
    <xf numFmtId="2" fontId="65" fillId="37" borderId="18" applyAlignment="1" pivotButton="0" quotePrefix="0" xfId="0">
      <alignment horizontal="center"/>
    </xf>
    <xf numFmtId="2" fontId="0" fillId="37" borderId="0" pivotButton="0" quotePrefix="0" xfId="0"/>
    <xf numFmtId="167" fontId="65" fillId="38" borderId="81" applyAlignment="1" pivotButton="0" quotePrefix="0" xfId="8">
      <alignment horizontal="center"/>
    </xf>
    <xf numFmtId="167" fontId="65" fillId="38" borderId="77" applyAlignment="1" pivotButton="0" quotePrefix="0" xfId="0">
      <alignment horizontal="center"/>
    </xf>
    <xf numFmtId="0" fontId="65" fillId="38" borderId="77" applyAlignment="1" pivotButton="0" quotePrefix="0" xfId="0">
      <alignment horizontal="center"/>
    </xf>
    <xf numFmtId="168" fontId="65" fillId="38" borderId="77" applyAlignment="1" pivotButton="0" quotePrefix="0" xfId="8">
      <alignment horizontal="center"/>
    </xf>
    <xf numFmtId="10" fontId="65" fillId="38" borderId="77" applyAlignment="1" pivotButton="0" quotePrefix="0" xfId="9">
      <alignment horizontal="center"/>
    </xf>
    <xf numFmtId="2" fontId="65" fillId="38" borderId="77" applyAlignment="1" pivotButton="0" quotePrefix="0" xfId="0">
      <alignment horizontal="center"/>
    </xf>
    <xf numFmtId="2" fontId="65" fillId="38" borderId="80" applyAlignment="1" pivotButton="0" quotePrefix="0" xfId="0">
      <alignment horizontal="center"/>
    </xf>
    <xf numFmtId="2" fontId="65" fillId="38" borderId="122" applyAlignment="1" pivotButton="0" quotePrefix="0" xfId="0">
      <alignment horizontal="center"/>
    </xf>
    <xf numFmtId="167" fontId="65" fillId="38" borderId="81" applyAlignment="1" pivotButton="0" quotePrefix="0" xfId="3">
      <alignment horizontal="center"/>
    </xf>
    <xf numFmtId="168" fontId="65" fillId="38" borderId="77" applyAlignment="1" pivotButton="0" quotePrefix="0" xfId="3">
      <alignment horizontal="center"/>
    </xf>
    <xf numFmtId="10" fontId="65" fillId="38" borderId="77" applyAlignment="1" pivotButton="0" quotePrefix="0" xfId="4">
      <alignment horizontal="center"/>
    </xf>
    <xf numFmtId="49" fontId="90" fillId="2" borderId="115" pivotButton="0" quotePrefix="0" xfId="0"/>
    <xf numFmtId="4" fontId="0" fillId="0" borderId="0" pivotButton="0" quotePrefix="0" xfId="0"/>
    <xf numFmtId="167" fontId="65" fillId="0" borderId="81" applyAlignment="1" pivotButton="0" quotePrefix="0" xfId="8">
      <alignment horizontal="center"/>
    </xf>
    <xf numFmtId="167" fontId="65" fillId="0" borderId="77" applyAlignment="1" pivotButton="0" quotePrefix="0" xfId="0">
      <alignment horizontal="center"/>
    </xf>
    <xf numFmtId="0" fontId="65" fillId="0" borderId="77" applyAlignment="1" pivotButton="0" quotePrefix="0" xfId="0">
      <alignment horizontal="center"/>
    </xf>
    <xf numFmtId="168" fontId="65" fillId="0" borderId="77" applyAlignment="1" pivotButton="0" quotePrefix="0" xfId="8">
      <alignment horizontal="center"/>
    </xf>
    <xf numFmtId="10" fontId="65" fillId="0" borderId="77" applyAlignment="1" pivotButton="0" quotePrefix="0" xfId="9">
      <alignment horizontal="center"/>
    </xf>
    <xf numFmtId="2" fontId="65" fillId="0" borderId="77" applyAlignment="1" pivotButton="0" quotePrefix="0" xfId="0">
      <alignment horizontal="center"/>
    </xf>
    <xf numFmtId="2" fontId="65" fillId="0" borderId="80" applyAlignment="1" pivotButton="0" quotePrefix="0" xfId="0">
      <alignment horizontal="center"/>
    </xf>
    <xf numFmtId="2" fontId="65" fillId="0" borderId="122" applyAlignment="1" pivotButton="0" quotePrefix="0" xfId="0">
      <alignment horizontal="center"/>
    </xf>
    <xf numFmtId="167" fontId="65" fillId="22" borderId="108" applyAlignment="1" pivotButton="0" quotePrefix="0" xfId="3">
      <alignment horizontal="center"/>
    </xf>
    <xf numFmtId="0" fontId="65" fillId="22" borderId="110" applyAlignment="1" pivotButton="0" quotePrefix="0" xfId="0">
      <alignment horizontal="center"/>
    </xf>
    <xf numFmtId="10" fontId="65" fillId="22" borderId="110" applyAlignment="1" pivotButton="0" quotePrefix="0" xfId="4">
      <alignment horizontal="center"/>
    </xf>
    <xf numFmtId="2" fontId="65" fillId="22" borderId="110" applyAlignment="1" pivotButton="0" quotePrefix="0" xfId="0">
      <alignment horizontal="center"/>
    </xf>
    <xf numFmtId="167" fontId="65" fillId="22" borderId="108" applyAlignment="1" pivotButton="0" quotePrefix="0" xfId="8">
      <alignment horizontal="center"/>
    </xf>
    <xf numFmtId="167" fontId="65" fillId="22" borderId="137" applyAlignment="1" pivotButton="0" quotePrefix="0" xfId="0">
      <alignment horizontal="center"/>
    </xf>
    <xf numFmtId="168" fontId="65" fillId="22" borderId="110" applyAlignment="1" pivotButton="0" quotePrefix="0" xfId="8">
      <alignment horizontal="center"/>
    </xf>
    <xf numFmtId="10" fontId="65" fillId="22" borderId="110" applyAlignment="1" pivotButton="0" quotePrefix="0" xfId="9">
      <alignment horizontal="center"/>
    </xf>
    <xf numFmtId="2" fontId="65" fillId="22" borderId="126" applyAlignment="1" pivotButton="0" quotePrefix="0" xfId="0">
      <alignment horizontal="center"/>
    </xf>
    <xf numFmtId="172" fontId="65" fillId="22" borderId="110" applyAlignment="1" pivotButton="0" quotePrefix="0" xfId="0">
      <alignment horizontal="center"/>
    </xf>
    <xf numFmtId="167" fontId="65" fillId="0" borderId="81" applyAlignment="1" pivotButton="0" quotePrefix="0" xfId="3">
      <alignment horizontal="center"/>
    </xf>
    <xf numFmtId="168" fontId="65" fillId="0" borderId="77" applyAlignment="1" pivotButton="0" quotePrefix="0" xfId="3">
      <alignment horizontal="center"/>
    </xf>
    <xf numFmtId="10" fontId="65" fillId="0" borderId="77" applyAlignment="1" pivotButton="0" quotePrefix="0" xfId="4">
      <alignment horizontal="center"/>
    </xf>
    <xf numFmtId="169" fontId="50" fillId="10" borderId="166" pivotButton="0" quotePrefix="0" xfId="0"/>
    <xf numFmtId="164" fontId="7" fillId="3" borderId="77" pivotButton="0" quotePrefix="0" xfId="0"/>
    <xf numFmtId="164" fontId="7" fillId="3" borderId="77" pivotButton="0" quotePrefix="0" xfId="8"/>
    <xf numFmtId="164" fontId="7" fillId="3" borderId="110" pivotButton="0" quotePrefix="0" xfId="0"/>
    <xf numFmtId="164" fontId="7" fillId="2" borderId="109" pivotButton="0" quotePrefix="0" xfId="0"/>
    <xf numFmtId="164" fontId="7" fillId="2" borderId="77" pivotButton="0" quotePrefix="0" xfId="0"/>
    <xf numFmtId="0" fontId="7" fillId="2" borderId="77" applyAlignment="1" pivotButton="0" quotePrefix="0" xfId="0">
      <alignment horizontal="center"/>
    </xf>
    <xf numFmtId="164" fontId="7" fillId="33" borderId="77" pivotButton="0" quotePrefix="0" xfId="0"/>
    <xf numFmtId="2" fontId="7" fillId="10" borderId="109" pivotButton="0" quotePrefix="0" xfId="0"/>
    <xf numFmtId="173" fontId="86" fillId="10" borderId="115" applyAlignment="1" pivotButton="0" quotePrefix="0" xfId="0">
      <alignment horizontal="right"/>
    </xf>
    <xf numFmtId="2" fontId="92" fillId="22" borderId="80" applyAlignment="1" pivotButton="0" quotePrefix="0" xfId="0">
      <alignment horizontal="center"/>
    </xf>
    <xf numFmtId="2" fontId="92" fillId="22" borderId="122" applyAlignment="1" pivotButton="0" quotePrefix="0" xfId="0">
      <alignment horizontal="center"/>
    </xf>
    <xf numFmtId="167" fontId="65" fillId="17" borderId="81" applyAlignment="1" pivotButton="0" quotePrefix="0" xfId="8">
      <alignment horizontal="center"/>
    </xf>
    <xf numFmtId="167" fontId="65" fillId="17" borderId="77" applyAlignment="1" pivotButton="0" quotePrefix="0" xfId="0">
      <alignment horizontal="center"/>
    </xf>
    <xf numFmtId="0" fontId="65" fillId="17" borderId="77" applyAlignment="1" pivotButton="0" quotePrefix="0" xfId="0">
      <alignment horizontal="center"/>
    </xf>
    <xf numFmtId="168" fontId="65" fillId="17" borderId="77" applyAlignment="1" pivotButton="0" quotePrefix="0" xfId="8">
      <alignment horizontal="center"/>
    </xf>
    <xf numFmtId="10" fontId="65" fillId="17" borderId="77" applyAlignment="1" pivotButton="0" quotePrefix="0" xfId="9">
      <alignment horizontal="center"/>
    </xf>
    <xf numFmtId="2" fontId="65" fillId="17" borderId="77" applyAlignment="1" pivotButton="0" quotePrefix="0" xfId="0">
      <alignment horizontal="center"/>
    </xf>
    <xf numFmtId="2" fontId="65" fillId="17" borderId="80" applyAlignment="1" pivotButton="0" quotePrefix="0" xfId="0">
      <alignment horizontal="center"/>
    </xf>
    <xf numFmtId="167" fontId="65" fillId="17" borderId="108" applyAlignment="1" pivotButton="0" quotePrefix="0" xfId="3">
      <alignment horizontal="center"/>
    </xf>
    <xf numFmtId="167" fontId="65" fillId="17" borderId="110" applyAlignment="1" pivotButton="0" quotePrefix="0" xfId="0">
      <alignment horizontal="center"/>
    </xf>
    <xf numFmtId="0" fontId="65" fillId="17" borderId="110" applyAlignment="1" pivotButton="0" quotePrefix="0" xfId="0">
      <alignment horizontal="center"/>
    </xf>
    <xf numFmtId="168" fontId="65" fillId="17" borderId="110" applyAlignment="1" pivotButton="0" quotePrefix="0" xfId="3">
      <alignment horizontal="center"/>
    </xf>
    <xf numFmtId="10" fontId="65" fillId="17" borderId="110" applyAlignment="1" pivotButton="0" quotePrefix="0" xfId="4">
      <alignment horizontal="center"/>
    </xf>
    <xf numFmtId="2" fontId="65" fillId="17" borderId="110" applyAlignment="1" pivotButton="0" quotePrefix="0" xfId="0">
      <alignment horizontal="center"/>
    </xf>
    <xf numFmtId="2" fontId="65" fillId="17" borderId="126" applyAlignment="1" pivotButton="0" quotePrefix="0" xfId="0">
      <alignment horizontal="center"/>
    </xf>
    <xf numFmtId="2" fontId="65" fillId="17" borderId="122" applyAlignment="1" pivotButton="0" quotePrefix="0" xfId="0">
      <alignment horizontal="center"/>
    </xf>
    <xf numFmtId="167" fontId="65" fillId="17" borderId="108" applyAlignment="1" pivotButton="0" quotePrefix="0" xfId="8">
      <alignment horizontal="center"/>
    </xf>
    <xf numFmtId="167" fontId="65" fillId="17" borderId="137" applyAlignment="1" pivotButton="0" quotePrefix="0" xfId="0">
      <alignment horizontal="center"/>
    </xf>
    <xf numFmtId="168" fontId="65" fillId="17" borderId="110" applyAlignment="1" pivotButton="0" quotePrefix="0" xfId="8">
      <alignment horizontal="center"/>
    </xf>
    <xf numFmtId="10" fontId="65" fillId="17" borderId="110" applyAlignment="1" pivotButton="0" quotePrefix="0" xfId="9">
      <alignment horizontal="center"/>
    </xf>
    <xf numFmtId="0" fontId="65" fillId="0" borderId="82" applyAlignment="1" applyProtection="1" pivotButton="0" quotePrefix="0" xfId="0">
      <alignment horizontal="right"/>
      <protection locked="0" hidden="0"/>
    </xf>
    <xf numFmtId="0" fontId="93" fillId="0" borderId="135" applyAlignment="1" pivotButton="0" quotePrefix="0" xfId="0">
      <alignment horizontal="right"/>
    </xf>
    <xf numFmtId="0" fontId="65" fillId="0" borderId="114" applyAlignment="1" applyProtection="1" pivotButton="0" quotePrefix="0" xfId="0">
      <alignment horizontal="right"/>
      <protection locked="0" hidden="0"/>
    </xf>
    <xf numFmtId="0" fontId="67" fillId="0" borderId="132" applyAlignment="1" pivotButton="0" quotePrefix="0" xfId="0">
      <alignment horizontal="right"/>
    </xf>
    <xf numFmtId="167" fontId="94" fillId="0" borderId="132" applyAlignment="1" pivotButton="0" quotePrefix="0" xfId="5">
      <alignment horizontal="right"/>
    </xf>
    <xf numFmtId="0" fontId="94" fillId="0" borderId="132" applyAlignment="1" pivotButton="0" quotePrefix="0" xfId="5">
      <alignment horizontal="right"/>
    </xf>
    <xf numFmtId="0" fontId="65" fillId="0" borderId="114" applyAlignment="1" pivotButton="0" quotePrefix="0" xfId="0">
      <alignment horizontal="right"/>
    </xf>
    <xf numFmtId="0" fontId="63" fillId="10" borderId="183" pivotButton="0" quotePrefix="0" xfId="0"/>
    <xf numFmtId="0" fontId="63" fillId="0" borderId="183" pivotButton="0" quotePrefix="0" xfId="0"/>
    <xf numFmtId="0" fontId="95" fillId="0" borderId="114" pivotButton="0" quotePrefix="0" xfId="0"/>
    <xf numFmtId="172" fontId="65" fillId="17" borderId="110" applyAlignment="1" pivotButton="0" quotePrefix="0" xfId="0">
      <alignment horizontal="center"/>
    </xf>
    <xf numFmtId="2" fontId="0" fillId="17" borderId="0" pivotButton="0" quotePrefix="0" xfId="0"/>
    <xf numFmtId="167" fontId="65" fillId="17" borderId="81" applyAlignment="1" pivotButton="0" quotePrefix="0" xfId="3">
      <alignment horizontal="center"/>
    </xf>
    <xf numFmtId="168" fontId="65" fillId="17" borderId="77" applyAlignment="1" pivotButton="0" quotePrefix="0" xfId="3">
      <alignment horizontal="center"/>
    </xf>
    <xf numFmtId="10" fontId="65" fillId="17" borderId="77" applyAlignment="1" pivotButton="0" quotePrefix="0" xfId="4">
      <alignment horizontal="center"/>
    </xf>
    <xf numFmtId="0" fontId="96" fillId="39" borderId="85" applyAlignment="1" pivotButton="0" quotePrefix="0" xfId="0">
      <alignment vertical="center"/>
    </xf>
    <xf numFmtId="4" fontId="7" fillId="0" borderId="106" pivotButton="0" quotePrefix="0" xfId="0"/>
    <xf numFmtId="164" fontId="7" fillId="0" borderId="106" pivotButton="0" quotePrefix="0" xfId="0"/>
    <xf numFmtId="2" fontId="85" fillId="0" borderId="93" applyAlignment="1" pivotButton="0" quotePrefix="0" xfId="0">
      <alignment horizontal="center"/>
    </xf>
    <xf numFmtId="2" fontId="85" fillId="0" borderId="125" applyAlignment="1" pivotButton="0" quotePrefix="0" xfId="0">
      <alignment horizontal="center"/>
    </xf>
    <xf numFmtId="2" fontId="85" fillId="0" borderId="130" applyAlignment="1" pivotButton="0" quotePrefix="0" xfId="0">
      <alignment horizontal="center"/>
    </xf>
    <xf numFmtId="2" fontId="0" fillId="0" borderId="93" applyAlignment="1" pivotButton="0" quotePrefix="0" xfId="0">
      <alignment horizontal="center"/>
    </xf>
    <xf numFmtId="2" fontId="0" fillId="0" borderId="125" applyAlignment="1" pivotButton="0" quotePrefix="0" xfId="0">
      <alignment horizontal="center"/>
    </xf>
    <xf numFmtId="2" fontId="0" fillId="0" borderId="130" applyAlignment="1" pivotButton="0" quotePrefix="0" xfId="0">
      <alignment horizontal="center"/>
    </xf>
    <xf numFmtId="2" fontId="0" fillId="10" borderId="93" applyAlignment="1" pivotButton="0" quotePrefix="0" xfId="0">
      <alignment horizontal="center"/>
    </xf>
    <xf numFmtId="2" fontId="0" fillId="10" borderId="125" applyAlignment="1" pivotButton="0" quotePrefix="0" xfId="0">
      <alignment horizontal="center"/>
    </xf>
    <xf numFmtId="2" fontId="0" fillId="10" borderId="130" applyAlignment="1" pivotButton="0" quotePrefix="0" xfId="0">
      <alignment horizontal="center"/>
    </xf>
    <xf numFmtId="2" fontId="13" fillId="33" borderId="110" pivotButton="0" quotePrefix="0" xfId="0"/>
    <xf numFmtId="2" fontId="7" fillId="3" borderId="101" pivotButton="0" quotePrefix="0" xfId="0"/>
    <xf numFmtId="164" fontId="50" fillId="24" borderId="81" pivotButton="0" quotePrefix="0" xfId="0"/>
    <xf numFmtId="0" fontId="97" fillId="10" borderId="115" applyAlignment="1" pivotButton="0" quotePrefix="0" xfId="0">
      <alignment horizontal="right"/>
    </xf>
    <xf numFmtId="0" fontId="98" fillId="0" borderId="0" pivotButton="0" quotePrefix="0" xfId="0"/>
    <xf numFmtId="2" fontId="17" fillId="0" borderId="93" applyAlignment="1" pivotButton="0" quotePrefix="0" xfId="0">
      <alignment horizontal="center"/>
    </xf>
    <xf numFmtId="2" fontId="17" fillId="0" borderId="125" applyAlignment="1" pivotButton="0" quotePrefix="0" xfId="0">
      <alignment horizontal="center"/>
    </xf>
    <xf numFmtId="2" fontId="17" fillId="0" borderId="130" applyAlignment="1" pivotButton="0" quotePrefix="0" xfId="0">
      <alignment horizontal="center"/>
    </xf>
    <xf numFmtId="2" fontId="17" fillId="10" borderId="93" applyAlignment="1" pivotButton="0" quotePrefix="0" xfId="0">
      <alignment horizontal="center"/>
    </xf>
    <xf numFmtId="2" fontId="17" fillId="10" borderId="125" applyAlignment="1" pivotButton="0" quotePrefix="0" xfId="0">
      <alignment horizontal="center"/>
    </xf>
    <xf numFmtId="2" fontId="17" fillId="10" borderId="130" applyAlignment="1" pivotButton="0" quotePrefix="0" xfId="0">
      <alignment horizontal="center"/>
    </xf>
    <xf numFmtId="2" fontId="7" fillId="3" borderId="110" pivotButton="0" quotePrefix="0" xfId="0"/>
    <xf numFmtId="2" fontId="7" fillId="24" borderId="106" applyAlignment="1" pivotButton="0" quotePrefix="0" xfId="0">
      <alignment horizontal="right"/>
    </xf>
    <xf numFmtId="171" fontId="7" fillId="24" borderId="106" pivotButton="0" quotePrefix="0" xfId="3"/>
    <xf numFmtId="167" fontId="65" fillId="16" borderId="108" applyAlignment="1" pivotButton="0" quotePrefix="0" xfId="8">
      <alignment horizontal="center"/>
    </xf>
    <xf numFmtId="167" fontId="65" fillId="16" borderId="81" applyAlignment="1" pivotButton="0" quotePrefix="0" xfId="8">
      <alignment horizontal="center"/>
    </xf>
    <xf numFmtId="167" fontId="65" fillId="16" borderId="137" applyAlignment="1" pivotButton="0" quotePrefix="0" xfId="0">
      <alignment horizontal="center"/>
    </xf>
    <xf numFmtId="167" fontId="65" fillId="16" borderId="77" applyAlignment="1" pivotButton="0" quotePrefix="0" xfId="0">
      <alignment horizontal="center"/>
    </xf>
    <xf numFmtId="0" fontId="65" fillId="16" borderId="110" applyAlignment="1" pivotButton="0" quotePrefix="0" xfId="0">
      <alignment horizontal="center"/>
    </xf>
    <xf numFmtId="0" fontId="65" fillId="16" borderId="77" applyAlignment="1" pivotButton="0" quotePrefix="0" xfId="0">
      <alignment horizontal="center"/>
    </xf>
    <xf numFmtId="168" fontId="65" fillId="16" borderId="110" applyAlignment="1" pivotButton="0" quotePrefix="0" xfId="8">
      <alignment horizontal="center"/>
    </xf>
    <xf numFmtId="168" fontId="65" fillId="16" borderId="77" applyAlignment="1" pivotButton="0" quotePrefix="0" xfId="8">
      <alignment horizontal="center"/>
    </xf>
    <xf numFmtId="10" fontId="65" fillId="16" borderId="110" applyAlignment="1" pivotButton="0" quotePrefix="0" xfId="9">
      <alignment horizontal="center"/>
    </xf>
    <xf numFmtId="10" fontId="65" fillId="16" borderId="77" applyAlignment="1" pivotButton="0" quotePrefix="0" xfId="9">
      <alignment horizontal="center"/>
    </xf>
    <xf numFmtId="2" fontId="65" fillId="16" borderId="110" applyAlignment="1" pivotButton="0" quotePrefix="0" xfId="0">
      <alignment horizontal="center"/>
    </xf>
    <xf numFmtId="2" fontId="65" fillId="16" borderId="77" applyAlignment="1" pivotButton="0" quotePrefix="0" xfId="0">
      <alignment horizontal="center"/>
    </xf>
    <xf numFmtId="2" fontId="65" fillId="16" borderId="80" applyAlignment="1" pivotButton="0" quotePrefix="0" xfId="0">
      <alignment horizontal="center"/>
    </xf>
    <xf numFmtId="2" fontId="65" fillId="16" borderId="126" applyAlignment="1" pivotButton="0" quotePrefix="0" xfId="0">
      <alignment horizontal="center"/>
    </xf>
    <xf numFmtId="2" fontId="65" fillId="16" borderId="122" applyAlignment="1" pivotButton="0" quotePrefix="0" xfId="0">
      <alignment horizontal="center"/>
    </xf>
    <xf numFmtId="167" fontId="65" fillId="16" borderId="110" applyAlignment="1" pivotButton="0" quotePrefix="0" xfId="0">
      <alignment horizontal="center"/>
    </xf>
    <xf numFmtId="167" fontId="65" fillId="16" borderId="81" applyAlignment="1" pivotButton="0" quotePrefix="0" xfId="3">
      <alignment horizontal="center"/>
    </xf>
    <xf numFmtId="168" fontId="65" fillId="16" borderId="77" applyAlignment="1" pivotButton="0" quotePrefix="0" xfId="3">
      <alignment horizontal="center"/>
    </xf>
    <xf numFmtId="10" fontId="65" fillId="16" borderId="77" applyAlignment="1" pivotButton="0" quotePrefix="0" xfId="4">
      <alignment horizontal="center"/>
    </xf>
    <xf numFmtId="172" fontId="65" fillId="16" borderId="110" applyAlignment="1" pivotButton="0" quotePrefix="0" xfId="0">
      <alignment horizontal="center"/>
    </xf>
    <xf numFmtId="0" fontId="98" fillId="0" borderId="85" applyAlignment="1" pivotButton="0" quotePrefix="0" xfId="0">
      <alignment vertical="center"/>
    </xf>
    <xf numFmtId="2" fontId="50" fillId="24" borderId="107" pivotButton="0" quotePrefix="0" xfId="0"/>
    <xf numFmtId="164" fontId="50" fillId="24" borderId="167" pivotButton="0" quotePrefix="0" xfId="0"/>
    <xf numFmtId="164" fontId="50" fillId="24" borderId="103" pivotButton="0" quotePrefix="0" xfId="0"/>
    <xf numFmtId="2" fontId="83" fillId="0" borderId="130" applyAlignment="1" pivotButton="0" quotePrefix="0" xfId="0">
      <alignment horizontal="center"/>
    </xf>
    <xf numFmtId="2" fontId="15" fillId="0" borderId="93" applyAlignment="1" pivotButton="0" quotePrefix="0" xfId="0">
      <alignment horizontal="center"/>
    </xf>
    <xf numFmtId="2" fontId="15" fillId="0" borderId="125" applyAlignment="1" pivotButton="0" quotePrefix="0" xfId="0">
      <alignment horizontal="center"/>
    </xf>
    <xf numFmtId="2" fontId="15" fillId="0" borderId="130" applyAlignment="1" pivotButton="0" quotePrefix="0" xfId="0">
      <alignment horizontal="center"/>
    </xf>
    <xf numFmtId="2" fontId="15" fillId="10" borderId="93" applyAlignment="1" pivotButton="0" quotePrefix="0" xfId="0">
      <alignment horizontal="center"/>
    </xf>
    <xf numFmtId="2" fontId="15" fillId="10" borderId="125" applyAlignment="1" pivotButton="0" quotePrefix="0" xfId="0">
      <alignment horizontal="center"/>
    </xf>
    <xf numFmtId="2" fontId="15" fillId="10" borderId="130" applyAlignment="1" pivotButton="0" quotePrefix="0" xfId="0">
      <alignment horizontal="center"/>
    </xf>
    <xf numFmtId="49" fontId="90" fillId="10" borderId="115" applyAlignment="1" pivotButton="0" quotePrefix="0" xfId="0">
      <alignment horizontal="left"/>
    </xf>
    <xf numFmtId="2" fontId="83" fillId="0" borderId="125" applyAlignment="1" pivotButton="0" quotePrefix="0" xfId="0">
      <alignment horizontal="center"/>
    </xf>
    <xf numFmtId="0" fontId="99" fillId="0" borderId="0" pivotButton="0" quotePrefix="0" xfId="0"/>
    <xf numFmtId="0" fontId="56" fillId="0" borderId="0" pivotButton="0" quotePrefix="0" xfId="0"/>
    <xf numFmtId="0" fontId="100" fillId="0" borderId="114" applyAlignment="1" pivotButton="0" quotePrefix="0" xfId="0">
      <alignment horizontal="right"/>
    </xf>
    <xf numFmtId="174" fontId="66" fillId="0" borderId="115" pivotButton="0" quotePrefix="0" xfId="1"/>
    <xf numFmtId="174" fontId="66" fillId="2" borderId="123" pivotButton="0" quotePrefix="0" xfId="1"/>
    <xf numFmtId="0" fontId="16" fillId="0" borderId="0" pivotButton="0" quotePrefix="0" xfId="0"/>
    <xf numFmtId="0" fontId="14" fillId="10" borderId="0" pivotButton="0" quotePrefix="0" xfId="0"/>
    <xf numFmtId="0" fontId="14" fillId="0" borderId="0" pivotButton="0" quotePrefix="0" xfId="0"/>
    <xf numFmtId="0" fontId="89" fillId="39" borderId="94" applyAlignment="1" pivotButton="0" quotePrefix="0" xfId="0">
      <alignment vertical="center"/>
    </xf>
    <xf numFmtId="49" fontId="89" fillId="10" borderId="135" pivotButton="0" quotePrefix="0" xfId="0"/>
    <xf numFmtId="167" fontId="65" fillId="31" borderId="108" applyAlignment="1" pivotButton="0" quotePrefix="0" xfId="3">
      <alignment horizontal="center"/>
    </xf>
    <xf numFmtId="167" fontId="65" fillId="31" borderId="110" applyAlignment="1" pivotButton="0" quotePrefix="0" xfId="0">
      <alignment horizontal="center"/>
    </xf>
    <xf numFmtId="172" fontId="65" fillId="31" borderId="110" applyAlignment="1" pivotButton="0" quotePrefix="0" xfId="0">
      <alignment horizontal="center"/>
    </xf>
    <xf numFmtId="168" fontId="65" fillId="31" borderId="110" applyAlignment="1" pivotButton="0" quotePrefix="0" xfId="3">
      <alignment horizontal="center"/>
    </xf>
    <xf numFmtId="10" fontId="65" fillId="31" borderId="77" applyAlignment="1" pivotButton="0" quotePrefix="0" xfId="9">
      <alignment horizontal="center"/>
    </xf>
    <xf numFmtId="2" fontId="65" fillId="31" borderId="77" applyAlignment="1" pivotButton="0" quotePrefix="0" xfId="0">
      <alignment horizontal="center"/>
    </xf>
    <xf numFmtId="0" fontId="65" fillId="31" borderId="110" applyAlignment="1" pivotButton="0" quotePrefix="0" xfId="0">
      <alignment horizontal="center"/>
    </xf>
    <xf numFmtId="2" fontId="65" fillId="31" borderId="80" applyAlignment="1" pivotButton="0" quotePrefix="0" xfId="0">
      <alignment horizontal="center"/>
    </xf>
    <xf numFmtId="2" fontId="65" fillId="31" borderId="126" applyAlignment="1" pivotButton="0" quotePrefix="0" xfId="0">
      <alignment horizontal="center"/>
    </xf>
    <xf numFmtId="167" fontId="65" fillId="15" borderId="81" applyAlignment="1" pivotButton="0" quotePrefix="0" xfId="3">
      <alignment horizontal="center"/>
    </xf>
    <xf numFmtId="167" fontId="65" fillId="15" borderId="77" applyAlignment="1" pivotButton="0" quotePrefix="0" xfId="0">
      <alignment horizontal="center"/>
    </xf>
    <xf numFmtId="0" fontId="65" fillId="15" borderId="77" applyAlignment="1" pivotButton="0" quotePrefix="0" xfId="0">
      <alignment horizontal="center"/>
    </xf>
    <xf numFmtId="168" fontId="65" fillId="15" borderId="77" applyAlignment="1" pivotButton="0" quotePrefix="0" xfId="3">
      <alignment horizontal="center"/>
    </xf>
    <xf numFmtId="10" fontId="65" fillId="15" borderId="77" applyAlignment="1" pivotButton="0" quotePrefix="0" xfId="9">
      <alignment horizontal="center"/>
    </xf>
    <xf numFmtId="2" fontId="65" fillId="15" borderId="77" applyAlignment="1" pivotButton="0" quotePrefix="0" xfId="0">
      <alignment horizontal="center"/>
    </xf>
    <xf numFmtId="2" fontId="65" fillId="15" borderId="80" applyAlignment="1" pivotButton="0" quotePrefix="0" xfId="0">
      <alignment horizontal="center"/>
    </xf>
    <xf numFmtId="2" fontId="65" fillId="15" borderId="122" applyAlignment="1" pivotButton="0" quotePrefix="0" xfId="0">
      <alignment horizontal="center"/>
    </xf>
    <xf numFmtId="1" fontId="65" fillId="15" borderId="104" applyAlignment="1" pivotButton="0" quotePrefix="0" xfId="0">
      <alignment horizontal="center"/>
    </xf>
    <xf numFmtId="2" fontId="65" fillId="15" borderId="105" applyAlignment="1" pivotButton="0" quotePrefix="0" xfId="0">
      <alignment horizontal="center"/>
    </xf>
    <xf numFmtId="2" fontId="65" fillId="15" borderId="150" applyAlignment="1" pivotButton="0" quotePrefix="0" xfId="0">
      <alignment horizontal="center"/>
    </xf>
    <xf numFmtId="1" fontId="65" fillId="31" borderId="104" applyAlignment="1" pivotButton="0" quotePrefix="0" xfId="0">
      <alignment horizontal="center"/>
    </xf>
    <xf numFmtId="2" fontId="65" fillId="31" borderId="108" applyAlignment="1" pivotButton="0" quotePrefix="0" xfId="0">
      <alignment horizontal="center"/>
    </xf>
    <xf numFmtId="2" fontId="65" fillId="31" borderId="113" applyAlignment="1" pivotButton="0" quotePrefix="0" xfId="0">
      <alignment horizontal="center"/>
    </xf>
    <xf numFmtId="0" fontId="101" fillId="37" borderId="100" applyAlignment="1" pivotButton="0" quotePrefix="0" xfId="0">
      <alignment horizontal="center"/>
    </xf>
    <xf numFmtId="0" fontId="101" fillId="15" borderId="102" applyAlignment="1" pivotButton="0" quotePrefix="0" xfId="0">
      <alignment horizontal="center"/>
    </xf>
    <xf numFmtId="2" fontId="101" fillId="31" borderId="101" applyAlignment="1" pivotButton="0" quotePrefix="0" xfId="0">
      <alignment horizontal="center" vertical="center"/>
    </xf>
    <xf numFmtId="49" fontId="16" fillId="10" borderId="114" pivotButton="0" quotePrefix="0" xfId="0"/>
    <xf numFmtId="2" fontId="89" fillId="0" borderId="125" applyAlignment="1" pivotButton="0" quotePrefix="0" xfId="0">
      <alignment horizontal="center"/>
    </xf>
    <xf numFmtId="2" fontId="87" fillId="10" borderId="125" applyAlignment="1" pivotButton="0" quotePrefix="0" xfId="0">
      <alignment horizontal="center"/>
    </xf>
    <xf numFmtId="2" fontId="7" fillId="3" borderId="77" pivotButton="0" quotePrefix="0" xfId="0"/>
    <xf numFmtId="14" fontId="88" fillId="0" borderId="127" pivotButton="0" quotePrefix="0" xfId="20"/>
    <xf numFmtId="2" fontId="102" fillId="0" borderId="125" applyAlignment="1" pivotButton="0" quotePrefix="0" xfId="0">
      <alignment horizontal="center"/>
    </xf>
    <xf numFmtId="2" fontId="26" fillId="0" borderId="125" applyAlignment="1" pivotButton="0" quotePrefix="0" xfId="0">
      <alignment horizontal="center"/>
    </xf>
    <xf numFmtId="2" fontId="26" fillId="0" borderId="130" applyAlignment="1" pivotButton="0" quotePrefix="0" xfId="0">
      <alignment horizontal="center"/>
    </xf>
    <xf numFmtId="0" fontId="7" fillId="0" borderId="0" pivotButton="0" quotePrefix="0" xfId="0"/>
    <xf numFmtId="2" fontId="26" fillId="10" borderId="125" applyAlignment="1" pivotButton="0" quotePrefix="0" xfId="0">
      <alignment horizontal="center"/>
    </xf>
    <xf numFmtId="2" fontId="103" fillId="0" borderId="125" applyAlignment="1" pivotButton="0" quotePrefix="0" xfId="0">
      <alignment horizontal="center"/>
    </xf>
    <xf numFmtId="49" fontId="7" fillId="0" borderId="0" pivotButton="0" quotePrefix="0" xfId="0"/>
    <xf numFmtId="49" fontId="89" fillId="10" borderId="171" applyAlignment="1" pivotButton="0" quotePrefix="0" xfId="0">
      <alignment horizontal="left"/>
    </xf>
    <xf numFmtId="2" fontId="104" fillId="0" borderId="125" applyAlignment="1" pivotButton="0" quotePrefix="0" xfId="0">
      <alignment horizontal="center"/>
    </xf>
    <xf numFmtId="49" fontId="56" fillId="0" borderId="137" pivotButton="0" quotePrefix="0" xfId="0"/>
    <xf numFmtId="49" fontId="7" fillId="10" borderId="131" pivotButton="0" quotePrefix="0" xfId="0"/>
    <xf numFmtId="0" fontId="0" fillId="24" borderId="167" pivotButton="0" quotePrefix="0" xfId="0"/>
    <xf numFmtId="2" fontId="50" fillId="24" borderId="167" pivotButton="0" quotePrefix="0" xfId="0"/>
    <xf numFmtId="164" fontId="50" fillId="10" borderId="190" pivotButton="0" quotePrefix="0" xfId="0"/>
    <xf numFmtId="0" fontId="0" fillId="10" borderId="18" pivotButton="0" quotePrefix="0" xfId="0"/>
    <xf numFmtId="0" fontId="0" fillId="10" borderId="18" pivotButton="0" quotePrefix="0" xfId="0"/>
    <xf numFmtId="49" fontId="7" fillId="10" borderId="171" pivotButton="0" quotePrefix="0" xfId="0"/>
    <xf numFmtId="0" fontId="50" fillId="10" borderId="165" applyAlignment="1" pivotButton="0" quotePrefix="0" xfId="0">
      <alignment horizontal="right"/>
    </xf>
    <xf numFmtId="0" fontId="0" fillId="24" borderId="77" pivotButton="0" quotePrefix="0" xfId="0"/>
    <xf numFmtId="164" fontId="50" fillId="10" borderId="106" pivotButton="0" quotePrefix="0" xfId="0"/>
    <xf numFmtId="0" fontId="7" fillId="10" borderId="157" pivotButton="0" quotePrefix="0" xfId="0"/>
    <xf numFmtId="0" fontId="7" fillId="10" borderId="191" pivotButton="0" quotePrefix="0" xfId="0"/>
    <xf numFmtId="0" fontId="0" fillId="10" borderId="157" pivotButton="0" quotePrefix="0" xfId="0"/>
    <xf numFmtId="0" fontId="0" fillId="10" borderId="157" pivotButton="0" quotePrefix="0" xfId="0"/>
    <xf numFmtId="173" fontId="7" fillId="10" borderId="106" pivotButton="0" quotePrefix="0" xfId="0"/>
    <xf numFmtId="49" fontId="7" fillId="10" borderId="82" applyAlignment="1" pivotButton="0" quotePrefix="0" xfId="0">
      <alignment horizontal="left"/>
    </xf>
    <xf numFmtId="0" fontId="90" fillId="0" borderId="0" pivotButton="0" quotePrefix="0" xfId="0"/>
    <xf numFmtId="0" fontId="26" fillId="0" borderId="0" pivotButton="0" quotePrefix="0" xfId="0"/>
    <xf numFmtId="0" fontId="105" fillId="0" borderId="82" pivotButton="0" quotePrefix="0" xfId="0"/>
    <xf numFmtId="0" fontId="105" fillId="0" borderId="136" applyAlignment="1" pivotButton="0" quotePrefix="0" xfId="0">
      <alignment horizontal="right"/>
    </xf>
    <xf numFmtId="0" fontId="105" fillId="0" borderId="114" applyAlignment="1" pivotButton="0" quotePrefix="0" xfId="0">
      <alignment horizontal="left"/>
    </xf>
    <xf numFmtId="0" fontId="105" fillId="0" borderId="132" applyAlignment="1" pivotButton="0" quotePrefix="0" xfId="0">
      <alignment horizontal="right"/>
    </xf>
    <xf numFmtId="167" fontId="105" fillId="0" borderId="114" applyAlignment="1" pivotButton="0" quotePrefix="0" xfId="0">
      <alignment horizontal="left"/>
    </xf>
    <xf numFmtId="0" fontId="105" fillId="0" borderId="132" applyAlignment="1" applyProtection="1" pivotButton="0" quotePrefix="0" xfId="0">
      <alignment horizontal="right"/>
      <protection locked="0" hidden="0"/>
    </xf>
    <xf numFmtId="0" fontId="106" fillId="0" borderId="114" pivotButton="0" quotePrefix="0" xfId="0"/>
    <xf numFmtId="0" fontId="106" fillId="0" borderId="132" applyAlignment="1" applyProtection="1" pivotButton="0" quotePrefix="0" xfId="0">
      <alignment horizontal="right"/>
      <protection locked="0" hidden="0"/>
    </xf>
    <xf numFmtId="0" fontId="89" fillId="0" borderId="192" pivotButton="0" quotePrefix="0" xfId="0"/>
    <xf numFmtId="0" fontId="16" fillId="0" borderId="137" pivotButton="0" quotePrefix="0" xfId="0"/>
    <xf numFmtId="0" fontId="83" fillId="0" borderId="137" pivotButton="0" quotePrefix="0" xfId="0"/>
    <xf numFmtId="0" fontId="98" fillId="0" borderId="132" pivotButton="0" quotePrefix="0" xfId="0"/>
    <xf numFmtId="0" fontId="7" fillId="0" borderId="193" pivotButton="0" quotePrefix="0" xfId="0"/>
    <xf numFmtId="2" fontId="26" fillId="0" borderId="93" applyAlignment="1" pivotButton="0" quotePrefix="0" xfId="0">
      <alignment horizontal="center"/>
    </xf>
    <xf numFmtId="2" fontId="50" fillId="24" borderId="109" applyAlignment="1" pivotButton="0" quotePrefix="0" xfId="0">
      <alignment horizontal="right"/>
    </xf>
    <xf numFmtId="4" fontId="50" fillId="24" borderId="77" pivotButton="0" quotePrefix="0" xfId="0"/>
    <xf numFmtId="0" fontId="26" fillId="10" borderId="0" pivotButton="0" quotePrefix="0" xfId="0"/>
    <xf numFmtId="49" fontId="8" fillId="10" borderId="114" pivotButton="0" quotePrefix="0" xfId="0"/>
    <xf numFmtId="0" fontId="86" fillId="10" borderId="114" applyAlignment="1" pivotButton="0" quotePrefix="0" xfId="0">
      <alignment horizontal="right"/>
    </xf>
    <xf numFmtId="49" fontId="8" fillId="10" borderId="105" pivotButton="0" quotePrefix="0" xfId="0"/>
    <xf numFmtId="0" fontId="8" fillId="10" borderId="81" pivotButton="0" quotePrefix="0" xfId="0"/>
    <xf numFmtId="165" fontId="107" fillId="10" borderId="81" applyAlignment="1" pivotButton="0" quotePrefix="0" xfId="0">
      <alignment horizontal="center"/>
    </xf>
    <xf numFmtId="49" fontId="8" fillId="10" borderId="81" pivotButton="0" quotePrefix="0" xfId="0"/>
    <xf numFmtId="0" fontId="8" fillId="10" borderId="81" applyAlignment="1" pivotButton="0" quotePrefix="0" xfId="0">
      <alignment horizontal="center"/>
    </xf>
    <xf numFmtId="49" fontId="8" fillId="10" borderId="81" applyAlignment="1" pivotButton="0" quotePrefix="0" xfId="0">
      <alignment horizontal="center"/>
    </xf>
    <xf numFmtId="164" fontId="8" fillId="10" borderId="81" pivotButton="0" quotePrefix="0" xfId="0"/>
    <xf numFmtId="2" fontId="8" fillId="10" borderId="81" pivotButton="0" quotePrefix="0" xfId="0"/>
    <xf numFmtId="164" fontId="8" fillId="10" borderId="105" pivotButton="0" quotePrefix="0" xfId="0"/>
    <xf numFmtId="2" fontId="8" fillId="10" borderId="107" pivotButton="0" quotePrefix="0" xfId="0"/>
    <xf numFmtId="164" fontId="8" fillId="10" borderId="108" pivotButton="0" quotePrefix="0" xfId="0"/>
    <xf numFmtId="0" fontId="65" fillId="0" borderId="110" pivotButton="0" quotePrefix="0" xfId="0"/>
    <xf numFmtId="0" fontId="89" fillId="0" borderId="139" pivotButton="0" quotePrefix="0" xfId="0"/>
    <xf numFmtId="0" fontId="108" fillId="0" borderId="114" pivotButton="0" quotePrefix="0" xfId="0"/>
    <xf numFmtId="0" fontId="89" fillId="0" borderId="0" pivotButton="0" quotePrefix="0" xfId="0"/>
    <xf numFmtId="49" fontId="7" fillId="0" borderId="137" pivotButton="0" quotePrefix="0" xfId="0"/>
    <xf numFmtId="2" fontId="109" fillId="10" borderId="77" pivotButton="0" quotePrefix="0" xfId="0"/>
    <xf numFmtId="164" fontId="109" fillId="10" borderId="77" pivotButton="0" quotePrefix="0" xfId="0"/>
    <xf numFmtId="14" fontId="10" fillId="10" borderId="186" applyAlignment="1" pivotButton="0" quotePrefix="0" xfId="0">
      <alignment vertical="center"/>
    </xf>
    <xf numFmtId="14" fontId="10" fillId="10" borderId="187" applyAlignment="1" pivotButton="0" quotePrefix="0" xfId="0">
      <alignment vertical="center"/>
    </xf>
    <xf numFmtId="0" fontId="9" fillId="10" borderId="188" pivotButton="0" quotePrefix="0" xfId="0"/>
    <xf numFmtId="49" fontId="8" fillId="10" borderId="93" applyAlignment="1" pivotButton="0" quotePrefix="0" xfId="0">
      <alignment horizontal="center"/>
    </xf>
    <xf numFmtId="0" fontId="7" fillId="10" borderId="130" applyAlignment="1" pivotButton="0" quotePrefix="0" xfId="0">
      <alignment horizontal="center"/>
    </xf>
    <xf numFmtId="49" fontId="8" fillId="10" borderId="184" applyAlignment="1" pivotButton="0" quotePrefix="0" xfId="0">
      <alignment horizontal="center" vertical="center"/>
    </xf>
    <xf numFmtId="0" fontId="8" fillId="10" borderId="185" applyAlignment="1" pivotButton="0" quotePrefix="0" xfId="0">
      <alignment horizontal="center" vertical="center"/>
    </xf>
    <xf numFmtId="49" fontId="83" fillId="2" borderId="139" applyAlignment="1" pivotButton="0" quotePrefix="0" xfId="0">
      <alignment horizontal="center" vertical="top" wrapText="1"/>
    </xf>
    <xf numFmtId="49" fontId="83" fillId="2" borderId="77" applyAlignment="1" pivotButton="0" quotePrefix="0" xfId="0">
      <alignment horizontal="center" vertical="top" wrapText="1"/>
    </xf>
    <xf numFmtId="49" fontId="83" fillId="2" borderId="112" applyAlignment="1" pivotButton="0" quotePrefix="0" xfId="0">
      <alignment horizontal="center" vertical="top" wrapText="1"/>
    </xf>
    <xf numFmtId="14" fontId="18" fillId="2" borderId="118" applyAlignment="1" pivotButton="0" quotePrefix="0" xfId="0">
      <alignment vertical="center"/>
    </xf>
    <xf numFmtId="14" fontId="18" fillId="2" borderId="189" applyAlignment="1" pivotButton="0" quotePrefix="0" xfId="0">
      <alignment vertical="center"/>
    </xf>
    <xf numFmtId="14" fontId="18" fillId="2" borderId="122" applyAlignment="1" pivotButton="0" quotePrefix="0" xfId="0">
      <alignment vertical="center"/>
    </xf>
    <xf numFmtId="49" fontId="12" fillId="2" borderId="80" applyAlignment="1" pivotButton="0" quotePrefix="0" xfId="0">
      <alignment horizontal="center"/>
    </xf>
    <xf numFmtId="0" fontId="16" fillId="2" borderId="80" applyAlignment="1" pivotButton="0" quotePrefix="0" xfId="0">
      <alignment horizontal="center"/>
    </xf>
    <xf numFmtId="2" fontId="85" fillId="0" borderId="93" applyAlignment="1" pivotButton="0" quotePrefix="0" xfId="0">
      <alignment horizontal="center"/>
    </xf>
    <xf numFmtId="2" fontId="85" fillId="0" borderId="125" applyAlignment="1" pivotButton="0" quotePrefix="0" xfId="0">
      <alignment horizontal="center"/>
    </xf>
    <xf numFmtId="2" fontId="85" fillId="0" borderId="130" applyAlignment="1" pivotButton="0" quotePrefix="0" xfId="0">
      <alignment horizontal="center"/>
    </xf>
    <xf numFmtId="2" fontId="0" fillId="0" borderId="93" applyAlignment="1" pivotButton="0" quotePrefix="0" xfId="0">
      <alignment horizontal="center"/>
    </xf>
    <xf numFmtId="2" fontId="0" fillId="0" borderId="125" applyAlignment="1" pivotButton="0" quotePrefix="0" xfId="0">
      <alignment horizontal="center"/>
    </xf>
    <xf numFmtId="2" fontId="0" fillId="0" borderId="130" applyAlignment="1" pivotButton="0" quotePrefix="0" xfId="0">
      <alignment horizontal="center"/>
    </xf>
    <xf numFmtId="2" fontId="0" fillId="10" borderId="93" applyAlignment="1" pivotButton="0" quotePrefix="0" xfId="0">
      <alignment horizontal="center"/>
    </xf>
    <xf numFmtId="2" fontId="0" fillId="10" borderId="125" applyAlignment="1" pivotButton="0" quotePrefix="0" xfId="0">
      <alignment horizontal="center"/>
    </xf>
    <xf numFmtId="2" fontId="0" fillId="10" borderId="130" applyAlignment="1" pivotButton="0" quotePrefix="0" xfId="0">
      <alignment horizontal="center"/>
    </xf>
    <xf numFmtId="170" fontId="88" fillId="2" borderId="175" applyAlignment="1" pivotButton="0" quotePrefix="0" xfId="0">
      <alignment horizontal="left"/>
    </xf>
    <xf numFmtId="174" fontId="66" fillId="0" borderId="115" pivotButton="0" quotePrefix="0" xfId="1"/>
    <xf numFmtId="174" fontId="66" fillId="2" borderId="123" pivotButton="0" quotePrefix="0" xfId="1"/>
    <xf numFmtId="170" fontId="17" fillId="13" borderId="38" applyAlignment="1" pivotButton="0" quotePrefix="0" xfId="0">
      <alignment horizontal="left"/>
    </xf>
    <xf numFmtId="165" fontId="7" fillId="10" borderId="34" pivotButton="0" quotePrefix="0" xfId="0"/>
    <xf numFmtId="14" fontId="10" fillId="10" borderId="194" applyAlignment="1" pivotButton="0" quotePrefix="0" xfId="0">
      <alignment vertical="center"/>
    </xf>
    <xf numFmtId="0" fontId="0" fillId="0" borderId="187" pivotButton="0" quotePrefix="0" xfId="0"/>
    <xf numFmtId="0" fontId="0" fillId="0" borderId="188" pivotButton="0" quotePrefix="0" xfId="0"/>
    <xf numFmtId="49" fontId="8" fillId="10" borderId="196" applyAlignment="1" pivotButton="0" quotePrefix="0" xfId="0">
      <alignment horizontal="center" vertical="center"/>
    </xf>
    <xf numFmtId="0" fontId="0" fillId="0" borderId="185" pivotButton="0" quotePrefix="0" xfId="0"/>
    <xf numFmtId="49" fontId="8" fillId="10" borderId="94" applyAlignment="1" pivotButton="0" quotePrefix="0" xfId="0">
      <alignment horizontal="center"/>
    </xf>
    <xf numFmtId="0" fontId="0" fillId="0" borderId="130" pivotButton="0" quotePrefix="0" xfId="0"/>
    <xf numFmtId="165" fontId="7" fillId="10" borderId="119" applyAlignment="1" pivotButton="0" quotePrefix="0" xfId="0">
      <alignment horizontal="center"/>
    </xf>
    <xf numFmtId="170" fontId="8" fillId="10" borderId="120" applyAlignment="1" pivotButton="0" quotePrefix="0" xfId="0">
      <alignment horizontal="center"/>
    </xf>
    <xf numFmtId="165" fontId="8" fillId="10" borderId="120" applyAlignment="1" pivotButton="0" quotePrefix="0" xfId="0">
      <alignment horizontal="center"/>
    </xf>
    <xf numFmtId="165" fontId="8" fillId="10" borderId="114" pivotButton="0" quotePrefix="0" xfId="0"/>
    <xf numFmtId="165" fontId="56" fillId="10" borderId="139" applyAlignment="1" pivotButton="0" quotePrefix="0" xfId="0">
      <alignment horizontal="center"/>
    </xf>
    <xf numFmtId="165" fontId="8" fillId="10" borderId="139" applyAlignment="1" pivotButton="0" quotePrefix="0" xfId="0">
      <alignment horizontal="right"/>
    </xf>
    <xf numFmtId="164" fontId="7" fillId="10" borderId="139" pivotButton="0" quotePrefix="0" xfId="0"/>
    <xf numFmtId="164" fontId="7" fillId="10" borderId="142" pivotButton="0" quotePrefix="0" xfId="0"/>
    <xf numFmtId="164" fontId="7" fillId="10" borderId="138" pivotButton="0" quotePrefix="0" xfId="0"/>
    <xf numFmtId="164" fontId="7" fillId="10" borderId="136" pivotButton="0" quotePrefix="0" xfId="0"/>
    <xf numFmtId="169" fontId="7" fillId="10" borderId="18" pivotButton="0" quotePrefix="0" xfId="0"/>
    <xf numFmtId="165" fontId="50" fillId="10" borderId="81" applyAlignment="1" pivotButton="0" quotePrefix="0" xfId="0">
      <alignment horizontal="center"/>
    </xf>
    <xf numFmtId="165" fontId="86" fillId="10" borderId="81" applyAlignment="1" pivotButton="0" quotePrefix="0" xfId="0">
      <alignment horizontal="right"/>
    </xf>
    <xf numFmtId="164" fontId="50" fillId="10" borderId="81" pivotButton="0" quotePrefix="0" xfId="0"/>
    <xf numFmtId="164" fontId="50" fillId="10" borderId="103" pivotButton="0" quotePrefix="0" xfId="0"/>
    <xf numFmtId="164" fontId="50" fillId="10" borderId="107" pivotButton="0" quotePrefix="0" xfId="0"/>
    <xf numFmtId="164" fontId="50" fillId="10" borderId="132" pivotButton="0" quotePrefix="0" xfId="0"/>
    <xf numFmtId="165" fontId="8" fillId="10" borderId="115" applyAlignment="1" pivotButton="0" quotePrefix="0" xfId="0">
      <alignment horizontal="left" vertical="center"/>
    </xf>
    <xf numFmtId="164" fontId="50" fillId="10" borderId="77" pivotButton="0" quotePrefix="0" xfId="0"/>
    <xf numFmtId="164" fontId="50" fillId="24" borderId="77" pivotButton="0" quotePrefix="0" xfId="0"/>
    <xf numFmtId="164" fontId="50" fillId="10" borderId="79" pivotButton="0" quotePrefix="0" xfId="0"/>
    <xf numFmtId="164" fontId="50" fillId="10" borderId="109" pivotButton="0" quotePrefix="0" xfId="0"/>
    <xf numFmtId="164" fontId="50" fillId="10" borderId="137" pivotButton="0" quotePrefix="0" xfId="0"/>
    <xf numFmtId="164" fontId="50" fillId="10" borderId="80" pivotButton="0" quotePrefix="0" xfId="0"/>
    <xf numFmtId="164" fontId="50" fillId="10" borderId="180" pivotButton="0" quotePrefix="0" xfId="0"/>
    <xf numFmtId="164" fontId="50" fillId="10" borderId="181" pivotButton="0" quotePrefix="0" xfId="0"/>
    <xf numFmtId="164" fontId="50" fillId="34" borderId="77" pivotButton="0" quotePrefix="0" xfId="0"/>
    <xf numFmtId="165" fontId="8" fillId="10" borderId="178" applyAlignment="1" pivotButton="0" quotePrefix="0" xfId="0">
      <alignment horizontal="left" vertical="center"/>
    </xf>
    <xf numFmtId="164" fontId="50" fillId="10" borderId="139" pivotButton="0" quotePrefix="0" xfId="0"/>
    <xf numFmtId="164" fontId="50" fillId="34" borderId="180" pivotButton="0" quotePrefix="0" xfId="0"/>
    <xf numFmtId="164" fontId="50" fillId="10" borderId="179" pivotButton="0" quotePrefix="0" xfId="0"/>
    <xf numFmtId="164" fontId="50" fillId="10" borderId="146" pivotButton="0" quotePrefix="0" xfId="0"/>
    <xf numFmtId="165" fontId="8" fillId="10" borderId="116" applyAlignment="1" pivotButton="0" quotePrefix="0" xfId="0">
      <alignment horizontal="left" vertical="center"/>
    </xf>
    <xf numFmtId="164" fontId="50" fillId="34" borderId="101" pivotButton="0" quotePrefix="0" xfId="0"/>
    <xf numFmtId="164" fontId="50" fillId="10" borderId="112" pivotButton="0" quotePrefix="0" xfId="0"/>
    <xf numFmtId="164" fontId="50" fillId="10" borderId="168" pivotButton="0" quotePrefix="0" xfId="0"/>
    <xf numFmtId="164" fontId="50" fillId="34" borderId="117" pivotButton="0" quotePrefix="0" xfId="0"/>
    <xf numFmtId="164" fontId="50" fillId="24" borderId="100" pivotButton="0" quotePrefix="0" xfId="0"/>
    <xf numFmtId="164" fontId="50" fillId="24" borderId="117" pivotButton="0" quotePrefix="0" xfId="0"/>
    <xf numFmtId="164" fontId="50" fillId="24" borderId="130" pivotButton="0" quotePrefix="0" xfId="0"/>
    <xf numFmtId="165" fontId="8" fillId="10" borderId="81" applyAlignment="1" pivotButton="0" quotePrefix="0" xfId="0">
      <alignment horizontal="left" vertical="center"/>
    </xf>
    <xf numFmtId="164" fontId="50" fillId="24" borderId="167" pivotButton="0" quotePrefix="0" xfId="0"/>
    <xf numFmtId="164" fontId="50" fillId="24" borderId="81" pivotButton="0" quotePrefix="0" xfId="0"/>
    <xf numFmtId="164" fontId="50" fillId="24" borderId="79" pivotButton="0" quotePrefix="0" xfId="0"/>
    <xf numFmtId="165" fontId="8" fillId="10" borderId="82" applyAlignment="1" pivotButton="0" quotePrefix="0" xfId="0">
      <alignment horizontal="left" vertical="center"/>
    </xf>
    <xf numFmtId="164" fontId="50" fillId="24" borderId="139" pivotButton="0" quotePrefix="0" xfId="0"/>
    <xf numFmtId="164" fontId="50" fillId="10" borderId="142" pivotButton="0" quotePrefix="0" xfId="0"/>
    <xf numFmtId="164" fontId="50" fillId="10" borderId="138" pivotButton="0" quotePrefix="0" xfId="0"/>
    <xf numFmtId="164" fontId="50" fillId="10" borderId="136" pivotButton="0" quotePrefix="0" xfId="0"/>
    <xf numFmtId="164" fontId="50" fillId="24" borderId="168" pivotButton="0" quotePrefix="0" xfId="0"/>
    <xf numFmtId="164" fontId="50" fillId="24" borderId="112" pivotButton="0" quotePrefix="0" xfId="0"/>
    <xf numFmtId="164" fontId="50" fillId="24" borderId="118" pivotButton="0" quotePrefix="0" xfId="0"/>
    <xf numFmtId="164" fontId="50" fillId="24" borderId="111" pivotButton="0" quotePrefix="0" xfId="0"/>
    <xf numFmtId="164" fontId="50" fillId="24" borderId="126" pivotButton="0" quotePrefix="0" xfId="0"/>
    <xf numFmtId="165" fontId="8" fillId="10" borderId="127" applyAlignment="1" pivotButton="0" quotePrefix="0" xfId="0">
      <alignment horizontal="left" vertical="center"/>
    </xf>
    <xf numFmtId="164" fontId="50" fillId="10" borderId="167" pivotButton="0" quotePrefix="0" xfId="0"/>
    <xf numFmtId="164" fontId="50" fillId="34" borderId="167" pivotButton="0" quotePrefix="0" xfId="0"/>
    <xf numFmtId="164" fontId="50" fillId="10" borderId="169" pivotButton="0" quotePrefix="0" xfId="0"/>
    <xf numFmtId="164" fontId="50" fillId="10" borderId="133" pivotButton="0" quotePrefix="0" xfId="0"/>
    <xf numFmtId="164" fontId="50" fillId="34" borderId="139" pivotButton="0" quotePrefix="0" xfId="0"/>
    <xf numFmtId="164" fontId="50" fillId="24" borderId="101" pivotButton="0" quotePrefix="0" xfId="0"/>
    <xf numFmtId="164" fontId="109" fillId="10" borderId="77" pivotButton="0" quotePrefix="0" xfId="0"/>
    <xf numFmtId="165" fontId="8" fillId="10" borderId="140" applyAlignment="1" pivotButton="0" quotePrefix="0" xfId="0">
      <alignment horizontal="left" vertical="center"/>
    </xf>
    <xf numFmtId="164" fontId="50" fillId="24" borderId="180" pivotButton="0" quotePrefix="0" xfId="0"/>
    <xf numFmtId="165" fontId="8" fillId="10" borderId="85" applyAlignment="1" pivotButton="0" quotePrefix="0" xfId="0">
      <alignment horizontal="left" vertical="center"/>
    </xf>
    <xf numFmtId="164" fontId="50" fillId="10" borderId="190" pivotButton="0" quotePrefix="0" xfId="0"/>
    <xf numFmtId="164" fontId="50" fillId="10" borderId="106" pivotButton="0" quotePrefix="0" xfId="0"/>
    <xf numFmtId="165" fontId="8" fillId="10" borderId="114" applyAlignment="1" pivotButton="0" quotePrefix="0" xfId="0">
      <alignment horizontal="left" vertical="center"/>
    </xf>
    <xf numFmtId="164" fontId="50" fillId="24" borderId="103" pivotButton="0" quotePrefix="0" xfId="0"/>
    <xf numFmtId="164" fontId="50" fillId="10" borderId="105" pivotButton="0" quotePrefix="0" xfId="0"/>
    <xf numFmtId="165" fontId="8" fillId="10" borderId="163" applyAlignment="1" pivotButton="0" quotePrefix="0" xfId="0">
      <alignment horizontal="left" vertical="center"/>
    </xf>
    <xf numFmtId="164" fontId="50" fillId="24" borderId="80" pivotButton="0" quotePrefix="0" xfId="0"/>
    <xf numFmtId="164" fontId="50" fillId="10" borderId="164" pivotButton="0" quotePrefix="0" xfId="0"/>
    <xf numFmtId="164" fontId="50" fillId="10" borderId="128" pivotButton="0" quotePrefix="0" xfId="0"/>
    <xf numFmtId="169" fontId="50" fillId="10" borderId="166" pivotButton="0" quotePrefix="0" xfId="0"/>
    <xf numFmtId="164" fontId="8" fillId="10" borderId="94" pivotButton="0" quotePrefix="0" xfId="0"/>
    <xf numFmtId="164" fontId="7" fillId="10" borderId="104" pivotButton="0" quotePrefix="0" xfId="3"/>
    <xf numFmtId="164" fontId="7" fillId="26" borderId="101" pivotButton="0" quotePrefix="0" xfId="0"/>
    <xf numFmtId="169" fontId="7" fillId="26" borderId="101" pivotButton="0" quotePrefix="0" xfId="0"/>
    <xf numFmtId="169" fontId="9" fillId="10" borderId="10" pivotButton="0" quotePrefix="0" xfId="0"/>
    <xf numFmtId="0" fontId="0" fillId="0" borderId="167" pivotButton="0" quotePrefix="0" xfId="0"/>
    <xf numFmtId="0" fontId="0" fillId="0" borderId="81" pivotButton="0" quotePrefix="0" xfId="0"/>
    <xf numFmtId="171" fontId="14" fillId="10" borderId="77" applyAlignment="1" pivotButton="0" quotePrefix="0" xfId="3">
      <alignment horizontal="center"/>
    </xf>
    <xf numFmtId="171" fontId="14" fillId="10" borderId="139" applyAlignment="1" pivotButton="0" quotePrefix="0" xfId="3">
      <alignment horizontal="center"/>
    </xf>
    <xf numFmtId="171" fontId="14" fillId="24" borderId="112" applyAlignment="1" pivotButton="0" quotePrefix="0" xfId="3">
      <alignment horizontal="center"/>
    </xf>
    <xf numFmtId="171" fontId="14" fillId="10" borderId="80" applyAlignment="1" pivotButton="0" quotePrefix="0" xfId="3">
      <alignment horizontal="center"/>
    </xf>
    <xf numFmtId="171" fontId="14" fillId="10" borderId="81" applyAlignment="1" pivotButton="0" quotePrefix="0" xfId="3">
      <alignment horizontal="center"/>
    </xf>
    <xf numFmtId="166" fontId="62" fillId="25" borderId="112" pivotButton="0" quotePrefix="0" xfId="0"/>
    <xf numFmtId="166" fontId="64" fillId="2" borderId="44" pivotButton="0" quotePrefix="0" xfId="0"/>
    <xf numFmtId="165" fontId="16" fillId="2" borderId="77" pivotButton="0" quotePrefix="0" xfId="0"/>
    <xf numFmtId="14" fontId="18" fillId="2" borderId="112" applyAlignment="1" pivotButton="0" quotePrefix="0" xfId="0">
      <alignment vertical="center"/>
    </xf>
    <xf numFmtId="0" fontId="0" fillId="0" borderId="189" pivotButton="0" quotePrefix="0" xfId="0"/>
    <xf numFmtId="0" fontId="0" fillId="0" borderId="122" pivotButton="0" quotePrefix="0" xfId="0"/>
    <xf numFmtId="0" fontId="0" fillId="0" borderId="197" pivotButton="0" quotePrefix="0" xfId="0"/>
    <xf numFmtId="165" fontId="16" fillId="2" borderId="80" applyAlignment="1" pivotButton="0" quotePrefix="0" xfId="0">
      <alignment horizontal="center"/>
    </xf>
    <xf numFmtId="170" fontId="8" fillId="2" borderId="80" applyAlignment="1" pivotButton="0" quotePrefix="0" xfId="0">
      <alignment horizontal="center"/>
    </xf>
    <xf numFmtId="165" fontId="8" fillId="2" borderId="80" applyAlignment="1" pivotButton="0" quotePrefix="0" xfId="0">
      <alignment horizontal="center"/>
    </xf>
    <xf numFmtId="165" fontId="12" fillId="10" borderId="77" applyAlignment="1" pivotButton="0" quotePrefix="0" xfId="0">
      <alignment horizontal="right"/>
    </xf>
    <xf numFmtId="164" fontId="13" fillId="33" borderId="77" pivotButton="0" quotePrefix="0" xfId="0"/>
    <xf numFmtId="164" fontId="13" fillId="33" borderId="77" pivotButton="0" quotePrefix="0" xfId="3"/>
    <xf numFmtId="164" fontId="13" fillId="33" borderId="110" pivotButton="0" quotePrefix="0" xfId="0"/>
    <xf numFmtId="164" fontId="13" fillId="10" borderId="109" pivotButton="0" quotePrefix="0" xfId="0"/>
    <xf numFmtId="164" fontId="13" fillId="10" borderId="77" pivotButton="0" quotePrefix="0" xfId="0"/>
    <xf numFmtId="164" fontId="7" fillId="33" borderId="77" pivotButton="0" quotePrefix="0" xfId="0"/>
    <xf numFmtId="164" fontId="13" fillId="10" borderId="110" pivotButton="0" quotePrefix="0" xfId="0"/>
    <xf numFmtId="165" fontId="12" fillId="2" borderId="77" applyAlignment="1" pivotButton="0" quotePrefix="0" xfId="0">
      <alignment horizontal="right"/>
    </xf>
    <xf numFmtId="164" fontId="7" fillId="3" borderId="77" pivotButton="0" quotePrefix="0" xfId="0"/>
    <xf numFmtId="164" fontId="7" fillId="3" borderId="77" pivotButton="0" quotePrefix="0" xfId="8"/>
    <xf numFmtId="164" fontId="7" fillId="3" borderId="110" pivotButton="0" quotePrefix="0" xfId="0"/>
    <xf numFmtId="164" fontId="7" fillId="2" borderId="109" pivotButton="0" quotePrefix="0" xfId="0"/>
    <xf numFmtId="164" fontId="7" fillId="2" borderId="77" pivotButton="0" quotePrefix="0" xfId="0"/>
    <xf numFmtId="164" fontId="7" fillId="2" borderId="110" pivotButton="0" quotePrefix="0" xfId="0"/>
    <xf numFmtId="164" fontId="13" fillId="3" borderId="110" pivotButton="0" quotePrefix="0" xfId="0"/>
    <xf numFmtId="164" fontId="12" fillId="2" borderId="118" pivotButton="0" quotePrefix="0" xfId="0"/>
    <xf numFmtId="164" fontId="13" fillId="3" borderId="102" pivotButton="0" quotePrefix="0" xfId="0"/>
    <xf numFmtId="164" fontId="13" fillId="2" borderId="81" pivotButton="0" quotePrefix="0" xfId="0"/>
    <xf numFmtId="165" fontId="13" fillId="2" borderId="81" pivotButton="0" quotePrefix="0" xfId="0"/>
    <xf numFmtId="167" fontId="65" fillId="0" borderId="107" applyAlignment="1" pivotButton="0" quotePrefix="0" xfId="3">
      <alignment horizontal="center"/>
    </xf>
    <xf numFmtId="167" fontId="65" fillId="19" borderId="81" applyAlignment="1" pivotButton="0" quotePrefix="0" xfId="3">
      <alignment horizontal="center"/>
    </xf>
    <xf numFmtId="167" fontId="65" fillId="10" borderId="108" applyAlignment="1" pivotButton="0" quotePrefix="0" xfId="3">
      <alignment horizontal="center"/>
    </xf>
    <xf numFmtId="167" fontId="65" fillId="0" borderId="109" applyAlignment="1" pivotButton="0" quotePrefix="0" xfId="0">
      <alignment horizontal="center"/>
    </xf>
    <xf numFmtId="167" fontId="65" fillId="19" borderId="77" applyAlignment="1" pivotButton="0" quotePrefix="0" xfId="0">
      <alignment horizontal="center"/>
    </xf>
    <xf numFmtId="167" fontId="65" fillId="10" borderId="110" applyAlignment="1" pivotButton="0" quotePrefix="0" xfId="0">
      <alignment horizontal="center"/>
    </xf>
    <xf numFmtId="168" fontId="65" fillId="0" borderId="109" applyAlignment="1" pivotButton="0" quotePrefix="0" xfId="3">
      <alignment horizontal="center"/>
    </xf>
    <xf numFmtId="168" fontId="65" fillId="19" borderId="77" applyAlignment="1" pivotButton="0" quotePrefix="0" xfId="3">
      <alignment horizontal="center"/>
    </xf>
    <xf numFmtId="168" fontId="65" fillId="10" borderId="110" applyAlignment="1" pivotButton="0" quotePrefix="0" xfId="3">
      <alignment horizontal="center"/>
    </xf>
    <xf numFmtId="168" fontId="65" fillId="0" borderId="109" applyAlignment="1" pivotButton="0" quotePrefix="0" xfId="0">
      <alignment horizontal="center"/>
    </xf>
    <xf numFmtId="169" fontId="65" fillId="19" borderId="77" applyAlignment="1" pivotButton="0" quotePrefix="0" xfId="3">
      <alignment horizontal="center"/>
    </xf>
    <xf numFmtId="167" fontId="65" fillId="22" borderId="81" applyAlignment="1" pivotButton="0" quotePrefix="0" xfId="3">
      <alignment horizontal="center"/>
    </xf>
    <xf numFmtId="167" fontId="65" fillId="22" borderId="77" applyAlignment="1" pivotButton="0" quotePrefix="0" xfId="0">
      <alignment horizontal="center"/>
    </xf>
    <xf numFmtId="167" fontId="65" fillId="22" borderId="110" applyAlignment="1" pivotButton="0" quotePrefix="0" xfId="0">
      <alignment horizontal="center"/>
    </xf>
    <xf numFmtId="168" fontId="65" fillId="22" borderId="109" applyAlignment="1" pivotButton="0" quotePrefix="0" xfId="3">
      <alignment horizontal="center"/>
    </xf>
    <xf numFmtId="168" fontId="65" fillId="22" borderId="77" applyAlignment="1" pivotButton="0" quotePrefix="0" xfId="3">
      <alignment horizontal="center"/>
    </xf>
    <xf numFmtId="167" fontId="65" fillId="10" borderId="109" applyAlignment="1" pivotButton="0" quotePrefix="0" xfId="0">
      <alignment horizontal="center"/>
    </xf>
    <xf numFmtId="167" fontId="65" fillId="10" borderId="137" applyAlignment="1" pivotButton="0" quotePrefix="0" xfId="0">
      <alignment horizontal="center"/>
    </xf>
    <xf numFmtId="168" fontId="65" fillId="22" borderId="106" applyAlignment="1" pivotButton="0" quotePrefix="0" xfId="3">
      <alignment horizontal="center"/>
    </xf>
    <xf numFmtId="167" fontId="0" fillId="0" borderId="0" pivotButton="0" quotePrefix="0" xfId="0"/>
    <xf numFmtId="2" fontId="0" fillId="0" borderId="94" applyAlignment="1" pivotButton="0" quotePrefix="0" xfId="0">
      <alignment horizontal="center"/>
    </xf>
    <xf numFmtId="0" fontId="0" fillId="0" borderId="125" pivotButton="0" quotePrefix="0" xfId="0"/>
    <xf numFmtId="172" fontId="65" fillId="0" borderId="109" applyAlignment="1" pivotButton="0" quotePrefix="0" xfId="0">
      <alignment horizontal="center"/>
    </xf>
    <xf numFmtId="167" fontId="65" fillId="22" borderId="81" applyAlignment="1" pivotButton="0" quotePrefix="0" xfId="8">
      <alignment horizontal="center"/>
    </xf>
    <xf numFmtId="167" fontId="65" fillId="10" borderId="81" applyAlignment="1" pivotButton="0" quotePrefix="0" xfId="8">
      <alignment horizontal="center"/>
    </xf>
    <xf numFmtId="167" fontId="65" fillId="10" borderId="108" applyAlignment="1" pivotButton="0" quotePrefix="0" xfId="8">
      <alignment horizontal="center"/>
    </xf>
    <xf numFmtId="167" fontId="65" fillId="10" borderId="77" applyAlignment="1" pivotButton="0" quotePrefix="0" xfId="0">
      <alignment horizontal="center"/>
    </xf>
    <xf numFmtId="168" fontId="65" fillId="22" borderId="77" applyAlignment="1" pivotButton="0" quotePrefix="0" xfId="8">
      <alignment horizontal="center"/>
    </xf>
    <xf numFmtId="168" fontId="65" fillId="10" borderId="77" applyAlignment="1" pivotButton="0" quotePrefix="0" xfId="8">
      <alignment horizontal="center"/>
    </xf>
    <xf numFmtId="168" fontId="65" fillId="10" borderId="110" applyAlignment="1" pivotButton="0" quotePrefix="0" xfId="8">
      <alignment horizontal="center"/>
    </xf>
    <xf numFmtId="168" fontId="65" fillId="22" borderId="106" applyAlignment="1" pivotButton="0" quotePrefix="0" xfId="8">
      <alignment horizontal="center"/>
    </xf>
    <xf numFmtId="167" fontId="65" fillId="22" borderId="77" applyAlignment="1" pivotButton="0" quotePrefix="0" xfId="4">
      <alignment horizontal="center"/>
    </xf>
    <xf numFmtId="2" fontId="85" fillId="0" borderId="94" applyAlignment="1" pivotButton="0" quotePrefix="0" xfId="0">
      <alignment horizontal="center"/>
    </xf>
    <xf numFmtId="167" fontId="65" fillId="10" borderId="81" applyAlignment="1" pivotButton="0" quotePrefix="0" xfId="3">
      <alignment horizontal="center"/>
    </xf>
    <xf numFmtId="168" fontId="65" fillId="10" borderId="77" applyAlignment="1" pivotButton="0" quotePrefix="0" xfId="3">
      <alignment horizontal="center"/>
    </xf>
    <xf numFmtId="172" fontId="65" fillId="10" borderId="110" applyAlignment="1" pivotButton="0" quotePrefix="0" xfId="0">
      <alignment horizontal="center"/>
    </xf>
    <xf numFmtId="167" fontId="72" fillId="0" borderId="114" pivotButton="0" quotePrefix="0" xfId="0"/>
    <xf numFmtId="167" fontId="72" fillId="0" borderId="114" applyAlignment="1" pivotButton="0" quotePrefix="0" xfId="0">
      <alignment horizontal="left"/>
    </xf>
    <xf numFmtId="167" fontId="69" fillId="0" borderId="132" applyAlignment="1" applyProtection="1" pivotButton="0" quotePrefix="0" xfId="0">
      <alignment horizontal="right"/>
      <protection locked="0" hidden="0"/>
    </xf>
    <xf numFmtId="167" fontId="74" fillId="0" borderId="132" applyAlignment="1" pivotButton="0" quotePrefix="0" xfId="5">
      <alignment horizontal="right"/>
    </xf>
    <xf numFmtId="2" fontId="0" fillId="10" borderId="94" applyAlignment="1" pivotButton="0" quotePrefix="0" xfId="0">
      <alignment horizontal="center"/>
    </xf>
    <xf numFmtId="168" fontId="65" fillId="22" borderId="110" applyAlignment="1" pivotButton="0" quotePrefix="0" xfId="3">
      <alignment horizontal="center"/>
    </xf>
    <xf numFmtId="167" fontId="65" fillId="0" borderId="81" applyAlignment="1" pivotButton="0" quotePrefix="0" xfId="8">
      <alignment horizontal="center"/>
    </xf>
    <xf numFmtId="167" fontId="65" fillId="22" borderId="108" applyAlignment="1" pivotButton="0" quotePrefix="0" xfId="3">
      <alignment horizontal="center"/>
    </xf>
    <xf numFmtId="167" fontId="65" fillId="22" borderId="108" applyAlignment="1" pivotButton="0" quotePrefix="0" xfId="8">
      <alignment horizontal="center"/>
    </xf>
    <xf numFmtId="167" fontId="65" fillId="0" borderId="81" applyAlignment="1" pivotButton="0" quotePrefix="0" xfId="3">
      <alignment horizontal="center"/>
    </xf>
    <xf numFmtId="167" fontId="65" fillId="0" borderId="77" applyAlignment="1" pivotButton="0" quotePrefix="0" xfId="0">
      <alignment horizontal="center"/>
    </xf>
    <xf numFmtId="167" fontId="65" fillId="22" borderId="137" applyAlignment="1" pivotButton="0" quotePrefix="0" xfId="0">
      <alignment horizontal="center"/>
    </xf>
    <xf numFmtId="172" fontId="65" fillId="22" borderId="110" applyAlignment="1" pivotButton="0" quotePrefix="0" xfId="0">
      <alignment horizontal="center"/>
    </xf>
    <xf numFmtId="168" fontId="65" fillId="0" borderId="77" applyAlignment="1" pivotButton="0" quotePrefix="0" xfId="8">
      <alignment horizontal="center"/>
    </xf>
    <xf numFmtId="168" fontId="65" fillId="22" borderId="110" applyAlignment="1" pivotButton="0" quotePrefix="0" xfId="8">
      <alignment horizontal="center"/>
    </xf>
    <xf numFmtId="168" fontId="65" fillId="0" borderId="77" applyAlignment="1" pivotButton="0" quotePrefix="0" xfId="3">
      <alignment horizontal="center"/>
    </xf>
    <xf numFmtId="167" fontId="65" fillId="17" borderId="81" applyAlignment="1" pivotButton="0" quotePrefix="0" xfId="8">
      <alignment horizontal="center"/>
    </xf>
    <xf numFmtId="167" fontId="65" fillId="38" borderId="81" applyAlignment="1" pivotButton="0" quotePrefix="0" xfId="8">
      <alignment horizontal="center"/>
    </xf>
    <xf numFmtId="167" fontId="65" fillId="17" borderId="108" applyAlignment="1" pivotButton="0" quotePrefix="0" xfId="3">
      <alignment horizontal="center"/>
    </xf>
    <xf numFmtId="167" fontId="65" fillId="17" borderId="108" applyAlignment="1" pivotButton="0" quotePrefix="0" xfId="8">
      <alignment horizontal="center"/>
    </xf>
    <xf numFmtId="167" fontId="65" fillId="38" borderId="81" applyAlignment="1" pivotButton="0" quotePrefix="0" xfId="3">
      <alignment horizontal="center"/>
    </xf>
    <xf numFmtId="167" fontId="65" fillId="17" borderId="77" applyAlignment="1" pivotButton="0" quotePrefix="0" xfId="0">
      <alignment horizontal="center"/>
    </xf>
    <xf numFmtId="167" fontId="65" fillId="38" borderId="77" applyAlignment="1" pivotButton="0" quotePrefix="0" xfId="0">
      <alignment horizontal="center"/>
    </xf>
    <xf numFmtId="167" fontId="65" fillId="17" borderId="110" applyAlignment="1" pivotButton="0" quotePrefix="0" xfId="0">
      <alignment horizontal="center"/>
    </xf>
    <xf numFmtId="167" fontId="65" fillId="17" borderId="137" applyAlignment="1" pivotButton="0" quotePrefix="0" xfId="0">
      <alignment horizontal="center"/>
    </xf>
    <xf numFmtId="172" fontId="65" fillId="17" borderId="110" applyAlignment="1" pivotButton="0" quotePrefix="0" xfId="0">
      <alignment horizontal="center"/>
    </xf>
    <xf numFmtId="168" fontId="65" fillId="17" borderId="77" applyAlignment="1" pivotButton="0" quotePrefix="0" xfId="8">
      <alignment horizontal="center"/>
    </xf>
    <xf numFmtId="168" fontId="65" fillId="38" borderId="77" applyAlignment="1" pivotButton="0" quotePrefix="0" xfId="8">
      <alignment horizontal="center"/>
    </xf>
    <xf numFmtId="168" fontId="65" fillId="17" borderId="110" applyAlignment="1" pivotButton="0" quotePrefix="0" xfId="3">
      <alignment horizontal="center"/>
    </xf>
    <xf numFmtId="168" fontId="65" fillId="17" borderId="110" applyAlignment="1" pivotButton="0" quotePrefix="0" xfId="8">
      <alignment horizontal="center"/>
    </xf>
    <xf numFmtId="168" fontId="65" fillId="38" borderId="77" applyAlignment="1" pivotButton="0" quotePrefix="0" xfId="3">
      <alignment horizontal="center"/>
    </xf>
    <xf numFmtId="167" fontId="94" fillId="0" borderId="132" applyAlignment="1" pivotButton="0" quotePrefix="0" xfId="5">
      <alignment horizontal="right"/>
    </xf>
    <xf numFmtId="167" fontId="65" fillId="17" borderId="81" applyAlignment="1" pivotButton="0" quotePrefix="0" xfId="3">
      <alignment horizontal="center"/>
    </xf>
    <xf numFmtId="168" fontId="65" fillId="17" borderId="77" applyAlignment="1" pivotButton="0" quotePrefix="0" xfId="3">
      <alignment horizontal="center"/>
    </xf>
    <xf numFmtId="167" fontId="65" fillId="16" borderId="108" applyAlignment="1" pivotButton="0" quotePrefix="0" xfId="8">
      <alignment horizontal="center"/>
    </xf>
    <xf numFmtId="167" fontId="65" fillId="16" borderId="81" applyAlignment="1" pivotButton="0" quotePrefix="0" xfId="8">
      <alignment horizontal="center"/>
    </xf>
    <xf numFmtId="167" fontId="65" fillId="16" borderId="81" applyAlignment="1" pivotButton="0" quotePrefix="0" xfId="3">
      <alignment horizontal="center"/>
    </xf>
    <xf numFmtId="167" fontId="65" fillId="16" borderId="137" applyAlignment="1" pivotButton="0" quotePrefix="0" xfId="0">
      <alignment horizontal="center"/>
    </xf>
    <xf numFmtId="167" fontId="65" fillId="16" borderId="77" applyAlignment="1" pivotButton="0" quotePrefix="0" xfId="0">
      <alignment horizontal="center"/>
    </xf>
    <xf numFmtId="167" fontId="65" fillId="16" borderId="110" applyAlignment="1" pivotButton="0" quotePrefix="0" xfId="0">
      <alignment horizontal="center"/>
    </xf>
    <xf numFmtId="172" fontId="65" fillId="16" borderId="110" applyAlignment="1" pivotButton="0" quotePrefix="0" xfId="0">
      <alignment horizontal="center"/>
    </xf>
    <xf numFmtId="168" fontId="65" fillId="16" borderId="110" applyAlignment="1" pivotButton="0" quotePrefix="0" xfId="8">
      <alignment horizontal="center"/>
    </xf>
    <xf numFmtId="168" fontId="65" fillId="16" borderId="77" applyAlignment="1" pivotButton="0" quotePrefix="0" xfId="8">
      <alignment horizontal="center"/>
    </xf>
    <xf numFmtId="168" fontId="65" fillId="16" borderId="77" applyAlignment="1" pivotButton="0" quotePrefix="0" xfId="3">
      <alignment horizontal="center"/>
    </xf>
    <xf numFmtId="167" fontId="65" fillId="15" borderId="81" applyAlignment="1" pivotButton="0" quotePrefix="0" xfId="3">
      <alignment horizontal="center"/>
    </xf>
    <xf numFmtId="167" fontId="65" fillId="31" borderId="108" applyAlignment="1" pivotButton="0" quotePrefix="0" xfId="3">
      <alignment horizontal="center"/>
    </xf>
    <xf numFmtId="167" fontId="65" fillId="15" borderId="77" applyAlignment="1" pivotButton="0" quotePrefix="0" xfId="0">
      <alignment horizontal="center"/>
    </xf>
    <xf numFmtId="167" fontId="65" fillId="31" borderId="110" applyAlignment="1" pivotButton="0" quotePrefix="0" xfId="0">
      <alignment horizontal="center"/>
    </xf>
    <xf numFmtId="172" fontId="65" fillId="31" borderId="110" applyAlignment="1" pivotButton="0" quotePrefix="0" xfId="0">
      <alignment horizontal="center"/>
    </xf>
    <xf numFmtId="168" fontId="65" fillId="15" borderId="77" applyAlignment="1" pivotButton="0" quotePrefix="0" xfId="3">
      <alignment horizontal="center"/>
    </xf>
    <xf numFmtId="168" fontId="65" fillId="31" borderId="110" applyAlignment="1" pivotButton="0" quotePrefix="0" xfId="3">
      <alignment horizontal="center"/>
    </xf>
    <xf numFmtId="167" fontId="105" fillId="0" borderId="114" applyAlignment="1" pivotButton="0" quotePrefix="0" xfId="0">
      <alignment horizontal="left"/>
    </xf>
    <xf numFmtId="165" fontId="56" fillId="10" borderId="81" applyAlignment="1" pivotButton="0" quotePrefix="0" xfId="0">
      <alignment horizontal="center"/>
    </xf>
    <xf numFmtId="165" fontId="8" fillId="10" borderId="81" applyAlignment="1" pivotButton="0" quotePrefix="0" xfId="0">
      <alignment horizontal="right"/>
    </xf>
    <xf numFmtId="164" fontId="7" fillId="10" borderId="81" pivotButton="0" quotePrefix="0" xfId="0"/>
    <xf numFmtId="164" fontId="7" fillId="10" borderId="105" pivotButton="0" quotePrefix="0" xfId="0"/>
    <xf numFmtId="164" fontId="7" fillId="10" borderId="107" pivotButton="0" quotePrefix="0" xfId="0"/>
    <xf numFmtId="164" fontId="7" fillId="10" borderId="108" pivotButton="0" quotePrefix="0" xfId="0"/>
    <xf numFmtId="165" fontId="8" fillId="10" borderId="115" pivotButton="0" quotePrefix="0" xfId="11"/>
    <xf numFmtId="164" fontId="7" fillId="10" borderId="77" pivotButton="0" quotePrefix="0" xfId="0"/>
    <xf numFmtId="171" fontId="7" fillId="10" borderId="106" pivotButton="0" quotePrefix="0" xfId="3"/>
    <xf numFmtId="164" fontId="7" fillId="10" borderId="106" pivotButton="0" quotePrefix="0" xfId="0"/>
    <xf numFmtId="164" fontId="7" fillId="10" borderId="110" pivotButton="0" quotePrefix="0" xfId="0"/>
    <xf numFmtId="165" fontId="8" fillId="10" borderId="115" pivotButton="0" quotePrefix="0" xfId="0"/>
    <xf numFmtId="171" fontId="0" fillId="0" borderId="0" pivotButton="0" quotePrefix="0" xfId="3"/>
    <xf numFmtId="164" fontId="0" fillId="0" borderId="0" pivotButton="0" quotePrefix="0" xfId="0"/>
    <xf numFmtId="165" fontId="7" fillId="10" borderId="77" applyAlignment="1" pivotButton="0" quotePrefix="0" xfId="0">
      <alignment horizontal="right"/>
    </xf>
    <xf numFmtId="164" fontId="7" fillId="24" borderId="106" pivotButton="0" quotePrefix="0" xfId="0"/>
    <xf numFmtId="164" fontId="7" fillId="10" borderId="109" pivotButton="0" quotePrefix="0" xfId="0"/>
    <xf numFmtId="171" fontId="7" fillId="24" borderId="106" pivotButton="0" quotePrefix="0" xfId="3"/>
    <xf numFmtId="164" fontId="7" fillId="24" borderId="77" pivotButton="0" quotePrefix="0" xfId="0"/>
    <xf numFmtId="165" fontId="107" fillId="10" borderId="81" applyAlignment="1" pivotButton="0" quotePrefix="0" xfId="0">
      <alignment horizontal="center"/>
    </xf>
    <xf numFmtId="164" fontId="8" fillId="10" borderId="81" pivotButton="0" quotePrefix="0" xfId="0"/>
    <xf numFmtId="164" fontId="8" fillId="10" borderId="105" pivotButton="0" quotePrefix="0" xfId="0"/>
    <xf numFmtId="164" fontId="8" fillId="10" borderId="108" pivotButton="0" quotePrefix="0" xfId="0"/>
    <xf numFmtId="173" fontId="7" fillId="10" borderId="106" pivotButton="0" quotePrefix="0" xfId="0"/>
    <xf numFmtId="173" fontId="86" fillId="10" borderId="115" applyAlignment="1" pivotButton="0" quotePrefix="0" xfId="0">
      <alignment horizontal="right"/>
    </xf>
    <xf numFmtId="164" fontId="7" fillId="24" borderId="105" pivotButton="0" quotePrefix="0" xfId="0"/>
    <xf numFmtId="164" fontId="7" fillId="0" borderId="106" pivotButton="0" quotePrefix="0" xfId="0"/>
    <xf numFmtId="164" fontId="7" fillId="10" borderId="94" pivotButton="0" quotePrefix="0" xfId="0"/>
    <xf numFmtId="165" fontId="8" fillId="10" borderId="81" applyAlignment="1" pivotButton="0" quotePrefix="0" xfId="0">
      <alignment horizontal="center"/>
    </xf>
    <xf numFmtId="164" fontId="7" fillId="10" borderId="81" applyAlignment="1" pivotButton="0" quotePrefix="0" xfId="0">
      <alignment horizontal="center"/>
    </xf>
    <xf numFmtId="164" fontId="7" fillId="10" borderId="77" applyAlignment="1" pivotButton="0" quotePrefix="0" xfId="0">
      <alignment horizontal="center"/>
    </xf>
    <xf numFmtId="164" fontId="7" fillId="10" borderId="105" applyAlignment="1" pivotButton="0" quotePrefix="0" xfId="0">
      <alignment horizontal="center"/>
    </xf>
    <xf numFmtId="164" fontId="7" fillId="10" borderId="106" applyAlignment="1" pivotButton="0" quotePrefix="0" xfId="0">
      <alignment horizontal="center"/>
    </xf>
    <xf numFmtId="164" fontId="7" fillId="24" borderId="105" applyAlignment="1" pivotButton="0" quotePrefix="0" xfId="0">
      <alignment horizontal="center"/>
    </xf>
    <xf numFmtId="164" fontId="7" fillId="24" borderId="106" applyAlignment="1" pivotButton="0" quotePrefix="0" xfId="0">
      <alignment horizontal="center"/>
    </xf>
    <xf numFmtId="164" fontId="7" fillId="24" borderId="110" pivotButton="0" quotePrefix="0" xfId="0"/>
    <xf numFmtId="164" fontId="7" fillId="10" borderId="157" pivotButton="0" quotePrefix="0" xfId="0"/>
  </cellXfs>
  <cellStyles count="32">
    <cellStyle name="Normal" xfId="0" builtinId="0"/>
    <cellStyle name="Hyperlink" xfId="1" builtinId="8"/>
    <cellStyle name="Normal 2" xfId="2"/>
    <cellStyle name="Currency" xfId="3" builtinId="4"/>
    <cellStyle name="Percent" xfId="4" builtinId="5"/>
    <cellStyle name="Normal 4" xfId="5"/>
    <cellStyle name="Normal 3" xfId="6"/>
    <cellStyle name="Hyperlink 2" xfId="7"/>
    <cellStyle name="Currency 2" xfId="8"/>
    <cellStyle name="Percent 2" xfId="9"/>
    <cellStyle name="Normal 4 2" xfId="10"/>
    <cellStyle name="Normal 5" xfId="11"/>
    <cellStyle name="Normal 6" xfId="12"/>
    <cellStyle name="Currency 3" xfId="13"/>
    <cellStyle name="Normal 4 3" xfId="14"/>
    <cellStyle name="Currency 2 2" xfId="15"/>
    <cellStyle name="Normal 4 2 2" xfId="16"/>
    <cellStyle name="Normal 5 2" xfId="17"/>
    <cellStyle name="Normal 7" xfId="18"/>
    <cellStyle name="Currency 4" xfId="19"/>
    <cellStyle name="Normal 4 4" xfId="20"/>
    <cellStyle name="Currency 2 3" xfId="21"/>
    <cellStyle name="Normal 4 2 3" xfId="22"/>
    <cellStyle name="Normal 5 3" xfId="23"/>
    <cellStyle name="Currency 3 2" xfId="24"/>
    <cellStyle name="Normal 4 3 2" xfId="25"/>
    <cellStyle name="Currency 2 2 2" xfId="26"/>
    <cellStyle name="Normal 4 2 2 2" xfId="27"/>
    <cellStyle name="Normal 5 2 2" xfId="28"/>
    <cellStyle name="Normal 8" xfId="29"/>
    <cellStyle name="Currency 5" xfId="30"/>
    <cellStyle name="Normal 4 5" xfId="31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D0806"/>
      <rgbColor rgb="FFC0C0C0"/>
      <rgbColor rgb="FFFFCC99"/>
      <rgbColor rgb="FF33CCCC"/>
      <rgbColor rgb="FF9C0006"/>
      <rgbColor rgb="FF4EE257"/>
      <rgbColor rgb="FF9C5700"/>
      <rgbColor rgb="FFFFEB9C"/>
      <rgbColor rgb="FFCCFFCC"/>
      <rgbColor rgb="FFFFFF00"/>
      <rgbColor rgb="FFFCF305"/>
      <rgbColor rgb="FF99CCFF"/>
      <rgbColor rgb="FFA2BD90"/>
      <rgbColor rgb="FF00808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showGridLines="0" topLeftCell="A19" zoomScaleNormal="100" workbookViewId="0">
      <selection activeCell="B43" sqref="B43"/>
    </sheetView>
  </sheetViews>
  <sheetFormatPr baseColWidth="8" defaultColWidth="10" defaultRowHeight="12.75" customHeight="1"/>
  <cols>
    <col width="39.85546875" customWidth="1" style="2" min="1" max="1"/>
    <col width="35" customWidth="1" style="2" min="2" max="2"/>
    <col width="28" customWidth="1" style="2" min="3" max="3"/>
    <col width="10" customWidth="1" style="2" min="4" max="256"/>
  </cols>
  <sheetData>
    <row r="1" ht="15" customHeight="1" s="2">
      <c r="A1" s="654" t="n"/>
      <c r="B1" s="655" t="inlineStr">
        <is>
          <t>RESTAURANT WAGE % CALCULATION SHEET</t>
        </is>
      </c>
      <c r="C1" s="654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5" customHeight="1" s="2">
      <c r="A2" s="656" t="inlineStr">
        <is>
          <t>LOCATION: THE ROCKS</t>
        </is>
      </c>
      <c r="B2" s="657" t="inlineStr">
        <is>
          <t xml:space="preserve">WEEK ENDING:  </t>
        </is>
      </c>
      <c r="C2" s="937" t="inlineStr">
        <is>
          <t>07/09/2026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7.45" customHeight="1" s="2">
      <c r="A3" s="660" t="inlineStr">
        <is>
          <t>Average Hourly Rate = $</t>
        </is>
      </c>
      <c r="B3" s="661" t="inlineStr">
        <is>
          <t>HOURS</t>
        </is>
      </c>
      <c r="C3" s="661" t="inlineStr">
        <is>
          <t xml:space="preserve"> </t>
        </is>
      </c>
      <c r="D3" s="7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4.25" customHeight="1" s="2">
      <c r="A4" s="662" t="inlineStr">
        <is>
          <t>Ordinary                 1x</t>
        </is>
      </c>
      <c r="B4" s="663">
        <f>'Costing sheet'!D51</f>
        <v/>
      </c>
      <c r="C4" s="663">
        <f>'Costing sheet'!E51</f>
        <v/>
      </c>
      <c r="D4" s="7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8" customHeight="1" s="2">
      <c r="A5" s="664" t="inlineStr">
        <is>
          <t>Saturday    1.25x</t>
        </is>
      </c>
      <c r="B5" s="663">
        <f>'Costing sheet'!F51</f>
        <v/>
      </c>
      <c r="C5" s="663">
        <f>'Costing sheet'!G51</f>
        <v/>
      </c>
      <c r="D5" s="7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 s="2">
      <c r="A6" s="664" t="inlineStr">
        <is>
          <t>Sunday 1.5x</t>
        </is>
      </c>
      <c r="B6" s="663">
        <f>'Costing sheet'!H51</f>
        <v/>
      </c>
      <c r="C6" s="663">
        <f>'Costing sheet'!I51</f>
        <v/>
      </c>
      <c r="D6" s="7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Z6" t="n">
        <v>4.6</v>
      </c>
    </row>
    <row r="7" ht="18" customHeight="1" s="2">
      <c r="A7" s="664" t="inlineStr">
        <is>
          <t>Over Time              1.5x</t>
        </is>
      </c>
      <c r="B7" s="663">
        <f>'Costing sheet'!J51</f>
        <v/>
      </c>
      <c r="C7" s="663">
        <f>'Costing sheet'!K51</f>
        <v/>
      </c>
      <c r="D7" s="7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18" customHeight="1" s="2">
      <c r="A8" s="664" t="inlineStr">
        <is>
          <t>Over Time              1.75x</t>
        </is>
      </c>
      <c r="B8" s="663">
        <f>'Costing sheet'!L51</f>
        <v/>
      </c>
      <c r="C8" s="663">
        <f>'Costing sheet'!M51</f>
        <v/>
      </c>
      <c r="D8" s="7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18.6" customHeight="1" s="2">
      <c r="A9" s="662" t="inlineStr">
        <is>
          <t>Saturday / Milko</t>
        </is>
      </c>
      <c r="B9" s="663">
        <f>'Costing sheet'!N51</f>
        <v/>
      </c>
      <c r="C9" s="663">
        <f>'Costing sheet'!O51</f>
        <v/>
      </c>
      <c r="D9" s="7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8" customHeight="1" s="2">
      <c r="A10" s="662" t="inlineStr">
        <is>
          <t>Over Time              2x</t>
        </is>
      </c>
      <c r="B10" s="663">
        <f>'Costing sheet'!P51</f>
        <v/>
      </c>
      <c r="C10" s="663">
        <f>'Costing sheet'!Q51</f>
        <v/>
      </c>
      <c r="D10" s="7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18.6" customHeight="1" s="2">
      <c r="A11" s="662" t="inlineStr">
        <is>
          <t>P/Holiday            2.25x / 2.5x</t>
        </is>
      </c>
      <c r="B11" s="663">
        <f>'Costing sheet'!R51+'Costing sheet'!T51</f>
        <v/>
      </c>
      <c r="C11" s="663">
        <f>'Costing sheet'!S51+'Costing sheet'!U51</f>
        <v/>
      </c>
      <c r="D11" s="7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17.45" customHeight="1" s="2">
      <c r="A12" s="665" t="inlineStr">
        <is>
          <t>Sick Leave</t>
        </is>
      </c>
      <c r="B12" s="663">
        <f>'Costing sheet'!V51</f>
        <v/>
      </c>
      <c r="C12" s="663">
        <f>'Costing sheet'!W51</f>
        <v/>
      </c>
      <c r="D12" s="7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14.25" customHeight="1" s="2">
      <c r="A13" s="662" t="inlineStr">
        <is>
          <t>Split / Laundry / clothing Allowances</t>
        </is>
      </c>
      <c r="B13" s="666" t="n"/>
      <c r="C13" s="666">
        <f>'Costing sheet'!Z51+'Costing sheet'!AF51</f>
        <v/>
      </c>
      <c r="D13" s="7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14.25" customHeight="1" s="2">
      <c r="A14" s="662" t="inlineStr">
        <is>
          <t>Penalty Allowances     10-12am / 12-6am</t>
        </is>
      </c>
      <c r="B14" s="667" t="n"/>
      <c r="C14" s="663">
        <f>SUM('Costing sheet'!AC51,'Costing sheet'!AE51)</f>
        <v/>
      </c>
      <c r="D14" s="7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14.25" customHeight="1" s="2">
      <c r="A15" s="662" t="inlineStr">
        <is>
          <t>Supervisor / Public Holiday Allowances</t>
        </is>
      </c>
      <c r="B15" s="668" t="n"/>
      <c r="C15" s="663">
        <f>'Costing sheet'!AA51</f>
        <v/>
      </c>
      <c r="D15" s="7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4.25" customHeight="1" s="2">
      <c r="A16" s="665" t="inlineStr">
        <is>
          <t>Paid Annual Leave</t>
        </is>
      </c>
      <c r="B16" s="669">
        <f>'Costing sheet'!X51</f>
        <v/>
      </c>
      <c r="C16" s="669">
        <f>'Costing sheet'!Y51</f>
        <v/>
      </c>
      <c r="D16" s="7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4.25" customHeight="1" s="2">
      <c r="A17" s="670" t="inlineStr">
        <is>
          <t>TOTAL</t>
        </is>
      </c>
      <c r="B17" s="671">
        <f>SUM(B4:B16)</f>
        <v/>
      </c>
      <c r="C17" s="672">
        <f>SUM(C4:C16)</f>
        <v/>
      </c>
      <c r="D17" s="6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8" customHeight="1" s="2">
      <c r="A18" s="662" t="n"/>
      <c r="B18" s="687" t="n"/>
      <c r="C18" s="687" t="n"/>
      <c r="D18" s="7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4.25" customHeight="1" s="2">
      <c r="A19" s="662" t="inlineStr">
        <is>
          <t>Cleaning</t>
        </is>
      </c>
      <c r="B19" s="666" t="n"/>
      <c r="C19" s="666" t="n"/>
      <c r="D19" s="7" t="n"/>
      <c r="E19" s="1" t="n"/>
      <c r="F19" s="1" t="n"/>
      <c r="G19" s="1" t="n"/>
      <c r="H19" s="1" t="n"/>
      <c r="I19" s="48" t="n"/>
      <c r="J19" s="1" t="n"/>
      <c r="K19" s="1" t="n"/>
      <c r="L19" s="1" t="n"/>
      <c r="M19" s="1" t="n"/>
      <c r="N19" s="1" t="n"/>
      <c r="O19" s="1" t="n"/>
    </row>
    <row r="20" ht="14.25" customHeight="1" s="2">
      <c r="A20" s="662" t="inlineStr">
        <is>
          <t>Promotions</t>
        </is>
      </c>
      <c r="B20" s="666" t="n"/>
      <c r="C20" s="666" t="n"/>
      <c r="D20" s="7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4.25" customHeight="1" s="2">
      <c r="A21" s="662" t="inlineStr">
        <is>
          <t xml:space="preserve">Annual Leave/termination pay </t>
        </is>
      </c>
      <c r="B21" s="666">
        <f>B16</f>
        <v/>
      </c>
      <c r="C21" s="666">
        <f>C16</f>
        <v/>
      </c>
      <c r="D21" s="7" t="n"/>
      <c r="E21" s="1" t="n"/>
      <c r="F21" s="1" t="n"/>
      <c r="G21" s="1" t="inlineStr">
        <is>
          <t>`</t>
        </is>
      </c>
      <c r="H21" s="1" t="n"/>
      <c r="I21" s="49" t="n"/>
      <c r="J21" s="1" t="n"/>
      <c r="K21" s="1" t="n"/>
      <c r="L21" s="1" t="n"/>
      <c r="M21" s="1" t="n"/>
      <c r="N21" s="1" t="n"/>
      <c r="O21" s="1" t="n"/>
    </row>
    <row r="22" ht="14.25" customHeight="1" s="2">
      <c r="A22" s="662" t="inlineStr">
        <is>
          <t>Transfer In from (BH)</t>
        </is>
      </c>
      <c r="B22" s="666">
        <f>Transfers!AA77</f>
        <v/>
      </c>
      <c r="C22" s="707">
        <f>Transfers!AB77</f>
        <v/>
      </c>
      <c r="D22" s="7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4.25" customHeight="1" s="2">
      <c r="A23" s="662" t="inlineStr">
        <is>
          <t>Transfer IN from (NM)</t>
        </is>
      </c>
      <c r="B23" s="666">
        <f>Transfers!AA64</f>
        <v/>
      </c>
      <c r="C23" s="708">
        <f>Transfers!AB64</f>
        <v/>
      </c>
      <c r="D23" s="7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50" t="n"/>
      <c r="O23" s="50" t="n"/>
    </row>
    <row r="24" ht="14.25" customHeight="1" s="2">
      <c r="A24" s="662" t="inlineStr">
        <is>
          <t>Transfer IN from (DSQ)</t>
        </is>
      </c>
      <c r="B24" s="666">
        <f>Transfers!AA51</f>
        <v/>
      </c>
      <c r="C24" s="679">
        <f>Transfers!AB51</f>
        <v/>
      </c>
      <c r="D24" s="7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50" t="n"/>
      <c r="O24" s="50" t="n"/>
    </row>
    <row r="25" ht="14.25" customHeight="1" s="2">
      <c r="A25" s="662" t="inlineStr">
        <is>
          <t>Transfer OUT to (DSQ)</t>
        </is>
      </c>
      <c r="B25" s="666">
        <f>Transfers!AA12</f>
        <v/>
      </c>
      <c r="C25" s="666">
        <f>Transfers!AB12</f>
        <v/>
      </c>
      <c r="D25" s="7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50" t="n"/>
      <c r="O25" s="50" t="n"/>
    </row>
    <row r="26" ht="14.25" customHeight="1" s="2">
      <c r="A26" s="662" t="inlineStr">
        <is>
          <t>Transfer OUT to (BH)</t>
        </is>
      </c>
      <c r="B26" s="666" t="n"/>
      <c r="C26" s="707" t="n"/>
      <c r="D26" s="7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50" t="n"/>
      <c r="O26" s="50" t="n"/>
      <c r="Z26" t="n">
        <v>4.6</v>
      </c>
    </row>
    <row r="27" ht="14.25" customHeight="1" s="2">
      <c r="A27" s="662" t="inlineStr">
        <is>
          <t>Transfer OUT to (BH)</t>
        </is>
      </c>
      <c r="B27" s="666">
        <f>Transfers!AA23</f>
        <v/>
      </c>
      <c r="C27" s="666">
        <f>Transfers!AB23</f>
        <v/>
      </c>
      <c r="D27" s="7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50" t="n"/>
      <c r="O27" s="50" t="n"/>
      <c r="Z27" t="n">
        <v>4.6</v>
      </c>
    </row>
    <row r="28" ht="14.25" customHeight="1" s="2">
      <c r="A28" s="662" t="inlineStr">
        <is>
          <t>Transfer OUT to (NM)</t>
        </is>
      </c>
      <c r="B28" s="666">
        <f>Transfers!AA33</f>
        <v/>
      </c>
      <c r="C28" s="666">
        <f>Transfers!AB33</f>
        <v/>
      </c>
      <c r="D28" s="7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50" t="n"/>
      <c r="O28" s="50" t="n"/>
      <c r="Z28" t="n">
        <v>4.6</v>
      </c>
    </row>
    <row r="29" ht="14.25" customHeight="1" s="2">
      <c r="A29" s="662" t="n"/>
      <c r="B29" s="666" t="n"/>
      <c r="C29" s="666" t="n"/>
      <c r="D29" s="7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50" t="n"/>
      <c r="O29" s="50" t="n"/>
    </row>
    <row r="30" ht="14.25" customHeight="1" s="2">
      <c r="A30" s="662" t="inlineStr">
        <is>
          <t>Superannuation</t>
        </is>
      </c>
      <c r="B30" s="666">
        <f>B17*0.12</f>
        <v/>
      </c>
      <c r="C30" s="666">
        <f>C17*0.12</f>
        <v/>
      </c>
      <c r="D30" s="7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50" t="n"/>
      <c r="O30" s="50" t="n"/>
    </row>
    <row r="31" ht="14.25" customHeight="1" s="2">
      <c r="A31" s="674" t="inlineStr">
        <is>
          <t>Leave Liability</t>
        </is>
      </c>
      <c r="B31" s="688">
        <f>B17*7.69/100</f>
        <v/>
      </c>
      <c r="C31" s="688">
        <f>C17*7.69/100</f>
        <v/>
      </c>
      <c r="D31" s="7" t="n"/>
      <c r="E31" s="1" t="n"/>
      <c r="F31" s="1" t="n"/>
      <c r="G31" s="1" t="n"/>
      <c r="H31" s="51" t="inlineStr">
        <is>
          <t xml:space="preserve"> </t>
        </is>
      </c>
      <c r="I31" s="1" t="n"/>
      <c r="J31" s="1" t="n"/>
      <c r="K31" s="1" t="n"/>
      <c r="L31" s="1" t="n"/>
      <c r="M31" s="1" t="n"/>
      <c r="N31" s="1" t="n"/>
      <c r="O31" s="1" t="n"/>
    </row>
    <row r="32" ht="14.25" customHeight="1" s="2">
      <c r="A32" s="675" t="inlineStr">
        <is>
          <t>TOTAL WAGES</t>
        </is>
      </c>
      <c r="B32" s="671">
        <f>B17+B22+B23+B24-B25-B26-B27-B28+B31-B21+B18</f>
        <v/>
      </c>
      <c r="C32" s="671">
        <f>C17+C22+C23+C24-C25-C26-C27-C28+C30+C31-C21+C18</f>
        <v/>
      </c>
      <c r="D32" s="6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18" customHeight="1" s="2">
      <c r="A33" s="676" t="n"/>
      <c r="B33" s="673" t="n"/>
      <c r="C33" s="673" t="n"/>
      <c r="D33" s="7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17.45" customHeight="1" s="2">
      <c r="A34" s="662" t="inlineStr">
        <is>
          <t>Sick Leave</t>
        </is>
      </c>
      <c r="B34" s="663">
        <f>B12</f>
        <v/>
      </c>
      <c r="C34" s="663">
        <f>C12</f>
        <v/>
      </c>
      <c r="D34" s="7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14.25" customHeight="1" s="2">
      <c r="A35" s="662" t="inlineStr">
        <is>
          <t>Leave Liability</t>
        </is>
      </c>
      <c r="B35" s="663">
        <f>B31</f>
        <v/>
      </c>
      <c r="C35" s="663">
        <f>C31</f>
        <v/>
      </c>
      <c r="D35" s="7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14.25" customHeight="1" s="2">
      <c r="A36" s="662" t="inlineStr">
        <is>
          <t>Training</t>
        </is>
      </c>
      <c r="B36" s="663" t="n"/>
      <c r="C36" s="663" t="n">
        <v>0</v>
      </c>
      <c r="D36" s="7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14.25" customHeight="1" s="2">
      <c r="A37" s="677" t="inlineStr">
        <is>
          <t>Total Hours For Productivity</t>
        </is>
      </c>
      <c r="B37" s="682">
        <f>B32-(B34+B35+B36)</f>
        <v/>
      </c>
      <c r="C37" s="1070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24.75" customHeight="1" s="2">
      <c r="A38" s="665" t="inlineStr">
        <is>
          <t>GROSS TOTAL</t>
        </is>
      </c>
      <c r="B38" s="1234" t="n">
        <v>117324.85</v>
      </c>
      <c r="C38" s="1071" t="inlineStr">
        <is>
          <t xml:space="preserve"> </t>
        </is>
      </c>
      <c r="D38" s="5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24.75" customHeight="1" s="2">
      <c r="A39" s="678" t="inlineStr">
        <is>
          <t>Nett SALES (-GST)</t>
        </is>
      </c>
      <c r="B39" s="1068">
        <f>B38/1.1</f>
        <v/>
      </c>
      <c r="C39" s="1069" t="n"/>
      <c r="D39" s="5" t="n"/>
      <c r="E39" s="1" t="n"/>
      <c r="F39" s="1" t="n"/>
      <c r="G39" s="1" t="n"/>
      <c r="H39" s="52" t="n"/>
      <c r="I39" s="1" t="n"/>
      <c r="J39" s="1" t="n"/>
      <c r="K39" s="1" t="n"/>
      <c r="L39" s="1" t="n"/>
      <c r="M39" s="1" t="n"/>
      <c r="N39" s="1" t="n"/>
      <c r="O39" s="1" t="n"/>
    </row>
    <row r="40" ht="24" customHeight="1" s="2">
      <c r="A40" s="680" t="inlineStr">
        <is>
          <t>CUSTOMERS</t>
        </is>
      </c>
      <c r="B40" s="1064" t="n">
        <v>4500</v>
      </c>
      <c r="C40" s="1067" t="n"/>
      <c r="D40" s="1065" t="n"/>
      <c r="E40" s="1" t="n"/>
      <c r="F40" s="1" t="n"/>
      <c r="G40" s="1" t="n"/>
      <c r="H40" s="20" t="n"/>
      <c r="I40" s="1" t="n"/>
      <c r="J40" s="1" t="n"/>
      <c r="K40" s="1" t="n"/>
      <c r="L40" s="1" t="n"/>
      <c r="M40" s="1" t="n"/>
      <c r="N40" s="1" t="n"/>
      <c r="O40" s="1" t="n"/>
      <c r="R40">
        <f>78875-68645.72</f>
        <v/>
      </c>
    </row>
    <row r="41" ht="24.75" customHeight="1" s="2">
      <c r="A41" s="680" t="inlineStr">
        <is>
          <t>WAGE % TO GROSS TOTAL</t>
        </is>
      </c>
      <c r="B41" s="822">
        <f>C32/B38</f>
        <v/>
      </c>
      <c r="C41" s="1066" t="n"/>
      <c r="D41" s="1" t="n"/>
      <c r="E41" s="1" t="n"/>
      <c r="F41" s="1" t="n"/>
      <c r="G41" s="1" t="n"/>
      <c r="H41" s="53" t="n"/>
      <c r="I41" s="1" t="n"/>
      <c r="J41" s="1" t="n"/>
      <c r="K41" s="1" t="n"/>
      <c r="L41" s="1" t="n"/>
      <c r="M41" s="1" t="n"/>
      <c r="N41" s="1" t="n"/>
      <c r="O41" s="1" t="n"/>
    </row>
    <row r="42" ht="24.75" customHeight="1" s="2">
      <c r="A42" s="680" t="inlineStr">
        <is>
          <t>WAGE % TO NETT TOTAL</t>
        </is>
      </c>
      <c r="B42" s="823">
        <f>C32/B39</f>
        <v/>
      </c>
      <c r="C42" s="681" t="n"/>
      <c r="D42" s="1" t="n"/>
      <c r="E42" s="1" t="n"/>
      <c r="F42" s="1" t="n"/>
      <c r="G42" s="1" t="n"/>
      <c r="H42" s="54" t="n"/>
      <c r="I42" s="1" t="n"/>
      <c r="J42" s="1" t="n"/>
      <c r="K42" s="1" t="n"/>
      <c r="L42" s="1" t="n"/>
      <c r="M42" s="1" t="n"/>
      <c r="N42" s="1" t="n"/>
      <c r="O42" s="1" t="n"/>
    </row>
    <row r="43" ht="24.75" customHeight="1" s="2">
      <c r="A43" s="680" t="inlineStr">
        <is>
          <t>PRODUCTIVITY</t>
        </is>
      </c>
      <c r="B43" s="663">
        <f>B40/B37</f>
        <v/>
      </c>
      <c r="C43" s="681" t="n"/>
      <c r="D43" s="1" t="n"/>
      <c r="E43" s="1" t="n"/>
      <c r="F43" s="1" t="n"/>
      <c r="G43" s="51" t="n"/>
      <c r="H43" s="54" t="n"/>
      <c r="I43" s="1" t="n"/>
      <c r="J43" s="1" t="n"/>
      <c r="K43" s="1" t="n"/>
      <c r="L43" s="1" t="n"/>
      <c r="M43" s="1" t="n"/>
      <c r="N43" s="1" t="n"/>
      <c r="O43" s="1" t="n"/>
    </row>
    <row r="44" ht="18" customHeight="1" s="2">
      <c r="A44" s="658" t="inlineStr">
        <is>
          <t>AVERAGE HOURLY RATE</t>
        </is>
      </c>
      <c r="B44" s="663">
        <f>C32/B37</f>
        <v/>
      </c>
      <c r="C44" s="659" t="n"/>
      <c r="D44" s="1" t="n"/>
      <c r="E44" s="1" t="n"/>
      <c r="F44" s="1" t="n"/>
      <c r="G44" s="1" t="n"/>
      <c r="H44" s="54" t="n"/>
      <c r="I44" s="1" t="n"/>
      <c r="J44" s="1" t="n"/>
      <c r="K44" s="1" t="n"/>
      <c r="L44" s="1" t="n"/>
      <c r="M44" s="1" t="n"/>
      <c r="N44" s="1" t="n"/>
      <c r="O44" s="1" t="n"/>
    </row>
    <row r="45" ht="15" customHeight="1" s="2">
      <c r="A45" s="19" t="n"/>
      <c r="B45" s="55" t="n"/>
      <c r="C45" s="19" t="n"/>
      <c r="D45" s="1" t="n"/>
      <c r="E45" s="1" t="n"/>
      <c r="F45" s="1" t="n"/>
      <c r="G45" s="1" t="n"/>
      <c r="H45" s="54" t="n"/>
      <c r="I45" s="1" t="n"/>
      <c r="J45" s="1" t="n"/>
      <c r="K45" s="1" t="n"/>
      <c r="L45" s="1" t="n"/>
      <c r="M45" s="1" t="n"/>
      <c r="N45" s="1" t="n"/>
      <c r="O45" s="1" t="n"/>
    </row>
    <row r="46" ht="24.75" customHeight="1" s="2">
      <c r="A46" s="19" t="n"/>
      <c r="B46" s="19" t="n"/>
      <c r="C46" s="19" t="n"/>
      <c r="D46" s="1" t="n"/>
      <c r="E46" s="1" t="n"/>
      <c r="F46" s="1" t="n"/>
      <c r="G46" s="1" t="n"/>
      <c r="H46" s="54" t="n"/>
      <c r="I46" s="1" t="n"/>
      <c r="J46" s="1" t="n"/>
      <c r="K46" s="1" t="n"/>
      <c r="L46" s="1" t="n"/>
      <c r="M46" s="1" t="n"/>
      <c r="N46" s="1" t="n"/>
      <c r="O46" s="1" t="n"/>
    </row>
    <row r="47" ht="24.75" customHeight="1" s="2">
      <c r="A47" s="19" t="n"/>
      <c r="B47" s="19" t="n"/>
      <c r="C47" s="1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4.75" customHeight="1" s="2">
      <c r="A48" s="19" t="n"/>
      <c r="B48" s="19" t="n"/>
      <c r="C48" s="19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24.75" customHeight="1" s="2">
      <c r="A49" s="19" t="n"/>
      <c r="B49" s="19" t="n"/>
      <c r="C49" s="19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24.75" customHeight="1" s="2">
      <c r="A50" s="19" t="n"/>
      <c r="B50" s="19" t="n"/>
      <c r="C50" s="19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24.75" customHeight="1" s="2">
      <c r="A51" s="19" t="n"/>
      <c r="B51" s="19" t="n"/>
      <c r="C51" s="19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24.75" customHeight="1" s="2">
      <c r="A52" s="19" t="n"/>
      <c r="B52" s="19" t="n"/>
      <c r="C52" s="19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4.75" customHeight="1" s="2">
      <c r="A53" s="19" t="n"/>
      <c r="B53" s="19" t="n"/>
      <c r="C53" s="19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24.75" customHeight="1" s="2">
      <c r="A54" s="19" t="n"/>
      <c r="B54" s="19" t="n"/>
      <c r="C54" s="19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24.75" customHeight="1" s="2">
      <c r="A55" s="19" t="n"/>
      <c r="B55" s="19" t="n"/>
      <c r="C55" s="19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24.75" customHeight="1" s="2">
      <c r="A56" s="19" t="n"/>
      <c r="B56" s="19" t="n"/>
      <c r="C56" s="19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24.75" customHeight="1" s="2">
      <c r="A57" s="19" t="n"/>
      <c r="B57" s="19" t="n"/>
      <c r="C57" s="19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7.45" customHeight="1" s="2">
      <c r="A58" s="19" t="n"/>
      <c r="B58" s="19" t="n"/>
      <c r="C58" s="19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7.45" customHeight="1" s="2">
      <c r="A59" s="19" t="n"/>
      <c r="B59" s="19" t="n"/>
      <c r="C59" s="19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7.45" customHeight="1" s="2">
      <c r="A60" s="19" t="n"/>
      <c r="B60" s="19" t="n"/>
      <c r="C60" s="19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7.45" customHeight="1" s="2">
      <c r="A61" s="19" t="n"/>
      <c r="B61" s="19" t="n"/>
      <c r="C61" s="19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7.45" customHeight="1" s="2">
      <c r="A62" s="19" t="n"/>
      <c r="B62" s="19" t="n"/>
      <c r="C62" s="19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7.45" customHeight="1" s="2">
      <c r="A63" s="19" t="n"/>
      <c r="B63" s="19" t="n"/>
      <c r="C63" s="19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</sheetData>
  <conditionalFormatting sqref="C24">
    <cfRule type="cellIs" priority="1" operator="lessThan" dxfId="0" stopIfTrue="1">
      <formula>0</formula>
    </cfRule>
  </conditionalFormatting>
  <pageMargins left="0.2362204724409449" right="0.2362204724409449" top="0.2362204724409449" bottom="0.2755905511811024" header="0.1181102362204725" footer="0.1968503937007874"/>
  <pageSetup orientation="portrait" scale="75" fitToHeight="0" horizontalDpi="429496729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zoomScale="85" zoomScaleNormal="85" workbookViewId="0">
      <selection activeCell="B11" sqref="B11"/>
    </sheetView>
  </sheetViews>
  <sheetFormatPr baseColWidth="8" defaultColWidth="11.42578125" defaultRowHeight="12.75" customHeight="1"/>
  <cols>
    <col width="11.85546875" customWidth="1" style="2" min="1" max="1"/>
    <col width="41.140625" customWidth="1" style="2" min="2" max="2"/>
    <col width="133.85546875" customWidth="1" style="2" min="3" max="3"/>
    <col width="11.42578125" customWidth="1" style="2" min="4" max="256"/>
  </cols>
  <sheetData>
    <row r="1" ht="18.6" customHeight="1" s="2" thickBot="1">
      <c r="A1" s="56" t="n"/>
      <c r="B1" s="57" t="n"/>
      <c r="C1" s="796" t="inlineStr">
        <is>
          <t>PAYROLL ADJUSTMENT FORM</t>
        </is>
      </c>
      <c r="D1" s="6" t="n"/>
      <c r="E1" s="1" t="n"/>
      <c r="F1" s="1" t="n"/>
      <c r="G1" s="1" t="n"/>
    </row>
    <row r="2" ht="18.6" customHeight="1" s="2" thickBot="1">
      <c r="A2" s="58" t="inlineStr">
        <is>
          <t xml:space="preserve">POTR         </t>
        </is>
      </c>
      <c r="B2" s="848" t="inlineStr">
        <is>
          <t xml:space="preserve">WEEK ENDING:  </t>
        </is>
      </c>
      <c r="C2" s="850">
        <f>'Wage Percentage'!C2</f>
        <v/>
      </c>
      <c r="D2" s="6" t="n"/>
      <c r="E2" s="1" t="n"/>
      <c r="F2" s="1" t="n"/>
      <c r="G2" s="1" t="n"/>
    </row>
    <row r="3" ht="15.95" customHeight="1" s="2" thickBot="1">
      <c r="A3" s="844" t="inlineStr">
        <is>
          <t>NUMBER</t>
        </is>
      </c>
      <c r="B3" s="849" t="inlineStr">
        <is>
          <t>NAME</t>
        </is>
      </c>
      <c r="C3" s="849" t="inlineStr">
        <is>
          <t>ADJUSTMENT TO BE MADE</t>
        </is>
      </c>
      <c r="D3" s="5" t="n"/>
      <c r="E3" s="1" t="n"/>
      <c r="F3" s="1" t="n"/>
      <c r="G3" s="1" t="n"/>
    </row>
    <row r="4" ht="18.6" customHeight="1" s="2" thickBot="1">
      <c r="A4" s="1180" t="n"/>
      <c r="B4" s="1178" t="inlineStr">
        <is>
          <t>TERMINATE</t>
        </is>
      </c>
      <c r="C4" s="1179" t="n"/>
      <c r="D4" s="5" t="n"/>
      <c r="E4" s="1" t="n"/>
      <c r="F4" s="1" t="n"/>
      <c r="G4" s="1" t="n"/>
    </row>
    <row r="5" ht="18" customHeight="1" s="2">
      <c r="A5" s="845" t="n"/>
      <c r="B5" s="1438" t="n"/>
      <c r="C5" s="1401" t="inlineStr">
        <is>
          <t xml:space="preserve"> </t>
        </is>
      </c>
      <c r="D5" s="5" t="n"/>
      <c r="E5" s="1" t="n"/>
      <c r="F5" s="1" t="n"/>
      <c r="G5" s="1" t="n"/>
    </row>
    <row r="6" ht="18" customHeight="1" s="2">
      <c r="A6" s="846" t="n"/>
      <c r="B6" s="1091" t="n"/>
      <c r="C6" s="1184" t="n"/>
      <c r="D6" s="5" t="n"/>
      <c r="E6" s="1" t="n"/>
      <c r="F6" s="1" t="n"/>
      <c r="G6" s="1" t="n"/>
    </row>
    <row r="7" ht="18" customHeight="1" s="2">
      <c r="A7" s="846" t="n"/>
      <c r="B7" s="1101" t="n"/>
      <c r="C7" s="1185" t="n"/>
      <c r="D7" s="5" t="n"/>
      <c r="E7" s="1" t="n"/>
      <c r="F7" s="1" t="n"/>
      <c r="G7" s="1" t="n"/>
    </row>
    <row r="8" ht="18" customHeight="1" s="2">
      <c r="A8" s="847" t="n"/>
      <c r="B8" s="1091" t="n"/>
      <c r="C8" s="1186" t="n"/>
      <c r="D8" s="5" t="n"/>
      <c r="E8" s="1" t="n"/>
      <c r="F8" s="1" t="n"/>
      <c r="G8" s="1" t="n"/>
    </row>
    <row r="9" ht="18" customHeight="1" s="2" thickBot="1">
      <c r="A9" s="1075" t="n"/>
      <c r="B9" s="1170" t="n"/>
      <c r="C9" s="1491" t="n"/>
      <c r="D9" s="5" t="n"/>
      <c r="E9" s="1" t="n"/>
      <c r="F9" s="1" t="n"/>
      <c r="G9" s="1" t="n"/>
      <c r="I9" t="n">
        <v>0</v>
      </c>
    </row>
    <row r="10" ht="18" customHeight="1" s="2" thickBot="1">
      <c r="A10" s="1181" t="n"/>
      <c r="B10" s="1188" t="inlineStr">
        <is>
          <t>NEW STARTER</t>
        </is>
      </c>
      <c r="C10" s="1189" t="n"/>
      <c r="D10" s="1074" t="n"/>
      <c r="E10" s="1" t="n"/>
      <c r="F10" s="1" t="n"/>
      <c r="G10" s="1" t="n"/>
    </row>
    <row r="11" ht="17.45" customHeight="1" s="2" thickBot="1">
      <c r="A11" s="939" t="n"/>
      <c r="B11" s="1463" t="n"/>
      <c r="C11" s="1461" t="n"/>
      <c r="D11" s="5" t="n"/>
      <c r="E11" s="1" t="n"/>
      <c r="F11" s="1" t="n"/>
      <c r="G11" s="1" t="n"/>
      <c r="I11" s="1169" t="n"/>
    </row>
    <row r="12" ht="17.45" customHeight="1" s="2" thickBot="1">
      <c r="A12" s="939" t="n"/>
      <c r="B12" s="1369" t="n"/>
      <c r="C12" s="1492" t="n"/>
      <c r="D12" s="5" t="n"/>
      <c r="E12" s="1" t="n"/>
      <c r="F12" s="1" t="n"/>
      <c r="G12" s="1" t="n"/>
    </row>
    <row r="13" ht="18" customHeight="1" s="2">
      <c r="A13" s="903" t="n"/>
      <c r="B13" s="1370" t="n"/>
      <c r="C13" s="1493" t="n"/>
      <c r="D13" s="5" t="n"/>
      <c r="E13" s="1" t="n"/>
      <c r="F13" s="1" t="n"/>
      <c r="G13" s="1" t="n"/>
    </row>
    <row r="14" ht="18" customHeight="1" s="2">
      <c r="A14" s="903" t="n"/>
      <c r="B14" s="1409" t="n"/>
      <c r="C14" s="1191" t="n"/>
      <c r="D14" s="5" t="n"/>
      <c r="E14" s="1" t="n"/>
      <c r="F14" s="1" t="n"/>
      <c r="G14" s="1" t="n"/>
    </row>
    <row r="15" ht="18" customHeight="1" s="2">
      <c r="A15" s="903" t="n"/>
      <c r="B15" s="1190" t="n"/>
      <c r="C15" s="1191" t="n"/>
      <c r="D15" s="5" t="n"/>
      <c r="E15" s="1" t="n"/>
      <c r="F15" s="1" t="n"/>
      <c r="G15" s="1" t="n"/>
    </row>
    <row r="16" ht="18" customHeight="1" s="2">
      <c r="A16" s="903" t="n"/>
      <c r="B16" s="1192" t="n"/>
      <c r="C16" s="1191" t="n"/>
      <c r="D16" s="5" t="n"/>
      <c r="E16" s="1" t="n"/>
      <c r="F16" s="1" t="n"/>
      <c r="G16" s="1" t="n"/>
    </row>
    <row r="17" ht="18" customHeight="1" s="2" thickBot="1">
      <c r="A17" s="1213" t="n"/>
      <c r="B17" s="1212" t="n"/>
      <c r="C17" s="1214" t="n"/>
      <c r="D17" s="5" t="n"/>
      <c r="E17" s="1" t="n"/>
      <c r="F17" s="1" t="n"/>
      <c r="G17" s="1" t="n"/>
    </row>
    <row r="18" ht="17.45" customHeight="1" s="2">
      <c r="A18" s="1177" t="n"/>
      <c r="B18" s="1193" t="n"/>
      <c r="C18" s="1209" t="n"/>
      <c r="D18" s="6" t="n"/>
      <c r="E18" s="1" t="n"/>
      <c r="F18" s="1" t="n"/>
      <c r="G18" s="1" t="n"/>
    </row>
    <row r="19" ht="17.45" customHeight="1" s="2">
      <c r="A19" s="61" t="n"/>
      <c r="B19" s="1206" t="n"/>
      <c r="C19" s="1183" t="n"/>
      <c r="D19" s="6" t="n"/>
      <c r="E19" s="1" t="n"/>
      <c r="F19" s="1" t="n"/>
      <c r="G19" s="1" t="n"/>
    </row>
    <row r="20" ht="18" customHeight="1" s="2" thickBot="1">
      <c r="A20" s="766" t="n"/>
      <c r="B20" s="1194" t="n"/>
      <c r="C20" s="1195" t="n"/>
      <c r="D20" s="6" t="n"/>
      <c r="E20" s="1" t="n"/>
      <c r="F20" s="1" t="n"/>
      <c r="G20" s="1" t="n"/>
    </row>
    <row r="21" ht="17.45" customHeight="1" s="2" thickBot="1">
      <c r="A21" s="1182" t="n"/>
      <c r="B21" s="1188" t="inlineStr">
        <is>
          <t xml:space="preserve">BACKPAY </t>
        </is>
      </c>
      <c r="C21" s="1494" t="n"/>
      <c r="D21" s="6" t="n"/>
      <c r="E21" s="1" t="n"/>
      <c r="F21" s="1" t="n"/>
      <c r="G21" s="1" t="n"/>
    </row>
    <row r="22" ht="17.45" customHeight="1" s="2">
      <c r="A22" s="61" t="n"/>
      <c r="B22" s="1368" t="n"/>
      <c r="C22" s="1197" t="n"/>
      <c r="D22" s="6" t="n"/>
      <c r="E22" s="1" t="n"/>
      <c r="F22" s="1" t="n"/>
      <c r="G22" s="1" t="n"/>
    </row>
    <row r="23" ht="17.45" customHeight="1" s="2">
      <c r="A23" s="61" t="n"/>
      <c r="B23" s="1359" t="n"/>
      <c r="C23" s="1197" t="n"/>
      <c r="D23" s="6" t="n"/>
      <c r="E23" s="1" t="n"/>
      <c r="F23" s="1" t="n"/>
      <c r="G23" s="1" t="n"/>
    </row>
    <row r="24" ht="18" customHeight="1" s="2">
      <c r="A24" s="61" t="n"/>
      <c r="B24" s="1207" t="n"/>
      <c r="C24" s="1197" t="n"/>
      <c r="D24" s="6" t="n"/>
      <c r="E24" s="1" t="n"/>
      <c r="F24" s="1" t="n"/>
      <c r="G24" s="1" t="n"/>
    </row>
    <row r="25" ht="17.45" customHeight="1" s="2">
      <c r="A25" s="59" t="n"/>
      <c r="B25" s="1036" t="n"/>
      <c r="C25" s="1197" t="n"/>
      <c r="D25" s="6" t="n"/>
      <c r="E25" s="1" t="n"/>
      <c r="F25" s="1" t="n"/>
      <c r="G25" s="1" t="n"/>
    </row>
    <row r="26" ht="17.45" customHeight="1" s="2">
      <c r="A26" s="59" t="n"/>
      <c r="B26" s="1198" t="n"/>
      <c r="C26" s="1199" t="n"/>
      <c r="D26" s="6" t="n"/>
      <c r="E26" s="1" t="n"/>
      <c r="F26" s="1" t="n"/>
      <c r="G26" s="1" t="n"/>
    </row>
    <row r="27" ht="17.45" customHeight="1" s="2" thickBot="1">
      <c r="A27" s="60" t="n"/>
      <c r="B27" s="1200" t="n"/>
      <c r="C27" s="1201" t="n"/>
      <c r="D27" s="6" t="n"/>
      <c r="E27" s="1" t="n"/>
      <c r="F27" s="1" t="n"/>
      <c r="G27" s="1" t="n"/>
    </row>
    <row r="28" ht="17.45" customHeight="1" s="2">
      <c r="A28" s="1182" t="n"/>
      <c r="B28" s="1196" t="inlineStr">
        <is>
          <t>CHANGE TO CASUAL</t>
        </is>
      </c>
      <c r="C28" s="1205" t="n"/>
      <c r="D28" s="6" t="n"/>
      <c r="E28" s="1" t="n"/>
      <c r="F28" s="1" t="n"/>
      <c r="G28" s="1" t="n"/>
    </row>
    <row r="29" ht="17.25" customHeight="1" s="2">
      <c r="A29" s="61" t="n"/>
      <c r="B29" s="1063" t="n"/>
      <c r="C29" s="1428" t="n"/>
      <c r="D29" s="6" t="n"/>
      <c r="E29" s="1" t="n"/>
      <c r="F29" s="1" t="n"/>
      <c r="G29" s="1" t="n"/>
    </row>
    <row r="30" ht="18" customHeight="1" s="2">
      <c r="A30" s="59" t="n"/>
      <c r="B30" s="1091" t="n"/>
      <c r="C30" s="1202" t="n"/>
      <c r="D30" s="6" t="n"/>
      <c r="E30" s="1" t="n"/>
      <c r="F30" s="1" t="n"/>
      <c r="G30" s="1" t="n"/>
    </row>
    <row r="31" ht="18" customHeight="1" s="2">
      <c r="A31" s="686" t="n"/>
      <c r="B31" s="1073" t="n"/>
      <c r="C31" s="1202" t="n"/>
      <c r="D31" s="6" t="n"/>
      <c r="E31" s="1" t="n"/>
      <c r="F31" s="1" t="n"/>
      <c r="G31" s="1" t="n"/>
    </row>
    <row r="32" ht="17.45" customHeight="1" s="2">
      <c r="A32" s="892" t="n"/>
      <c r="B32" s="1203" t="n"/>
      <c r="C32" s="1202" t="n"/>
      <c r="D32" s="6" t="n"/>
      <c r="E32" s="1" t="n"/>
      <c r="F32" s="1" t="n"/>
      <c r="G32" s="1" t="n"/>
    </row>
    <row r="33" ht="18" customHeight="1" s="2">
      <c r="A33" s="893" t="n"/>
      <c r="B33" s="1198" t="n"/>
      <c r="C33" s="1202" t="n"/>
      <c r="D33" s="6" t="n"/>
      <c r="E33" s="1" t="n"/>
      <c r="F33" s="1" t="n"/>
      <c r="G33" s="1" t="n"/>
    </row>
    <row r="34" ht="17.45" customHeight="1" s="2" thickBot="1">
      <c r="A34" s="60" t="n"/>
      <c r="B34" s="1200" t="n"/>
      <c r="C34" s="1202" t="n"/>
      <c r="D34" s="6" t="n"/>
      <c r="E34" s="1" t="n"/>
      <c r="F34" s="1" t="n"/>
      <c r="G34" s="1" t="n"/>
    </row>
    <row r="35" ht="17.45" customHeight="1" s="2">
      <c r="A35" s="62" t="n"/>
      <c r="B35" s="62" t="n"/>
      <c r="C35" s="3" t="n"/>
      <c r="D35" s="6" t="n"/>
      <c r="E35" s="1" t="n"/>
      <c r="F35" s="1" t="n"/>
      <c r="G35" s="1" t="n"/>
    </row>
    <row r="36" ht="17.45" customHeight="1" s="2">
      <c r="D36" s="6" t="n"/>
      <c r="E36" s="1" t="n"/>
      <c r="F36" s="1" t="n"/>
      <c r="G36" s="1" t="n"/>
    </row>
    <row r="37" ht="18" customHeight="1" s="2">
      <c r="D37" s="6" t="n"/>
      <c r="E37" s="1" t="n"/>
      <c r="F37" s="1" t="n"/>
      <c r="G37" s="1" t="n"/>
    </row>
    <row r="38" ht="17.45" customHeight="1" s="2">
      <c r="D38" s="1" t="n"/>
      <c r="E38" s="1" t="n"/>
      <c r="F38" s="1" t="n"/>
      <c r="G38" s="1" t="n"/>
    </row>
  </sheetData>
  <conditionalFormatting sqref="C9 C21">
    <cfRule type="cellIs" priority="1" operator="lessThan" dxfId="0" stopIfTrue="1">
      <formula>0</formula>
    </cfRule>
  </conditionalFormatting>
  <pageMargins left="0.708661" right="0.708661" top="0.748031" bottom="0.748031" header="0.314961" footer="0.314961"/>
  <pageSetup orientation="portrait" scale="36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K268"/>
  <sheetViews>
    <sheetView showGridLines="0" topLeftCell="B12" zoomScale="85" zoomScaleNormal="85" workbookViewId="0">
      <selection activeCell="X38" sqref="X38"/>
    </sheetView>
  </sheetViews>
  <sheetFormatPr baseColWidth="8" defaultColWidth="11.42578125" defaultRowHeight="12" customHeight="1"/>
  <cols>
    <col width="30.140625" customWidth="1" style="90" min="1" max="1"/>
    <col width="5.28515625" bestFit="1" customWidth="1" style="764" min="2" max="2"/>
    <col width="10.85546875" customWidth="1" style="90" min="3" max="3"/>
    <col width="8.85546875" customWidth="1" style="90" min="4" max="4"/>
    <col width="9.85546875" customWidth="1" style="90" min="5" max="5"/>
    <col width="8.85546875" customWidth="1" style="90" min="6" max="6"/>
    <col width="9.85546875" customWidth="1" style="90" min="7" max="7"/>
    <col width="8" customWidth="1" style="90" min="8" max="8"/>
    <col width="9.85546875" customWidth="1" style="90" min="9" max="9"/>
    <col width="7.140625" customWidth="1" style="90" min="10" max="10"/>
    <col width="10.85546875" customWidth="1" style="90" min="11" max="11"/>
    <col width="7.42578125" customWidth="1" style="90" min="12" max="12"/>
    <col width="9.85546875" customWidth="1" style="90" min="13" max="13"/>
    <col width="8.140625" customWidth="1" style="90" min="14" max="14"/>
    <col width="11.42578125" customWidth="1" style="90" min="15" max="15"/>
    <col width="9.140625" customWidth="1" style="90" min="16" max="16"/>
    <col width="11.42578125" customWidth="1" style="90" min="17" max="17"/>
    <col width="8.85546875" customWidth="1" style="90" min="18" max="18"/>
    <col width="11.42578125" customWidth="1" style="90" min="19" max="19"/>
    <col width="8.85546875" customWidth="1" style="90" min="20" max="20"/>
    <col width="11.42578125" customWidth="1" style="90" min="21" max="21"/>
    <col width="8.140625" customWidth="1" style="90" min="22" max="23"/>
    <col width="7.7109375" customWidth="1" style="90" min="24" max="24"/>
    <col width="11.42578125" customWidth="1" style="90" min="25" max="25"/>
    <col width="10.28515625" customWidth="1" style="90" min="26" max="26"/>
    <col width="9" customWidth="1" style="90" min="27" max="27"/>
    <col width="8.85546875" customWidth="1" style="90" min="28" max="28"/>
    <col width="7.42578125" customWidth="1" style="90" min="29" max="29"/>
    <col width="6.85546875" customWidth="1" style="90" min="30" max="30"/>
    <col width="8" customWidth="1" style="90" min="31" max="31"/>
    <col width="7.42578125" customWidth="1" style="90" min="32" max="32"/>
    <col width="11" customWidth="1" style="90" min="33" max="33"/>
    <col width="14.140625" customWidth="1" style="90" min="34" max="34"/>
    <col width="11.42578125" customWidth="1" style="90" min="35" max="260"/>
    <col width="11.42578125" customWidth="1" style="90" min="261" max="16384"/>
  </cols>
  <sheetData>
    <row r="1" ht="15" customHeight="1" s="2" thickBot="1">
      <c r="A1" s="938">
        <f>'Wage Percentage'!C2</f>
        <v/>
      </c>
      <c r="B1" s="736" t="n"/>
      <c r="C1" s="737" t="n"/>
      <c r="D1" s="738" t="inlineStr">
        <is>
          <t>THE ROCKS</t>
        </is>
      </c>
      <c r="E1" s="739" t="n"/>
      <c r="F1" s="689" t="n"/>
      <c r="G1" s="689" t="n"/>
      <c r="H1" s="689" t="n"/>
      <c r="I1" s="689" t="n"/>
      <c r="J1" s="689" t="n"/>
      <c r="K1" s="689" t="n"/>
      <c r="L1" s="740" t="n"/>
      <c r="M1" s="689" t="n"/>
      <c r="N1" s="689" t="n"/>
      <c r="O1" s="689" t="n"/>
      <c r="P1" s="689" t="n"/>
      <c r="Q1" s="741" t="n"/>
      <c r="R1" s="742" t="n"/>
      <c r="S1" s="743" t="n"/>
      <c r="T1" s="742" t="n"/>
      <c r="U1" s="743" t="n"/>
      <c r="V1" s="689" t="n"/>
      <c r="W1" s="689" t="n"/>
      <c r="X1" s="689" t="n"/>
      <c r="Y1" s="689" t="n"/>
      <c r="Z1" s="744" t="n"/>
      <c r="AA1" s="744" t="n"/>
      <c r="AB1" s="1495" t="n"/>
      <c r="AC1" s="746" t="inlineStr">
        <is>
          <t xml:space="preserve"> </t>
        </is>
      </c>
      <c r="AD1" s="744" t="n"/>
      <c r="AE1" s="744" t="n"/>
      <c r="AF1" s="744" t="n"/>
      <c r="AG1" s="744" t="n"/>
      <c r="AH1" s="735" t="n"/>
      <c r="AI1" s="747" t="n"/>
      <c r="AJ1" s="747" t="n"/>
      <c r="AK1" s="747" t="n"/>
      <c r="AL1" s="747" t="n"/>
      <c r="AM1" s="747" t="n"/>
      <c r="AN1" s="747" t="n"/>
      <c r="AO1" s="747" t="n"/>
      <c r="AP1" s="747" t="n"/>
      <c r="AQ1" s="747" t="n"/>
      <c r="AR1" s="747" t="n"/>
      <c r="AS1" s="747" t="n"/>
      <c r="AT1" s="747" t="n"/>
      <c r="AU1" s="747" t="n"/>
      <c r="AV1" s="747" t="n"/>
      <c r="AW1" s="747" t="n"/>
      <c r="AX1" s="747" t="n"/>
      <c r="AY1" s="747" t="n"/>
      <c r="AZ1" s="747" t="n"/>
      <c r="BA1" s="747" t="n"/>
      <c r="BB1" s="747" t="n"/>
      <c r="BC1" s="747" t="n"/>
      <c r="BD1" s="747" t="n"/>
      <c r="BE1" s="747" t="n"/>
      <c r="BF1" s="747" t="n"/>
      <c r="BG1" s="747" t="n"/>
      <c r="BH1" s="747" t="n"/>
      <c r="BI1" s="748" t="n"/>
    </row>
    <row r="2" ht="13.5" customHeight="1" s="2" thickBot="1">
      <c r="A2" s="1496" t="n"/>
      <c r="B2" s="1497" t="n"/>
      <c r="C2" s="1498" t="n"/>
      <c r="D2" s="749" t="n"/>
      <c r="E2" s="729" t="n"/>
      <c r="F2" s="731" t="n"/>
      <c r="G2" s="731" t="n"/>
      <c r="H2" s="731" t="n"/>
      <c r="I2" s="731" t="n"/>
      <c r="J2" s="1499" t="inlineStr">
        <is>
          <t>HOURLY COSTING</t>
        </is>
      </c>
      <c r="K2" s="1500" t="n"/>
      <c r="L2" s="731" t="n"/>
      <c r="M2" s="690" t="n"/>
      <c r="N2" s="690" t="n"/>
      <c r="O2" s="690" t="n"/>
      <c r="P2" s="731" t="n"/>
      <c r="Q2" s="750" t="n"/>
      <c r="R2" s="751" t="n"/>
      <c r="S2" s="752" t="n"/>
      <c r="T2" s="751" t="n"/>
      <c r="U2" s="752" t="n"/>
      <c r="V2" s="729" t="n"/>
      <c r="W2" s="729" t="n"/>
      <c r="X2" s="702" t="n"/>
      <c r="Y2" s="750" t="n"/>
      <c r="Z2" s="1501" t="inlineStr">
        <is>
          <t>Allowances</t>
        </is>
      </c>
      <c r="AA2" s="1502" t="n"/>
      <c r="AB2" s="1503" t="n"/>
      <c r="AC2" s="1504" t="n">
        <v>2.95</v>
      </c>
      <c r="AD2" s="1505" t="n"/>
      <c r="AE2" s="1504" t="n">
        <v>4.42</v>
      </c>
      <c r="AF2" s="1504" t="n">
        <v>11.2</v>
      </c>
      <c r="AG2" s="775" t="n"/>
      <c r="AH2" s="772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8" t="n"/>
      <c r="AR2" s="108" t="n"/>
      <c r="AS2" s="108" t="n"/>
      <c r="AT2" s="108" t="n"/>
      <c r="AU2" s="108" t="n"/>
      <c r="AV2" s="108" t="n"/>
      <c r="AW2" s="108" t="n"/>
      <c r="AX2" s="108" t="n"/>
      <c r="AY2" s="108" t="n"/>
      <c r="AZ2" s="108" t="n"/>
      <c r="BA2" s="108" t="n"/>
      <c r="BB2" s="108" t="n"/>
      <c r="BC2" s="108" t="n"/>
      <c r="BD2" s="108" t="n"/>
      <c r="BE2" s="108" t="n"/>
      <c r="BF2" s="108" t="n"/>
      <c r="BG2" s="108" t="n"/>
      <c r="BH2" s="108" t="n"/>
      <c r="BI2" s="109" t="n"/>
    </row>
    <row r="3" ht="13.5" customHeight="1" s="2" thickBot="1">
      <c r="A3" s="577" t="inlineStr">
        <is>
          <t>EMPLOYEE</t>
        </is>
      </c>
      <c r="B3" s="578" t="n"/>
      <c r="C3" s="579" t="inlineStr">
        <is>
          <t>RATE</t>
        </is>
      </c>
      <c r="D3" s="580" t="n">
        <v>1</v>
      </c>
      <c r="E3" s="581" t="inlineStr">
        <is>
          <t>$</t>
        </is>
      </c>
      <c r="F3" s="582" t="n">
        <v>1.25</v>
      </c>
      <c r="G3" s="581" t="inlineStr">
        <is>
          <t>$</t>
        </is>
      </c>
      <c r="H3" s="582" t="n">
        <v>1.5</v>
      </c>
      <c r="I3" s="581" t="inlineStr">
        <is>
          <t>$</t>
        </is>
      </c>
      <c r="J3" s="583" t="n">
        <v>1.5</v>
      </c>
      <c r="K3" s="581" t="inlineStr">
        <is>
          <t>$</t>
        </is>
      </c>
      <c r="L3" s="583" t="n">
        <v>1.75</v>
      </c>
      <c r="M3" s="581" t="inlineStr">
        <is>
          <t>$</t>
        </is>
      </c>
      <c r="N3" s="583" t="n">
        <v>2</v>
      </c>
      <c r="O3" s="581" t="inlineStr">
        <is>
          <t>$</t>
        </is>
      </c>
      <c r="P3" s="583" t="n">
        <v>2</v>
      </c>
      <c r="Q3" s="581" t="inlineStr">
        <is>
          <t>$</t>
        </is>
      </c>
      <c r="R3" s="581" t="inlineStr">
        <is>
          <t xml:space="preserve">2.25 </t>
        </is>
      </c>
      <c r="S3" s="581" t="inlineStr">
        <is>
          <t>$</t>
        </is>
      </c>
      <c r="T3" s="581" t="inlineStr">
        <is>
          <t>2.5</t>
        </is>
      </c>
      <c r="U3" s="581" t="inlineStr">
        <is>
          <t>$</t>
        </is>
      </c>
      <c r="V3" s="581" t="inlineStr">
        <is>
          <t>Sick</t>
        </is>
      </c>
      <c r="W3" s="581" t="inlineStr">
        <is>
          <t>$</t>
        </is>
      </c>
      <c r="X3" s="581" t="inlineStr">
        <is>
          <t>Holiday</t>
        </is>
      </c>
      <c r="Y3" s="584" t="inlineStr">
        <is>
          <t>$</t>
        </is>
      </c>
      <c r="Z3" s="585" t="inlineStr">
        <is>
          <t>Laundry</t>
        </is>
      </c>
      <c r="AA3" s="584" t="inlineStr">
        <is>
          <t>Superv.</t>
        </is>
      </c>
      <c r="AB3" s="585" t="inlineStr">
        <is>
          <t>Penalty</t>
        </is>
      </c>
      <c r="AC3" s="581" t="inlineStr">
        <is>
          <t>$</t>
        </is>
      </c>
      <c r="AD3" s="582" t="n"/>
      <c r="AE3" s="581" t="inlineStr">
        <is>
          <t>$</t>
        </is>
      </c>
      <c r="AF3" s="581" t="inlineStr">
        <is>
          <t>Split</t>
        </is>
      </c>
      <c r="AG3" s="586" t="inlineStr">
        <is>
          <t>TOTAL</t>
        </is>
      </c>
      <c r="AH3" s="773" t="inlineStr">
        <is>
          <t xml:space="preserve">TOTAL </t>
        </is>
      </c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  <c r="AV3" s="108" t="n"/>
      <c r="AW3" s="108" t="n"/>
      <c r="AX3" s="108" t="n"/>
      <c r="AY3" s="108" t="n"/>
      <c r="AZ3" s="108" t="n"/>
      <c r="BA3" s="108" t="n"/>
      <c r="BB3" s="108" t="n"/>
      <c r="BC3" s="108" t="n"/>
      <c r="BD3" s="108" t="n"/>
      <c r="BE3" s="108" t="n"/>
      <c r="BF3" s="108" t="n"/>
      <c r="BG3" s="108" t="n"/>
      <c r="BH3" s="108" t="n"/>
      <c r="BI3" s="109" t="n"/>
    </row>
    <row r="4" ht="12.75" customHeight="1" s="2">
      <c r="A4" s="131" t="n"/>
      <c r="B4" s="587" t="n"/>
      <c r="C4" s="1506" t="n"/>
      <c r="D4" s="776" t="inlineStr">
        <is>
          <t>ORD</t>
        </is>
      </c>
      <c r="E4" s="777" t="n"/>
      <c r="F4" s="1507" t="inlineStr">
        <is>
          <t>SAT</t>
        </is>
      </c>
      <c r="G4" s="779" t="n"/>
      <c r="H4" s="790" t="inlineStr">
        <is>
          <t xml:space="preserve">SUN </t>
        </is>
      </c>
      <c r="I4" s="1508" t="n"/>
      <c r="J4" s="782" t="inlineStr">
        <is>
          <t>O/T</t>
        </is>
      </c>
      <c r="K4" s="1509" t="n"/>
      <c r="L4" s="777" t="inlineStr">
        <is>
          <t>O/T</t>
        </is>
      </c>
      <c r="M4" s="1509" t="n"/>
      <c r="N4" s="784" t="inlineStr">
        <is>
          <t>sat2-7am</t>
        </is>
      </c>
      <c r="O4" s="1509" t="n"/>
      <c r="P4" s="785" t="inlineStr">
        <is>
          <t>O/T</t>
        </is>
      </c>
      <c r="Q4" s="1509" t="n"/>
      <c r="R4" s="785" t="inlineStr">
        <is>
          <t>(PH)</t>
        </is>
      </c>
      <c r="S4" s="1509" t="n"/>
      <c r="T4" s="785" t="inlineStr">
        <is>
          <t>(PH)</t>
        </is>
      </c>
      <c r="U4" s="1509" t="n"/>
      <c r="V4" s="785" t="n"/>
      <c r="W4" s="1509" t="n"/>
      <c r="X4" s="786" t="n"/>
      <c r="Y4" s="1510" t="n"/>
      <c r="Z4" s="1511" t="n"/>
      <c r="AA4" s="1510" t="n"/>
      <c r="AB4" s="789" t="n"/>
      <c r="AC4" s="1509" t="n"/>
      <c r="AD4" s="790" t="n"/>
      <c r="AE4" s="1509" t="n"/>
      <c r="AF4" s="1509" t="n"/>
      <c r="AG4" s="791" t="n"/>
      <c r="AH4" s="1512" t="n"/>
      <c r="AI4" s="1513" t="n"/>
      <c r="AJ4" s="91" t="n"/>
      <c r="AK4" s="91" t="n"/>
      <c r="AL4" s="91" t="n"/>
      <c r="AM4" s="91" t="n"/>
      <c r="AN4" s="91" t="n"/>
      <c r="AO4" s="91" t="n"/>
      <c r="AP4" s="91" t="n"/>
      <c r="AQ4" s="91" t="n"/>
      <c r="AR4" s="91" t="n"/>
      <c r="AS4" s="91" t="n"/>
      <c r="AT4" s="91" t="n"/>
      <c r="AU4" s="91" t="n"/>
      <c r="AV4" s="91" t="n"/>
      <c r="AW4" s="91" t="n"/>
      <c r="AX4" s="91" t="n"/>
      <c r="AY4" s="91" t="n"/>
      <c r="AZ4" s="91" t="n"/>
      <c r="BA4" s="91" t="n"/>
      <c r="BB4" s="91" t="n"/>
      <c r="BC4" s="91" t="n"/>
      <c r="BD4" s="91" t="n"/>
      <c r="BE4" s="91" t="n"/>
      <c r="BF4" s="91" t="n"/>
      <c r="BG4" s="91" t="n"/>
      <c r="BH4" s="91" t="n"/>
      <c r="BI4" s="590" t="n"/>
    </row>
    <row r="5" ht="12.75" customHeight="1" s="2">
      <c r="A5" s="131" t="n"/>
      <c r="B5" s="587" t="n"/>
      <c r="C5" s="1506" t="n"/>
      <c r="D5" s="966" t="n"/>
      <c r="E5" s="967" t="n"/>
      <c r="F5" s="1514" t="inlineStr">
        <is>
          <t>ORD CAS</t>
        </is>
      </c>
      <c r="G5" s="969" t="n"/>
      <c r="H5" s="970" t="inlineStr">
        <is>
          <t>SAT CAS</t>
        </is>
      </c>
      <c r="I5" s="1515" t="n"/>
      <c r="J5" s="972" t="n"/>
      <c r="K5" s="1516" t="n"/>
      <c r="L5" s="967" t="inlineStr">
        <is>
          <t>SUN CAS</t>
        </is>
      </c>
      <c r="M5" s="1516" t="n"/>
      <c r="N5" s="974" t="n"/>
      <c r="O5" s="1516" t="n"/>
      <c r="P5" s="703" t="n"/>
      <c r="Q5" s="1516" t="n"/>
      <c r="R5" s="703" t="n"/>
      <c r="S5" s="1516" t="n"/>
      <c r="T5" s="703" t="inlineStr">
        <is>
          <t>CAS</t>
        </is>
      </c>
      <c r="U5" s="1516" t="n"/>
      <c r="V5" s="703" t="n"/>
      <c r="W5" s="1516" t="n"/>
      <c r="X5" s="703" t="n"/>
      <c r="Y5" s="1517" t="n"/>
      <c r="Z5" s="1518" t="n"/>
      <c r="AA5" s="1517" t="n"/>
      <c r="AB5" s="977" t="n"/>
      <c r="AC5" s="1516" t="n"/>
      <c r="AD5" s="1021" t="n"/>
      <c r="AE5" s="1516" t="n"/>
      <c r="AF5" s="1516" t="n"/>
      <c r="AG5" s="979" t="n"/>
      <c r="AH5" s="1519" t="n"/>
      <c r="AI5" s="1513" t="n"/>
      <c r="AJ5" s="91" t="n"/>
      <c r="AK5" s="91" t="n"/>
      <c r="AL5" s="91" t="n"/>
      <c r="AM5" s="91" t="n"/>
      <c r="AN5" s="91" t="n"/>
      <c r="AO5" s="91" t="n"/>
      <c r="AP5" s="91" t="n"/>
      <c r="AQ5" s="91" t="n"/>
      <c r="AR5" s="91" t="n"/>
      <c r="AS5" s="91" t="n"/>
      <c r="AT5" s="91" t="n"/>
      <c r="AU5" s="91" t="n"/>
      <c r="AV5" s="91" t="n"/>
      <c r="AW5" s="91" t="n"/>
      <c r="AX5" s="91" t="n"/>
      <c r="AY5" s="91" t="n"/>
      <c r="AZ5" s="91" t="n"/>
      <c r="BA5" s="91" t="n"/>
      <c r="BB5" s="91" t="n"/>
      <c r="BC5" s="91" t="n"/>
      <c r="BD5" s="91" t="n"/>
      <c r="BE5" s="91" t="n"/>
      <c r="BF5" s="91" t="n"/>
      <c r="BG5" s="91" t="n"/>
      <c r="BH5" s="91" t="n"/>
      <c r="BI5" s="590" t="n"/>
    </row>
    <row r="6" ht="13.5" customHeight="1" s="2" thickBot="1">
      <c r="A6" s="132" t="inlineStr">
        <is>
          <t>AKTER, Nasrin</t>
        </is>
      </c>
      <c r="B6" s="588" t="n">
        <v>2</v>
      </c>
      <c r="C6" s="1520" t="n">
        <v>27.08</v>
      </c>
      <c r="D6" s="1022" t="n">
        <v>7.5</v>
      </c>
      <c r="E6" s="1521">
        <f>C6*D6</f>
        <v/>
      </c>
      <c r="F6" s="704" t="n">
        <v>10</v>
      </c>
      <c r="G6" s="1521">
        <f>C6*1.25*F6</f>
        <v/>
      </c>
      <c r="H6" s="704" t="n">
        <v>5</v>
      </c>
      <c r="I6" s="1521">
        <f>C6*1.5*H6</f>
        <v/>
      </c>
      <c r="J6" s="704" t="n"/>
      <c r="K6" s="1521">
        <f>C6*1.5*J6</f>
        <v/>
      </c>
      <c r="L6" s="704" t="n"/>
      <c r="M6" s="1521">
        <f>C6*1.75*L6</f>
        <v/>
      </c>
      <c r="N6" s="985" t="n"/>
      <c r="O6" s="1521">
        <f>C6*2*N6</f>
        <v/>
      </c>
      <c r="P6" s="704" t="n"/>
      <c r="Q6" s="1521">
        <f>C6*2*P6</f>
        <v/>
      </c>
      <c r="R6" s="704" t="n"/>
      <c r="S6" s="1521">
        <f>C6*2.25*R6</f>
        <v/>
      </c>
      <c r="T6" s="765" t="n"/>
      <c r="U6" s="1522" t="n"/>
      <c r="V6" s="704" t="n"/>
      <c r="W6" s="1521">
        <f>C6*V6</f>
        <v/>
      </c>
      <c r="X6" s="704" t="n"/>
      <c r="Y6" s="1523">
        <f>C6*X6</f>
        <v/>
      </c>
      <c r="Z6" s="1524" t="n">
        <v>6.9</v>
      </c>
      <c r="AA6" s="1523" t="n"/>
      <c r="AB6" s="989" t="n"/>
      <c r="AC6" s="1521">
        <f>AB6*2.95</f>
        <v/>
      </c>
      <c r="AD6" s="993" t="n"/>
      <c r="AE6" s="1521">
        <f>AD6*4.42</f>
        <v/>
      </c>
      <c r="AF6" s="1521">
        <f>11.2*2</f>
        <v/>
      </c>
      <c r="AG6" s="991">
        <f>D6+F6+H6+J6+L6+P6+R6+V6+X6+N6</f>
        <v/>
      </c>
      <c r="AH6" s="1525">
        <f>E6+G6+I6+K6+M6+Q6+S6+Z6+AA6+W6+Y6+AC6+AE6+AF6+O6+U6</f>
        <v/>
      </c>
      <c r="AI6" s="108" t="n"/>
      <c r="AJ6" s="108" t="n"/>
      <c r="AK6" s="108" t="n"/>
      <c r="AL6" s="108" t="n"/>
      <c r="AM6" s="108" t="n"/>
      <c r="AN6" s="108" t="n"/>
      <c r="AO6" s="108" t="n"/>
      <c r="AP6" s="108" t="n"/>
      <c r="AQ6" s="108" t="n"/>
      <c r="AR6" s="108" t="n"/>
      <c r="AS6" s="108" t="n"/>
      <c r="AT6" s="108" t="n"/>
      <c r="AU6" s="108" t="n"/>
      <c r="AV6" s="108" t="n"/>
      <c r="AW6" s="108" t="n"/>
      <c r="AX6" s="108" t="n"/>
      <c r="AY6" s="108" t="n"/>
      <c r="AZ6" s="108" t="n"/>
      <c r="BA6" s="108" t="n"/>
      <c r="BB6" s="108" t="n"/>
      <c r="BC6" s="108" t="n"/>
      <c r="BD6" s="108" t="n"/>
      <c r="BE6" s="108" t="n"/>
      <c r="BF6" s="108" t="n"/>
      <c r="BG6" s="108" t="n"/>
      <c r="BH6" s="108" t="n"/>
      <c r="BI6" s="109" t="n"/>
    </row>
    <row r="7" ht="13.5" customHeight="1" s="2" thickBot="1">
      <c r="A7" s="1464" t="inlineStr">
        <is>
          <t>BANTHIA, Jiya</t>
        </is>
      </c>
      <c r="B7" s="588" t="n">
        <v>2</v>
      </c>
      <c r="C7" s="1520" t="n">
        <v>27.08</v>
      </c>
      <c r="D7" s="1022" t="n">
        <v>10</v>
      </c>
      <c r="E7" s="1526">
        <f>C7*D7</f>
        <v/>
      </c>
      <c r="F7" s="704" t="n">
        <v>7.5</v>
      </c>
      <c r="G7" s="1521">
        <f>C7*1.25*F7</f>
        <v/>
      </c>
      <c r="H7" s="704" t="n">
        <v>8.75</v>
      </c>
      <c r="I7" s="1521">
        <f>C7*1.5*H7</f>
        <v/>
      </c>
      <c r="J7" s="704" t="n"/>
      <c r="K7" s="1521">
        <f>C7*1.5*J7</f>
        <v/>
      </c>
      <c r="L7" s="704" t="n"/>
      <c r="M7" s="1521">
        <f>C7*1.75*L7</f>
        <v/>
      </c>
      <c r="N7" s="985" t="n"/>
      <c r="O7" s="1521">
        <f>C7*2*N7</f>
        <v/>
      </c>
      <c r="P7" s="704" t="n"/>
      <c r="Q7" s="1521">
        <f>C7*2*P7</f>
        <v/>
      </c>
      <c r="R7" s="704" t="n"/>
      <c r="S7" s="1521">
        <f>C7*2.25*R7</f>
        <v/>
      </c>
      <c r="T7" s="765" t="n"/>
      <c r="U7" s="1522">
        <f>C7*2.5*T7</f>
        <v/>
      </c>
      <c r="V7" s="704" t="n"/>
      <c r="W7" s="1527">
        <f>C7*V7</f>
        <v/>
      </c>
      <c r="X7" s="704" t="n"/>
      <c r="Y7" s="1528">
        <f>C7*X7</f>
        <v/>
      </c>
      <c r="Z7" s="1524" t="n">
        <v>6.9</v>
      </c>
      <c r="AA7" s="1523" t="n"/>
      <c r="AB7" s="989" t="n">
        <v>2</v>
      </c>
      <c r="AC7" s="1521">
        <f>AB7*2.95</f>
        <v/>
      </c>
      <c r="AD7" s="993" t="n"/>
      <c r="AE7" s="1521">
        <f>AD7*4.42</f>
        <v/>
      </c>
      <c r="AF7" s="1521" t="n">
        <v>11.2</v>
      </c>
      <c r="AG7" s="991">
        <f>D7+F7+H7+J7+L7+P7+R7+V7+X7+N7+T7</f>
        <v/>
      </c>
      <c r="AH7" s="1525">
        <f>E7+G7+I7+K7+M7+Q7+S7+Z7+AA7+W7+Y7+AC7+AE7+AF7+O7</f>
        <v/>
      </c>
      <c r="AI7" s="91" t="n"/>
      <c r="AJ7" s="91" t="n"/>
      <c r="AK7" s="91" t="n"/>
      <c r="AL7" s="91" t="n"/>
      <c r="AM7" s="91" t="n"/>
      <c r="AN7" s="91" t="n"/>
      <c r="AO7" s="91" t="n"/>
      <c r="AP7" s="91" t="n"/>
      <c r="AQ7" s="91" t="n"/>
      <c r="AR7" s="91" t="n"/>
      <c r="AS7" s="91" t="n"/>
      <c r="AT7" s="91" t="n"/>
      <c r="AU7" s="91" t="n"/>
      <c r="AV7" s="91" t="n"/>
      <c r="AW7" s="91" t="n"/>
      <c r="AX7" s="91" t="n"/>
      <c r="AY7" s="91" t="n"/>
      <c r="AZ7" s="91" t="n"/>
      <c r="BA7" s="91" t="n"/>
      <c r="BB7" s="91" t="n"/>
      <c r="BC7" s="91" t="n"/>
      <c r="BD7" s="91" t="n"/>
      <c r="BE7" s="91" t="n"/>
      <c r="BF7" s="91" t="n"/>
      <c r="BG7" s="91" t="n"/>
      <c r="BH7" s="91" t="n"/>
      <c r="BI7" s="590" t="n"/>
    </row>
    <row r="8" ht="12.75" customHeight="1" s="2">
      <c r="A8" s="1405" t="inlineStr">
        <is>
          <t>BHATTARAI, Abisekh</t>
        </is>
      </c>
      <c r="B8" s="588" t="n">
        <v>2</v>
      </c>
      <c r="C8" s="1520" t="n">
        <v>27.08</v>
      </c>
      <c r="D8" s="1022" t="n">
        <v>12.5</v>
      </c>
      <c r="E8" s="1526">
        <f>C8*D8</f>
        <v/>
      </c>
      <c r="F8" s="704" t="n">
        <v>7.25</v>
      </c>
      <c r="G8" s="1521">
        <f>C8*1.25*F8</f>
        <v/>
      </c>
      <c r="H8" s="704" t="n">
        <v>0.25</v>
      </c>
      <c r="I8" s="1521">
        <f>C8*1.5*H8</f>
        <v/>
      </c>
      <c r="J8" s="704" t="n"/>
      <c r="K8" s="1521">
        <f>C8*1.5*J8</f>
        <v/>
      </c>
      <c r="L8" s="704" t="n"/>
      <c r="M8" s="1521">
        <f>C8*1.75*L8</f>
        <v/>
      </c>
      <c r="N8" s="985" t="n"/>
      <c r="O8" s="1521">
        <f>C8*2*N8</f>
        <v/>
      </c>
      <c r="P8" s="704" t="n"/>
      <c r="Q8" s="1521">
        <f>C8*2*P8</f>
        <v/>
      </c>
      <c r="R8" s="704" t="n"/>
      <c r="S8" s="1521">
        <f>C8*2.25*R8</f>
        <v/>
      </c>
      <c r="T8" s="765" t="n"/>
      <c r="U8" s="1522">
        <f>C8*2.5*T8</f>
        <v/>
      </c>
      <c r="V8" s="704" t="n">
        <v>5</v>
      </c>
      <c r="W8" s="1527">
        <f>C8*V8</f>
        <v/>
      </c>
      <c r="X8" s="704" t="n"/>
      <c r="Y8" s="1528">
        <f>C8*X8</f>
        <v/>
      </c>
      <c r="Z8" s="1524" t="n">
        <v>6.9</v>
      </c>
      <c r="AA8" s="1523" t="n"/>
      <c r="AB8" s="989" t="n">
        <v>2</v>
      </c>
      <c r="AC8" s="1521">
        <f>AB8*2.95</f>
        <v/>
      </c>
      <c r="AD8" s="993" t="n">
        <v>1</v>
      </c>
      <c r="AE8" s="1521">
        <f>AD8*4.42</f>
        <v/>
      </c>
      <c r="AF8" s="1521" t="n"/>
      <c r="AG8" s="1035">
        <f>D8+F8+H8+J8+L8+P8+R8+V8+X8+N8+T8</f>
        <v/>
      </c>
      <c r="AH8" s="1525">
        <f>E8+G8+I8+K8+M8+Q8+S8+Z8+AA8+W8+Y8+AC8+AE8+AF8+O8</f>
        <v/>
      </c>
      <c r="AI8" s="91" t="n"/>
      <c r="AJ8" s="91" t="n"/>
      <c r="AK8" s="91" t="n"/>
      <c r="AL8" s="91" t="n"/>
      <c r="AM8" s="91" t="n"/>
      <c r="AN8" s="91" t="n"/>
      <c r="AO8" s="91" t="n"/>
      <c r="AP8" s="91" t="n"/>
      <c r="AQ8" s="91" t="n"/>
      <c r="AR8" s="91" t="n"/>
      <c r="AS8" s="91" t="n"/>
      <c r="AT8" s="91" t="n"/>
      <c r="AU8" s="91" t="n"/>
      <c r="AV8" s="91" t="n"/>
      <c r="AW8" s="91" t="n"/>
      <c r="AX8" s="91" t="n"/>
      <c r="AY8" s="91" t="n"/>
      <c r="AZ8" s="91" t="n"/>
      <c r="BA8" s="91" t="n"/>
      <c r="BB8" s="91" t="n"/>
      <c r="BC8" s="91" t="n"/>
      <c r="BD8" s="91" t="n"/>
      <c r="BE8" s="91" t="n"/>
      <c r="BF8" s="91" t="n"/>
      <c r="BG8" s="91" t="n"/>
      <c r="BH8" s="91" t="n"/>
      <c r="BI8" s="590" t="n"/>
    </row>
    <row r="9" ht="12.75" customHeight="1" s="2">
      <c r="A9" s="132" t="inlineStr">
        <is>
          <t>B.K, Sanjay</t>
        </is>
      </c>
      <c r="B9" s="588" t="n">
        <v>2</v>
      </c>
      <c r="C9" s="1520" t="n">
        <v>27.08</v>
      </c>
      <c r="D9" s="981" t="n">
        <v>17.5</v>
      </c>
      <c r="E9" s="1521">
        <f>C9*D9</f>
        <v/>
      </c>
      <c r="F9" s="983" t="n">
        <v>9.5</v>
      </c>
      <c r="G9" s="1521">
        <f>C9*1.25*F9</f>
        <v/>
      </c>
      <c r="H9" s="704" t="n">
        <v>9.5</v>
      </c>
      <c r="I9" s="1521">
        <f>C9*1.5*H9</f>
        <v/>
      </c>
      <c r="J9" s="704" t="n"/>
      <c r="K9" s="1521">
        <f>C9*1.5*J9</f>
        <v/>
      </c>
      <c r="L9" s="704" t="n"/>
      <c r="M9" s="1521">
        <f>C9*1.75*L9</f>
        <v/>
      </c>
      <c r="N9" s="985" t="n"/>
      <c r="O9" s="1521">
        <f>C9*2*N9</f>
        <v/>
      </c>
      <c r="P9" s="704" t="n"/>
      <c r="Q9" s="1521">
        <f>C9*2*P9</f>
        <v/>
      </c>
      <c r="R9" s="704" t="n"/>
      <c r="S9" s="1521">
        <f>C9*2.25*R9</f>
        <v/>
      </c>
      <c r="T9" s="960" t="n"/>
      <c r="U9" s="1529" t="n"/>
      <c r="V9" s="704" t="n"/>
      <c r="W9" s="1521">
        <f>C9*V9</f>
        <v/>
      </c>
      <c r="X9" s="704" t="n"/>
      <c r="Y9" s="1523">
        <f>C9*X9</f>
        <v/>
      </c>
      <c r="Z9" s="1524" t="n">
        <v>6.9</v>
      </c>
      <c r="AA9" s="1523" t="n"/>
      <c r="AB9" s="989" t="n">
        <v>4</v>
      </c>
      <c r="AC9" s="1521">
        <f>AB9*2.95</f>
        <v/>
      </c>
      <c r="AD9" s="993" t="n">
        <v>1</v>
      </c>
      <c r="AE9" s="1521">
        <f>AD9*4.42</f>
        <v/>
      </c>
      <c r="AF9" s="1521" t="n"/>
      <c r="AG9" s="991">
        <f>D9+F9+H9+J9+L9+P9+R9+V9+X9+N9</f>
        <v/>
      </c>
      <c r="AH9" s="1525">
        <f>E9+G9+I9+K9+M9+Q9+S9+Z9+AA9+W9+Y9+AC9+AE9+AF9+O9</f>
        <v/>
      </c>
      <c r="AI9" s="91" t="n"/>
      <c r="AJ9" s="91" t="n"/>
      <c r="AK9" s="91" t="n"/>
      <c r="AL9" s="91" t="n"/>
      <c r="AM9" s="91" t="n"/>
      <c r="AN9" s="91" t="n"/>
      <c r="AO9" s="91" t="n"/>
      <c r="AP9" s="91" t="n"/>
      <c r="AQ9" s="91" t="n"/>
      <c r="AR9" s="91" t="n"/>
      <c r="AS9" s="91" t="n"/>
      <c r="AT9" s="91" t="n"/>
      <c r="AU9" s="91" t="n"/>
      <c r="AV9" s="91" t="n"/>
      <c r="AW9" s="91" t="n"/>
      <c r="AX9" s="91" t="n"/>
      <c r="AY9" s="91" t="n"/>
      <c r="AZ9" s="91" t="n"/>
      <c r="BA9" s="91" t="n"/>
      <c r="BB9" s="91" t="n"/>
      <c r="BC9" s="91" t="n"/>
      <c r="BD9" s="91" t="n"/>
      <c r="BE9" s="91" t="n"/>
      <c r="BF9" s="91" t="n"/>
      <c r="BG9" s="91" t="n"/>
      <c r="BH9" s="91" t="n"/>
      <c r="BI9" s="590" t="n"/>
    </row>
    <row r="10" ht="12.75" customHeight="1" s="2">
      <c r="A10" s="132" t="inlineStr">
        <is>
          <t>BOSC, Melissa</t>
        </is>
      </c>
      <c r="B10" s="588" t="n">
        <v>2</v>
      </c>
      <c r="C10" s="1520" t="n">
        <v>27.08</v>
      </c>
      <c r="D10" s="1022" t="n"/>
      <c r="E10" s="1521">
        <f>C10*D10</f>
        <v/>
      </c>
      <c r="F10" s="704" t="n"/>
      <c r="G10" s="1521">
        <f>C10*1.25*F10</f>
        <v/>
      </c>
      <c r="H10" s="704" t="n"/>
      <c r="I10" s="1521">
        <f>C10*1.5*H10</f>
        <v/>
      </c>
      <c r="J10" s="704" t="n"/>
      <c r="K10" s="1521">
        <f>C10*1.5*J10</f>
        <v/>
      </c>
      <c r="L10" s="704" t="n"/>
      <c r="M10" s="1521">
        <f>C10*1.75*L10</f>
        <v/>
      </c>
      <c r="N10" s="985" t="n"/>
      <c r="O10" s="1521">
        <f>C10*2*N10</f>
        <v/>
      </c>
      <c r="P10" s="704" t="n"/>
      <c r="Q10" s="1521">
        <f>C10*2*P10</f>
        <v/>
      </c>
      <c r="R10" s="704" t="n"/>
      <c r="S10" s="1521">
        <f>C10*2.25*R10</f>
        <v/>
      </c>
      <c r="T10" s="765" t="n"/>
      <c r="U10" s="1522" t="n"/>
      <c r="V10" s="704" t="n"/>
      <c r="W10" s="1521">
        <f>C10*V10</f>
        <v/>
      </c>
      <c r="X10" s="704" t="n"/>
      <c r="Y10" s="1523">
        <f>C10*X10</f>
        <v/>
      </c>
      <c r="Z10" s="1524" t="n"/>
      <c r="AA10" s="1523" t="n"/>
      <c r="AB10" s="989" t="n"/>
      <c r="AC10" s="1521">
        <f>AB10*2.95</f>
        <v/>
      </c>
      <c r="AD10" s="993" t="n"/>
      <c r="AE10" s="1521">
        <f>AD10*4.42</f>
        <v/>
      </c>
      <c r="AF10" s="1521" t="n"/>
      <c r="AG10" s="991">
        <f>D10+F10+H10+J10+L10+P10+R10+V10+X10+N10</f>
        <v/>
      </c>
      <c r="AH10" s="1525">
        <f>E10+G10+I10+K10+M10+Q10+S10+Z10+AA10+W10+Y10+AC10+AE10+AF10+O10</f>
        <v/>
      </c>
      <c r="AI10" s="91" t="n"/>
      <c r="AJ10" s="91" t="n"/>
      <c r="AK10" s="91" t="n"/>
      <c r="AL10" s="91" t="n"/>
      <c r="AM10" s="91" t="n"/>
      <c r="AN10" s="91" t="n"/>
      <c r="AO10" s="91" t="n"/>
      <c r="AP10" s="91" t="n"/>
      <c r="AQ10" s="91" t="n"/>
      <c r="AR10" s="91" t="n"/>
      <c r="AS10" s="91" t="n"/>
      <c r="AT10" s="91" t="n"/>
      <c r="AU10" s="91" t="n"/>
      <c r="AV10" s="91" t="n"/>
      <c r="AW10" s="91" t="n"/>
      <c r="AX10" s="91" t="n"/>
      <c r="AY10" s="91" t="n"/>
      <c r="AZ10" s="91" t="n"/>
      <c r="BA10" s="91" t="n"/>
      <c r="BB10" s="91" t="n"/>
      <c r="BC10" s="91" t="n"/>
      <c r="BD10" s="91" t="n"/>
      <c r="BE10" s="91" t="n"/>
      <c r="BF10" s="91" t="n"/>
      <c r="BG10" s="91" t="n"/>
      <c r="BH10" s="91" t="n"/>
      <c r="BI10" s="590" t="n"/>
    </row>
    <row r="11" ht="13.5" customHeight="1" s="2" thickBot="1">
      <c r="A11" s="132" t="inlineStr">
        <is>
          <t>BUTTERS, Gary</t>
        </is>
      </c>
      <c r="B11" s="588" t="inlineStr">
        <is>
          <t>SUP</t>
        </is>
      </c>
      <c r="C11" s="1520" t="n">
        <v>29.45</v>
      </c>
      <c r="D11" s="981" t="n">
        <v>16</v>
      </c>
      <c r="E11" s="1521">
        <f>C11*D11</f>
        <v/>
      </c>
      <c r="F11" s="983" t="n">
        <v>7.5</v>
      </c>
      <c r="G11" s="1521">
        <f>C11*1.25*F11</f>
        <v/>
      </c>
      <c r="H11" s="704" t="n">
        <v>8.5</v>
      </c>
      <c r="I11" s="1521">
        <f>C11*1.5*H11</f>
        <v/>
      </c>
      <c r="J11" s="704" t="n"/>
      <c r="K11" s="1521">
        <f>C11*1.5*J11</f>
        <v/>
      </c>
      <c r="L11" s="704" t="n"/>
      <c r="M11" s="1521">
        <f>C11*1.75*L11</f>
        <v/>
      </c>
      <c r="N11" s="985" t="n"/>
      <c r="O11" s="1521">
        <f>C11*2*N11</f>
        <v/>
      </c>
      <c r="P11" s="704" t="n"/>
      <c r="Q11" s="1521">
        <f>C11*2*P11</f>
        <v/>
      </c>
      <c r="R11" s="704" t="n"/>
      <c r="S11" s="1521">
        <f>C11*2.25*R11</f>
        <v/>
      </c>
      <c r="T11" s="960" t="n"/>
      <c r="U11" s="1529" t="n"/>
      <c r="V11" s="704" t="n"/>
      <c r="W11" s="1521">
        <f>C11*V11</f>
        <v/>
      </c>
      <c r="X11" s="704" t="n">
        <v>6</v>
      </c>
      <c r="Y11" s="1523">
        <f>C11*X11</f>
        <v/>
      </c>
      <c r="Z11" s="1524" t="n">
        <v>6.9</v>
      </c>
      <c r="AA11" s="1523" t="n">
        <v>30</v>
      </c>
      <c r="AB11" s="989" t="n">
        <v>2</v>
      </c>
      <c r="AC11" s="1521">
        <f>AB11*2.95</f>
        <v/>
      </c>
      <c r="AD11" s="993" t="n"/>
      <c r="AE11" s="1521">
        <f>AD11*4.42</f>
        <v/>
      </c>
      <c r="AF11" s="1521" t="n"/>
      <c r="AG11" s="991">
        <f>D11+F11+H11+J11+L11+P11+R11+V11+X11+N11</f>
        <v/>
      </c>
      <c r="AH11" s="1525">
        <f>E11+G11+I11+K11+M11+Q11+S11+Z11+AA11+W11+Y11+AC11+AE11+AF11+O11</f>
        <v/>
      </c>
      <c r="AI11" s="91" t="n"/>
      <c r="AJ11" s="91" t="n"/>
      <c r="AK11" s="91" t="n"/>
      <c r="AL11" s="91" t="n"/>
      <c r="AM11" s="91" t="n"/>
      <c r="AN11" s="91" t="n"/>
      <c r="AO11" s="91" t="n"/>
      <c r="AP11" s="91" t="n"/>
      <c r="AQ11" s="91" t="n"/>
      <c r="AR11" s="91" t="n"/>
      <c r="AS11" s="91" t="n"/>
      <c r="AT11" s="91" t="n"/>
      <c r="AU11" s="91" t="n"/>
      <c r="AV11" s="91" t="n"/>
      <c r="AW11" s="91" t="n"/>
      <c r="AX11" s="91" t="n"/>
      <c r="AY11" s="91" t="n"/>
      <c r="AZ11" s="91" t="n"/>
      <c r="BA11" s="91" t="n"/>
      <c r="BB11" s="91" t="n"/>
      <c r="BC11" s="91" t="n"/>
      <c r="BD11" s="91" t="n"/>
      <c r="BE11" s="91" t="n"/>
      <c r="BF11" s="91" t="n"/>
      <c r="BG11" s="91" t="n"/>
      <c r="BH11" s="91" t="n"/>
      <c r="BI11" s="590" t="n"/>
    </row>
    <row r="12" ht="12.75" customHeight="1" s="2">
      <c r="A12" s="1408" t="inlineStr">
        <is>
          <t>CHAULAGAIN, Unisha</t>
        </is>
      </c>
      <c r="B12" s="588" t="n">
        <v>2</v>
      </c>
      <c r="C12" s="1520" t="n">
        <v>27.08</v>
      </c>
      <c r="D12" s="1022" t="n">
        <v>15</v>
      </c>
      <c r="E12" s="1526">
        <f>C12*D12</f>
        <v/>
      </c>
      <c r="F12" s="704" t="n">
        <v>8</v>
      </c>
      <c r="G12" s="1521">
        <f>C12*1.25*F12</f>
        <v/>
      </c>
      <c r="H12" s="704" t="n">
        <v>9.5</v>
      </c>
      <c r="I12" s="1521">
        <f>C12*1.5*H12</f>
        <v/>
      </c>
      <c r="J12" s="704" t="n"/>
      <c r="K12" s="1521">
        <f>C12*1.5*J12</f>
        <v/>
      </c>
      <c r="L12" s="704" t="n"/>
      <c r="M12" s="1521">
        <f>C12*1.75*L12</f>
        <v/>
      </c>
      <c r="N12" s="985" t="n">
        <v>0.5</v>
      </c>
      <c r="O12" s="1521">
        <f>C12*2*N12</f>
        <v/>
      </c>
      <c r="P12" s="704" t="n"/>
      <c r="Q12" s="1521">
        <f>C12*2*P12</f>
        <v/>
      </c>
      <c r="R12" s="704" t="n"/>
      <c r="S12" s="1521">
        <f>C12*2.25*R12</f>
        <v/>
      </c>
      <c r="T12" s="765" t="n"/>
      <c r="U12" s="1522">
        <f>C12*2.5*T12</f>
        <v/>
      </c>
      <c r="V12" s="704" t="n"/>
      <c r="W12" s="1527">
        <f>C12*V12</f>
        <v/>
      </c>
      <c r="X12" s="704" t="n"/>
      <c r="Y12" s="1528">
        <f>C12*X12</f>
        <v/>
      </c>
      <c r="Z12" s="1524" t="n">
        <v>6.9</v>
      </c>
      <c r="AA12" s="1523" t="n"/>
      <c r="AB12" s="989" t="n">
        <v>2</v>
      </c>
      <c r="AC12" s="1521">
        <f>AB12*2.95</f>
        <v/>
      </c>
      <c r="AD12" s="993" t="n">
        <v>1</v>
      </c>
      <c r="AE12" s="1521">
        <f>AD12*4.42</f>
        <v/>
      </c>
      <c r="AF12" s="1521" t="n">
        <v>11.2</v>
      </c>
      <c r="AG12" s="1035">
        <f>D12+F12+H12+J12+L12+P12+R12+V12+X12+N12+T12</f>
        <v/>
      </c>
      <c r="AH12" s="1525">
        <f>E12+G12+I12+K12+M12+Q12+S12+Z12+AA12+W12+Y12+AC12+AE12+AF12+O12</f>
        <v/>
      </c>
      <c r="AI12" s="91" t="n"/>
      <c r="AJ12" s="91" t="n"/>
      <c r="AK12" s="91" t="n"/>
      <c r="AL12" s="91" t="n"/>
      <c r="AM12" s="91" t="n"/>
      <c r="AN12" s="91" t="n"/>
      <c r="AO12" s="91" t="n"/>
      <c r="AP12" s="91" t="n"/>
      <c r="AQ12" s="91" t="n"/>
      <c r="AR12" s="91" t="n"/>
      <c r="AS12" s="91" t="n"/>
      <c r="AT12" s="91" t="n"/>
      <c r="AU12" s="91" t="n"/>
      <c r="AV12" s="91" t="n"/>
      <c r="AW12" s="91" t="n"/>
      <c r="AX12" s="91" t="n"/>
      <c r="AY12" s="91" t="n"/>
      <c r="AZ12" s="91" t="n"/>
      <c r="BA12" s="91" t="n"/>
      <c r="BB12" s="91" t="n"/>
      <c r="BC12" s="91" t="n"/>
      <c r="BD12" s="91" t="n"/>
      <c r="BE12" s="91" t="n"/>
      <c r="BF12" s="91" t="n"/>
      <c r="BG12" s="91" t="n"/>
      <c r="BH12" s="91" t="n"/>
      <c r="BI12" s="590" t="n"/>
    </row>
    <row r="13" ht="13.5" customHeight="1" s="2" thickBot="1">
      <c r="A13" s="1411" t="inlineStr">
        <is>
          <t>DALSANIYA, Vismay</t>
        </is>
      </c>
      <c r="B13" s="588" t="n">
        <v>2</v>
      </c>
      <c r="C13" s="1520" t="n">
        <v>27.97</v>
      </c>
      <c r="D13" s="981" t="n">
        <v>23</v>
      </c>
      <c r="E13" s="1521">
        <f>C13*D13</f>
        <v/>
      </c>
      <c r="F13" s="983" t="n">
        <v>8</v>
      </c>
      <c r="G13" s="1521">
        <f>C13*1.25*F13</f>
        <v/>
      </c>
      <c r="H13" s="704" t="n">
        <v>7.5</v>
      </c>
      <c r="I13" s="1521">
        <f>C13*1.5*H13</f>
        <v/>
      </c>
      <c r="J13" s="704" t="n">
        <v>1</v>
      </c>
      <c r="K13" s="1521">
        <f>C13*1.5*J13</f>
        <v/>
      </c>
      <c r="L13" s="704" t="n"/>
      <c r="M13" s="1521">
        <f>C13*1.75*L13</f>
        <v/>
      </c>
      <c r="N13" s="985" t="n"/>
      <c r="O13" s="1521">
        <f>C13*2*N13</f>
        <v/>
      </c>
      <c r="P13" s="704" t="n"/>
      <c r="Q13" s="1521">
        <f>C13*2*P13</f>
        <v/>
      </c>
      <c r="R13" s="704" t="n"/>
      <c r="S13" s="1521">
        <f>C13*2.25*R13</f>
        <v/>
      </c>
      <c r="T13" s="960" t="n"/>
      <c r="U13" s="1529" t="n"/>
      <c r="V13" s="704" t="n"/>
      <c r="W13" s="1521">
        <f>C13*V13</f>
        <v/>
      </c>
      <c r="X13" s="704" t="n"/>
      <c r="Y13" s="1523">
        <f>C13*X13</f>
        <v/>
      </c>
      <c r="Z13" s="1524" t="n">
        <v>6.9</v>
      </c>
      <c r="AA13" s="1523" t="n"/>
      <c r="AB13" s="989" t="n">
        <v>2</v>
      </c>
      <c r="AC13" s="1521">
        <f>AB13*2.95</f>
        <v/>
      </c>
      <c r="AD13" s="993" t="n">
        <v>1</v>
      </c>
      <c r="AE13" s="1521">
        <f>AD13*4.42</f>
        <v/>
      </c>
      <c r="AF13" s="1521" t="n"/>
      <c r="AG13" s="991">
        <f>D13+F13+H13+J13+L13+P13+R13+V13+X13+N13</f>
        <v/>
      </c>
      <c r="AH13" s="1525">
        <f>E13+G13+I13+K13+M13+Q13+S13+Z13+AA13+W13+Y13+AC13+AE13+AF13+O13</f>
        <v/>
      </c>
      <c r="AI13" s="91" t="n"/>
      <c r="AJ13" s="91" t="n"/>
      <c r="AK13" s="91" t="n"/>
      <c r="AL13" s="91" t="n"/>
      <c r="AM13" s="91" t="n"/>
      <c r="AN13" s="91" t="n"/>
      <c r="AO13" s="91" t="n"/>
      <c r="AP13" s="91" t="n"/>
      <c r="AQ13" s="91" t="n"/>
      <c r="AR13" s="91" t="n"/>
      <c r="AS13" s="91" t="n"/>
      <c r="AT13" s="91" t="n"/>
      <c r="AU13" s="91" t="n"/>
      <c r="AV13" s="91" t="n"/>
      <c r="AW13" s="91" t="n"/>
      <c r="AX13" s="91" t="n"/>
      <c r="AY13" s="91" t="n"/>
      <c r="AZ13" s="91" t="n"/>
      <c r="BA13" s="91" t="n"/>
      <c r="BB13" s="91" t="n"/>
      <c r="BC13" s="91" t="n"/>
      <c r="BD13" s="91" t="n"/>
      <c r="BE13" s="91" t="n"/>
      <c r="BF13" s="91" t="n"/>
      <c r="BG13" s="91" t="n"/>
      <c r="BH13" s="91" t="n"/>
      <c r="BI13" s="590" t="n"/>
    </row>
    <row r="14" ht="12" customHeight="1" s="2" thickBot="1">
      <c r="A14" s="1122" t="inlineStr">
        <is>
          <t>DUTTA Pinake</t>
        </is>
      </c>
      <c r="B14" s="1127" t="inlineStr">
        <is>
          <t>SAL</t>
        </is>
      </c>
      <c r="C14" s="1530" t="n">
        <v>45.55</v>
      </c>
      <c r="D14" s="1129" t="n">
        <v>41.75</v>
      </c>
      <c r="E14" s="1527">
        <f>C14*D14</f>
        <v/>
      </c>
      <c r="F14" s="1131" t="n"/>
      <c r="G14" s="1527">
        <f>C14*1.25*F14</f>
        <v/>
      </c>
      <c r="H14" s="1131" t="n"/>
      <c r="I14" s="1527">
        <f>C14*1.5*H14</f>
        <v/>
      </c>
      <c r="J14" s="1131" t="n"/>
      <c r="K14" s="1527">
        <f>C14*1.5*J14</f>
        <v/>
      </c>
      <c r="L14" s="1131" t="n"/>
      <c r="M14" s="1531">
        <f>C14*1.75*L14</f>
        <v/>
      </c>
      <c r="N14" s="1132" t="n"/>
      <c r="O14" s="1527">
        <f>C14*2*N14</f>
        <v/>
      </c>
      <c r="P14" s="1131" t="n"/>
      <c r="Q14" s="1527">
        <f>C14*2*P14</f>
        <v/>
      </c>
      <c r="R14" s="786" t="n"/>
      <c r="S14" s="1531">
        <f>C14*2.25*R14</f>
        <v/>
      </c>
      <c r="T14" s="1133" t="n"/>
      <c r="U14" s="1532" t="n"/>
      <c r="V14" s="1131" t="n"/>
      <c r="W14" s="1527">
        <f>C14*V14</f>
        <v/>
      </c>
      <c r="X14" s="1131" t="n"/>
      <c r="Y14" s="1528">
        <f>C14*X14</f>
        <v/>
      </c>
      <c r="Z14" s="1533" t="n">
        <v>15</v>
      </c>
      <c r="AA14" s="1528" t="n"/>
      <c r="AB14" s="1137" t="n"/>
      <c r="AC14" s="1521">
        <f>AB14*2.95</f>
        <v/>
      </c>
      <c r="AD14" s="1138" t="n"/>
      <c r="AE14" s="1521">
        <f>AD14*4.42</f>
        <v/>
      </c>
      <c r="AF14" s="1521" t="n"/>
      <c r="AG14" s="1139">
        <f>(D14+F14+H14+J14+L14+P14+R14+V14+X14+N14)+(J15+L15+P15+R15)</f>
        <v/>
      </c>
      <c r="AH14" s="1534">
        <f>(E14+G14+I14+K14+M14+Q14+S14+Z14+AA14+W14+Y14+AC14+AE14+AF14+O14)+(K15+M15+Q15+S15)</f>
        <v/>
      </c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590" t="n"/>
      <c r="JB14" s="90" t="n"/>
      <c r="JC14" s="90" t="n"/>
      <c r="JD14" s="90" t="n"/>
      <c r="JE14" s="90" t="n"/>
      <c r="JF14" s="90" t="n"/>
      <c r="JG14" s="90" t="n"/>
      <c r="JH14" s="90" t="n"/>
      <c r="JI14" s="90" t="n"/>
      <c r="JJ14" s="90" t="n"/>
      <c r="JK14" s="90" t="n"/>
      <c r="JL14" s="90" t="n"/>
      <c r="JM14" s="90" t="n"/>
      <c r="JN14" s="90" t="n"/>
      <c r="JO14" s="90" t="n"/>
      <c r="JP14" s="90" t="n"/>
      <c r="JQ14" s="90" t="n"/>
      <c r="JR14" s="90" t="n"/>
      <c r="JS14" s="90" t="n"/>
      <c r="JT14" s="90" t="n"/>
      <c r="JU14" s="90" t="n"/>
      <c r="JV14" s="90" t="n"/>
      <c r="JW14" s="90" t="n"/>
      <c r="JX14" s="90" t="n"/>
      <c r="JY14" s="90" t="n"/>
      <c r="JZ14" s="90" t="n"/>
      <c r="KA14" s="90" t="n"/>
      <c r="KB14" s="90" t="n"/>
      <c r="KC14" s="90" t="n"/>
      <c r="KD14" s="90" t="n"/>
      <c r="KE14" s="90" t="n"/>
      <c r="KF14" s="90" t="n"/>
      <c r="KG14" s="90" t="n"/>
      <c r="KH14" s="90" t="n"/>
      <c r="KI14" s="90" t="n"/>
      <c r="KJ14" s="90" t="n"/>
      <c r="KK14" s="90" t="n"/>
    </row>
    <row r="15" ht="13.5" customHeight="1" s="2" thickBot="1">
      <c r="A15" s="947" t="n"/>
      <c r="B15" s="948" t="n"/>
      <c r="C15" s="1535" t="n">
        <v>31.3</v>
      </c>
      <c r="D15" s="1141" t="n"/>
      <c r="E15" s="1536" t="n"/>
      <c r="F15" s="1143" t="n"/>
      <c r="G15" s="1536" t="n"/>
      <c r="H15" s="1143" t="n"/>
      <c r="I15" s="1536" t="n"/>
      <c r="J15" s="1012" t="n"/>
      <c r="K15" s="1537">
        <f>C15*1.5*J15</f>
        <v/>
      </c>
      <c r="L15" s="1012" t="n"/>
      <c r="M15" s="1538">
        <f>C15*1.75*L15</f>
        <v/>
      </c>
      <c r="N15" s="1145" t="n"/>
      <c r="O15" s="1536" t="n"/>
      <c r="P15" s="1012" t="n"/>
      <c r="Q15" s="1537">
        <f>C15*2*P15</f>
        <v/>
      </c>
      <c r="R15" s="1146" t="n"/>
      <c r="S15" s="1538">
        <f>C15*2.25*R15</f>
        <v/>
      </c>
      <c r="T15" s="1143" t="n"/>
      <c r="U15" s="1536" t="n"/>
      <c r="V15" s="1143" t="n"/>
      <c r="W15" s="1536" t="n"/>
      <c r="X15" s="1143" t="n"/>
      <c r="Y15" s="1539" t="n"/>
      <c r="Z15" s="1540" t="n"/>
      <c r="AA15" s="1541" t="n"/>
      <c r="AB15" s="1150" t="n"/>
      <c r="AC15" s="1521">
        <f>AB15*2.95</f>
        <v/>
      </c>
      <c r="AD15" s="1152" t="n"/>
      <c r="AE15" s="1521">
        <f>AD15*4.42</f>
        <v/>
      </c>
      <c r="AF15" s="1521" t="n"/>
      <c r="AG15" s="1153" t="n"/>
      <c r="AH15" s="1542" t="n"/>
      <c r="AI15" s="108" t="n"/>
      <c r="AJ15" s="108" t="n"/>
      <c r="AK15" s="108" t="n"/>
      <c r="AL15" s="108" t="n"/>
      <c r="AM15" s="108" t="n"/>
      <c r="AN15" s="108" t="n"/>
      <c r="AO15" s="108" t="n"/>
      <c r="AP15" s="108" t="n"/>
      <c r="AQ15" s="108" t="n"/>
      <c r="AR15" s="108" t="n"/>
      <c r="AS15" s="108" t="n"/>
      <c r="AT15" s="108" t="n"/>
      <c r="AU15" s="108" t="n"/>
      <c r="AV15" s="108" t="n"/>
      <c r="AW15" s="108" t="n"/>
      <c r="AX15" s="108" t="n"/>
      <c r="AY15" s="108" t="n"/>
      <c r="AZ15" s="108" t="n"/>
      <c r="BA15" s="108" t="n"/>
      <c r="BB15" s="108" t="n"/>
      <c r="BC15" s="108" t="n"/>
      <c r="BD15" s="108" t="n"/>
      <c r="BE15" s="108" t="n"/>
      <c r="BF15" s="108" t="n"/>
      <c r="BG15" s="108" t="n"/>
      <c r="BH15" s="108" t="n"/>
      <c r="BI15" s="109" t="n"/>
    </row>
    <row r="16" ht="12.75" customHeight="1" s="2">
      <c r="A16" s="119" t="inlineStr">
        <is>
          <t>FAN, Yong (Richard)</t>
        </is>
      </c>
      <c r="B16" s="1175" t="inlineStr">
        <is>
          <t>SUP</t>
        </is>
      </c>
      <c r="C16" s="1543" t="n">
        <v>29.45</v>
      </c>
      <c r="D16" s="943" t="n"/>
      <c r="E16" s="1544">
        <f>C16*D16</f>
        <v/>
      </c>
      <c r="F16" s="703" t="n">
        <v>2</v>
      </c>
      <c r="G16" s="1516">
        <f>C16*1.25*F16</f>
        <v/>
      </c>
      <c r="H16" s="703" t="n">
        <v>3.5</v>
      </c>
      <c r="I16" s="1516">
        <f>C16*1.5*H16</f>
        <v/>
      </c>
      <c r="J16" s="703" t="n"/>
      <c r="K16" s="1516">
        <f>C16*1.5*J16</f>
        <v/>
      </c>
      <c r="L16" s="703" t="n"/>
      <c r="M16" s="1516">
        <f>C16*1.75*L16</f>
        <v/>
      </c>
      <c r="N16" s="974" t="n"/>
      <c r="O16" s="1516">
        <f>C16*2*N16</f>
        <v/>
      </c>
      <c r="P16" s="703" t="n"/>
      <c r="Q16" s="1516">
        <f>C16*2*P16</f>
        <v/>
      </c>
      <c r="R16" s="943" t="n"/>
      <c r="S16" s="1545">
        <f>C16*2.25*R16</f>
        <v/>
      </c>
      <c r="T16" s="703" t="n"/>
      <c r="U16" s="1516">
        <f>C16*2.5*T16</f>
        <v/>
      </c>
      <c r="V16" s="943" t="n"/>
      <c r="W16" s="1545" t="n"/>
      <c r="X16" s="943" t="n"/>
      <c r="Y16" s="1545" t="n"/>
      <c r="Z16" s="1516" t="n">
        <v>4.6</v>
      </c>
      <c r="AA16" s="1516" t="n"/>
      <c r="AB16" s="1021" t="n"/>
      <c r="AC16" s="1521">
        <f>AB16*2.95</f>
        <v/>
      </c>
      <c r="AD16" s="1021" t="n"/>
      <c r="AE16" s="1521">
        <f>AD16*4.42</f>
        <v/>
      </c>
      <c r="AF16" s="1521" t="n"/>
      <c r="AG16" s="703">
        <f>D16+F16+H16+J16+L16+P16+R16+V16+X16+N16+T16</f>
        <v/>
      </c>
      <c r="AH16" s="1516">
        <f>E16+G16+I16+K16+M16+Q16+S16+Z16+AA16+W16+Y16+AC16+AE16+AF16+O16+U16</f>
        <v/>
      </c>
      <c r="AI16" s="108" t="n"/>
      <c r="AJ16" s="108" t="n"/>
      <c r="AK16" s="108" t="n"/>
      <c r="AL16" s="108" t="n"/>
      <c r="AM16" s="108" t="n"/>
      <c r="AN16" s="108" t="n"/>
      <c r="AO16" s="108" t="n"/>
      <c r="AP16" s="108" t="n"/>
      <c r="AQ16" s="108" t="n"/>
      <c r="AR16" s="108" t="n"/>
      <c r="AS16" s="108" t="n"/>
      <c r="AT16" s="108" t="n"/>
      <c r="AU16" s="108" t="n"/>
      <c r="AV16" s="108" t="n"/>
      <c r="AW16" s="108" t="n"/>
      <c r="AX16" s="108" t="n"/>
      <c r="AY16" s="108" t="n"/>
      <c r="AZ16" s="108" t="n"/>
      <c r="BA16" s="108" t="n"/>
      <c r="BB16" s="108" t="n"/>
      <c r="BC16" s="108" t="n"/>
      <c r="BD16" s="108" t="n"/>
      <c r="BE16" s="108" t="n"/>
      <c r="BF16" s="108" t="n"/>
      <c r="BG16" s="108" t="n"/>
      <c r="BH16" s="108" t="n"/>
      <c r="BI16" s="109" t="n"/>
    </row>
    <row r="17" ht="13.5" customHeight="1" s="2" thickBot="1">
      <c r="A17" s="132" t="inlineStr">
        <is>
          <t xml:space="preserve">FEIGE, Oliver </t>
        </is>
      </c>
      <c r="B17" s="588" t="inlineStr">
        <is>
          <t>CAS</t>
        </is>
      </c>
      <c r="C17" s="1520" t="n">
        <v>18.51</v>
      </c>
      <c r="D17" s="933" t="n"/>
      <c r="E17" s="1522" t="n"/>
      <c r="F17" s="704" t="n"/>
      <c r="G17" s="1521">
        <f>C17*1.25*F17</f>
        <v/>
      </c>
      <c r="H17" s="704" t="n"/>
      <c r="I17" s="1521">
        <f>C17*1.5*H17</f>
        <v/>
      </c>
      <c r="J17" s="704" t="n"/>
      <c r="K17" s="1521">
        <f>C17*1.5*J17</f>
        <v/>
      </c>
      <c r="L17" s="704" t="n"/>
      <c r="M17" s="1521">
        <f>C17*1.75*L17</f>
        <v/>
      </c>
      <c r="N17" s="985" t="n"/>
      <c r="O17" s="1521">
        <f>C17*2*N17</f>
        <v/>
      </c>
      <c r="P17" s="704" t="n"/>
      <c r="Q17" s="1521">
        <f>C17*2*P17</f>
        <v/>
      </c>
      <c r="R17" s="765" t="n"/>
      <c r="S17" s="1522" t="n"/>
      <c r="T17" s="704" t="n"/>
      <c r="U17" s="1521">
        <f>C17*2.5*T17</f>
        <v/>
      </c>
      <c r="V17" s="765" t="n"/>
      <c r="W17" s="1522" t="n"/>
      <c r="X17" s="765" t="n"/>
      <c r="Y17" s="1546" t="n"/>
      <c r="Z17" s="1524" t="n"/>
      <c r="AA17" s="1523" t="n"/>
      <c r="AB17" s="989" t="n"/>
      <c r="AC17" s="1521">
        <f>AB17*2.95</f>
        <v/>
      </c>
      <c r="AD17" s="993" t="n"/>
      <c r="AE17" s="1521">
        <f>AD17*4.42</f>
        <v/>
      </c>
      <c r="AF17" s="1521" t="n"/>
      <c r="AG17" s="991">
        <f>D17+F17+H17+J17+L17+P17+R17+V17+X17+N17+T17</f>
        <v/>
      </c>
      <c r="AH17" s="1525">
        <f>E17+G17+I17+K17+M17+Q17+S17+Z17+AA17+W17+Y17+AC17+AE17+AF17+O17+U17</f>
        <v/>
      </c>
      <c r="AI17" s="108" t="n"/>
      <c r="AJ17" s="108" t="n"/>
      <c r="AK17" s="108" t="n"/>
      <c r="AL17" s="108" t="n"/>
      <c r="AM17" s="108" t="n"/>
      <c r="AN17" s="108" t="n"/>
      <c r="AO17" s="108" t="n"/>
      <c r="AP17" s="108" t="n"/>
      <c r="AQ17" s="108" t="n"/>
      <c r="AR17" s="108" t="n"/>
      <c r="AS17" s="108" t="n"/>
      <c r="AT17" s="108" t="n"/>
      <c r="AU17" s="108" t="n"/>
      <c r="AV17" s="108" t="n"/>
      <c r="AW17" s="108" t="n"/>
      <c r="AX17" s="108" t="n"/>
      <c r="AY17" s="108" t="n"/>
      <c r="AZ17" s="108" t="n"/>
      <c r="BA17" s="108" t="n"/>
      <c r="BB17" s="108" t="n"/>
      <c r="BC17" s="108" t="n"/>
      <c r="BD17" s="108" t="n"/>
      <c r="BE17" s="108" t="n"/>
      <c r="BF17" s="108" t="n"/>
      <c r="BG17" s="108" t="n"/>
      <c r="BH17" s="108" t="n"/>
      <c r="BI17" s="109" t="n"/>
    </row>
    <row r="18" ht="12" customHeight="1" s="2">
      <c r="A18" s="944" t="inlineStr">
        <is>
          <t>FERNANDES,  Delisha</t>
        </is>
      </c>
      <c r="B18" s="945" t="inlineStr">
        <is>
          <t>SAL</t>
        </is>
      </c>
      <c r="C18" s="1547" t="n">
        <v>39.48</v>
      </c>
      <c r="D18" s="1001" t="n">
        <v>22</v>
      </c>
      <c r="E18" s="1531">
        <f>C18*D18</f>
        <v/>
      </c>
      <c r="F18" s="786" t="n"/>
      <c r="G18" s="1531">
        <f>C18*1.25*F18</f>
        <v/>
      </c>
      <c r="H18" s="786" t="n"/>
      <c r="I18" s="1531">
        <f>C18*1.5*H18</f>
        <v/>
      </c>
      <c r="J18" s="786" t="n"/>
      <c r="K18" s="1531">
        <f>C18*1.5*J18</f>
        <v/>
      </c>
      <c r="L18" s="786" t="n"/>
      <c r="M18" s="1531">
        <f>C18*1.75*L18</f>
        <v/>
      </c>
      <c r="N18" s="1003" t="n"/>
      <c r="O18" s="1531">
        <f>C18*2*N18</f>
        <v/>
      </c>
      <c r="P18" s="786" t="n"/>
      <c r="Q18" s="1531">
        <f>C18*2*P18</f>
        <v/>
      </c>
      <c r="R18" s="786" t="n"/>
      <c r="S18" s="1531">
        <f>C18*2.25*R18</f>
        <v/>
      </c>
      <c r="T18" s="1026" t="n"/>
      <c r="U18" s="1548" t="n"/>
      <c r="V18" s="786" t="n"/>
      <c r="W18" s="1531">
        <f>C18*V18</f>
        <v/>
      </c>
      <c r="X18" s="786" t="n">
        <v>16</v>
      </c>
      <c r="Y18" s="1549">
        <f>C18*X18</f>
        <v/>
      </c>
      <c r="Z18" s="1550" t="n">
        <v>15</v>
      </c>
      <c r="AA18" s="1549" t="n"/>
      <c r="AB18" s="1008" t="n"/>
      <c r="AC18" s="1521">
        <f>AB18*2.95</f>
        <v/>
      </c>
      <c r="AD18" s="1009" t="n"/>
      <c r="AE18" s="1521">
        <f>AD18*4.42</f>
        <v/>
      </c>
      <c r="AF18" s="1521" t="n"/>
      <c r="AG18" s="1010">
        <f>(D18+F18+H18+J18+L18+P18+R18+V18+X18+N18)+(J19+L19+P19+R19)</f>
        <v/>
      </c>
      <c r="AH18" s="1551">
        <f>(E18+G18+I18+K18+M18+Q18+S18+Z18+AA18+W18+Y18+AC18+AE18+AF18+O18)+(K19+M19+Q19+S19)</f>
        <v/>
      </c>
      <c r="AI18" s="91" t="n"/>
      <c r="AJ18" s="91" t="n"/>
      <c r="AK18" s="91" t="n"/>
      <c r="AL18" s="91" t="n"/>
      <c r="AM18" s="91" t="n"/>
      <c r="AN18" s="91" t="n"/>
      <c r="AO18" s="91" t="n"/>
      <c r="AP18" s="91" t="n"/>
      <c r="AQ18" s="91" t="n"/>
      <c r="AR18" s="91" t="n"/>
      <c r="AS18" s="91" t="n"/>
      <c r="AT18" s="91" t="n"/>
      <c r="AU18" s="91" t="n"/>
      <c r="AV18" s="91" t="n"/>
      <c r="AW18" s="91" t="n"/>
      <c r="AX18" s="91" t="n"/>
      <c r="AY18" s="91" t="n"/>
      <c r="AZ18" s="91" t="n"/>
      <c r="BA18" s="91" t="n"/>
      <c r="BB18" s="91" t="n"/>
      <c r="BC18" s="91" t="n"/>
      <c r="BD18" s="91" t="n"/>
      <c r="BE18" s="91" t="n"/>
      <c r="BF18" s="91" t="n"/>
      <c r="BG18" s="91" t="n"/>
      <c r="BH18" s="91" t="n"/>
      <c r="BI18" s="590" t="n"/>
      <c r="JB18" s="90" t="n"/>
      <c r="JC18" s="90" t="n"/>
      <c r="JD18" s="90" t="n"/>
      <c r="JE18" s="90" t="n"/>
      <c r="JF18" s="90" t="n"/>
      <c r="JG18" s="90" t="n"/>
      <c r="JH18" s="90" t="n"/>
      <c r="JI18" s="90" t="n"/>
      <c r="JJ18" s="90" t="n"/>
      <c r="JK18" s="90" t="n"/>
      <c r="JL18" s="90" t="n"/>
      <c r="JM18" s="90" t="n"/>
      <c r="JN18" s="90" t="n"/>
      <c r="JO18" s="90" t="n"/>
      <c r="JP18" s="90" t="n"/>
      <c r="JQ18" s="90" t="n"/>
      <c r="JR18" s="90" t="n"/>
      <c r="JS18" s="90" t="n"/>
      <c r="JT18" s="90" t="n"/>
      <c r="JU18" s="90" t="n"/>
      <c r="JV18" s="90" t="n"/>
      <c r="JW18" s="90" t="n"/>
      <c r="JX18" s="90" t="n"/>
      <c r="JY18" s="90" t="n"/>
      <c r="JZ18" s="90" t="n"/>
      <c r="KA18" s="90" t="n"/>
      <c r="KB18" s="90" t="n"/>
      <c r="KC18" s="90" t="n"/>
      <c r="KD18" s="90" t="n"/>
      <c r="KE18" s="90" t="n"/>
      <c r="KF18" s="90" t="n"/>
      <c r="KG18" s="90" t="n"/>
      <c r="KH18" s="90" t="n"/>
      <c r="KI18" s="90" t="n"/>
      <c r="KJ18" s="90" t="n"/>
      <c r="KK18" s="90" t="n"/>
    </row>
    <row r="19" ht="12" customHeight="1" s="2" thickBot="1">
      <c r="A19" s="1156" t="n"/>
      <c r="B19" s="948" t="n"/>
      <c r="C19" s="1535" t="n">
        <v>29.45</v>
      </c>
      <c r="D19" s="1119" t="n"/>
      <c r="E19" s="1552" t="n"/>
      <c r="F19" s="1121" t="n"/>
      <c r="G19" s="1552" t="n"/>
      <c r="H19" s="1121" t="n"/>
      <c r="I19" s="1552" t="n"/>
      <c r="J19" s="1012" t="n"/>
      <c r="K19" s="1537">
        <f>C19*1.5*J19</f>
        <v/>
      </c>
      <c r="L19" s="1012" t="n"/>
      <c r="M19" s="1537">
        <f>C19*1.75*L19</f>
        <v/>
      </c>
      <c r="N19" s="1023" t="n"/>
      <c r="O19" s="1553" t="n"/>
      <c r="P19" s="1012" t="n"/>
      <c r="Q19" s="1537">
        <f>C19*2*P19</f>
        <v/>
      </c>
      <c r="R19" s="1012" t="n"/>
      <c r="S19" s="1537">
        <f>C19*2.25*R19</f>
        <v/>
      </c>
      <c r="T19" s="950" t="n"/>
      <c r="U19" s="1553" t="n"/>
      <c r="V19" s="950" t="n"/>
      <c r="W19" s="1553" t="n"/>
      <c r="X19" s="950" t="n"/>
      <c r="Y19" s="1554" t="n"/>
      <c r="Z19" s="1555" t="n"/>
      <c r="AA19" s="1554" t="n"/>
      <c r="AB19" s="1016" t="n"/>
      <c r="AC19" s="1521">
        <f>AB19*2.95</f>
        <v/>
      </c>
      <c r="AD19" s="1018" t="n"/>
      <c r="AE19" s="1521">
        <f>AD19*4.42</f>
        <v/>
      </c>
      <c r="AF19" s="1521" t="n"/>
      <c r="AG19" s="1019" t="n"/>
      <c r="AH19" s="1556" t="n"/>
      <c r="AI19" s="91" t="n"/>
      <c r="AJ19" s="91" t="n"/>
      <c r="AK19" s="91" t="n"/>
      <c r="AL19" s="91" t="n"/>
      <c r="AM19" s="91" t="n"/>
      <c r="AN19" s="91" t="n"/>
      <c r="AO19" s="91" t="n"/>
      <c r="AP19" s="91" t="n"/>
      <c r="AQ19" s="91" t="n"/>
      <c r="AR19" s="91" t="n"/>
      <c r="AS19" s="91" t="n"/>
      <c r="AT19" s="91" t="n"/>
      <c r="AU19" s="91" t="n"/>
      <c r="AV19" s="91" t="n"/>
      <c r="AW19" s="91" t="n"/>
      <c r="AX19" s="91" t="n"/>
      <c r="AY19" s="91" t="n"/>
      <c r="AZ19" s="91" t="n"/>
      <c r="BA19" s="91" t="n"/>
      <c r="BB19" s="91" t="n"/>
      <c r="BC19" s="91" t="n"/>
      <c r="BD19" s="91" t="n"/>
      <c r="BE19" s="91" t="n"/>
      <c r="BF19" s="91" t="n"/>
      <c r="BG19" s="91" t="n"/>
      <c r="BH19" s="91" t="n"/>
      <c r="BI19" s="590" t="n"/>
    </row>
    <row r="20" ht="12.75" customHeight="1" s="2">
      <c r="A20" s="1427" t="inlineStr">
        <is>
          <t>GAUCHAN, Bibek</t>
        </is>
      </c>
      <c r="B20" s="1044" t="inlineStr">
        <is>
          <t>SAL</t>
        </is>
      </c>
      <c r="C20" s="1557" t="n">
        <v>37.45</v>
      </c>
      <c r="D20" s="1155" t="n"/>
      <c r="E20" s="1558">
        <f>C20*D20</f>
        <v/>
      </c>
      <c r="F20" s="959" t="n"/>
      <c r="G20" s="1558">
        <f>C20*1.25*F20</f>
        <v/>
      </c>
      <c r="H20" s="959" t="n"/>
      <c r="I20" s="1558">
        <f>C20*1.5*H20</f>
        <v/>
      </c>
      <c r="J20" s="959" t="n"/>
      <c r="K20" s="1558">
        <f>C20*1.5*J20</f>
        <v/>
      </c>
      <c r="L20" s="959" t="n"/>
      <c r="M20" s="1558">
        <f>C20*1.75*L20</f>
        <v/>
      </c>
      <c r="N20" s="1030" t="n"/>
      <c r="O20" s="1558">
        <f>C20*2*N20</f>
        <v/>
      </c>
      <c r="P20" s="959" t="n"/>
      <c r="Q20" s="1558">
        <f>C20*2*P20</f>
        <v/>
      </c>
      <c r="R20" s="959" t="n"/>
      <c r="S20" s="1558">
        <f>C20*2.25*R20</f>
        <v/>
      </c>
      <c r="T20" s="1031" t="n"/>
      <c r="U20" s="1559" t="n"/>
      <c r="V20" s="959" t="n"/>
      <c r="W20" s="1558">
        <f>C20*V20</f>
        <v/>
      </c>
      <c r="X20" s="959" t="n">
        <v>38</v>
      </c>
      <c r="Y20" s="1560">
        <f>C20*X20</f>
        <v/>
      </c>
      <c r="Z20" s="1561" t="n"/>
      <c r="AA20" s="1560" t="n"/>
      <c r="AB20" s="1034" t="n"/>
      <c r="AC20" s="1521">
        <f>AB20*2.95</f>
        <v/>
      </c>
      <c r="AD20" s="1126" t="n"/>
      <c r="AE20" s="1521">
        <f>AD20*4.42</f>
        <v/>
      </c>
      <c r="AF20" s="1521" t="n"/>
      <c r="AG20" s="1010">
        <f>(D20+F20+H20+J20+L20+P20+R20+V20+X20+N20)+(J21+L21+P21+R21)</f>
        <v/>
      </c>
      <c r="AH20" s="1551">
        <f>(E20+G20+I20+K20+M20+Q20+S20+Z20+AA20+W20+Y20+AC20+AE20+AF20+O20)+(K21+M21+Q21+S21)</f>
        <v/>
      </c>
      <c r="AI20" s="108" t="n"/>
      <c r="AJ20" s="108" t="n"/>
      <c r="AK20" s="108" t="n"/>
      <c r="AL20" s="108" t="n"/>
      <c r="AM20" s="108" t="n"/>
      <c r="AN20" s="108" t="n"/>
      <c r="AO20" s="108" t="n"/>
      <c r="AP20" s="108" t="n"/>
      <c r="AQ20" s="108" t="n"/>
      <c r="AR20" s="108" t="n"/>
      <c r="AS20" s="108" t="n"/>
      <c r="AT20" s="108" t="n"/>
      <c r="AU20" s="108" t="n"/>
      <c r="AV20" s="108" t="n"/>
      <c r="AW20" s="108" t="n"/>
      <c r="AX20" s="108" t="n"/>
      <c r="AY20" s="108" t="n"/>
      <c r="AZ20" s="108" t="n"/>
      <c r="BA20" s="108" t="n"/>
      <c r="BB20" s="108" t="n"/>
      <c r="BC20" s="108" t="n"/>
      <c r="BD20" s="108" t="n"/>
      <c r="BE20" s="108" t="n"/>
      <c r="BF20" s="108" t="n"/>
      <c r="BG20" s="108" t="n"/>
      <c r="BH20" s="108" t="n"/>
      <c r="BI20" s="109" t="n"/>
    </row>
    <row r="21" ht="12" customHeight="1" s="2" thickBot="1">
      <c r="A21" s="1156" t="n"/>
      <c r="B21" s="948" t="n"/>
      <c r="C21" s="1535" t="n">
        <v>29.45</v>
      </c>
      <c r="D21" s="1119" t="n"/>
      <c r="E21" s="1552" t="n"/>
      <c r="F21" s="1121" t="n"/>
      <c r="G21" s="1552" t="n"/>
      <c r="H21" s="1121" t="n"/>
      <c r="I21" s="1552" t="n"/>
      <c r="J21" s="1012" t="n"/>
      <c r="K21" s="1537">
        <f>C21*1.5*J21</f>
        <v/>
      </c>
      <c r="L21" s="1012" t="n"/>
      <c r="M21" s="1537">
        <f>C21*1.75*L21</f>
        <v/>
      </c>
      <c r="N21" s="1023" t="n"/>
      <c r="O21" s="1553" t="n"/>
      <c r="P21" s="1012" t="n"/>
      <c r="Q21" s="1537">
        <f>C21*2*P21</f>
        <v/>
      </c>
      <c r="R21" s="1012" t="n"/>
      <c r="S21" s="1537">
        <f>C21*2.25*R21</f>
        <v/>
      </c>
      <c r="T21" s="950" t="n"/>
      <c r="U21" s="1553" t="n"/>
      <c r="V21" s="950" t="n"/>
      <c r="W21" s="1553" t="n"/>
      <c r="X21" s="950" t="n"/>
      <c r="Y21" s="1554" t="n"/>
      <c r="Z21" s="1555" t="n"/>
      <c r="AA21" s="1554" t="n"/>
      <c r="AB21" s="1016" t="n"/>
      <c r="AC21" s="1521">
        <f>AB21*2.95</f>
        <v/>
      </c>
      <c r="AD21" s="1018" t="n"/>
      <c r="AE21" s="1521">
        <f>AD21*4.42</f>
        <v/>
      </c>
      <c r="AF21" s="1521" t="n"/>
      <c r="AG21" s="1019" t="n"/>
      <c r="AH21" s="1556" t="n"/>
      <c r="AI21" s="108" t="n"/>
      <c r="AJ21" s="108" t="inlineStr">
        <is>
          <t xml:space="preserve">   </t>
        </is>
      </c>
      <c r="AK21" s="108" t="n"/>
      <c r="AL21" s="108" t="n"/>
      <c r="AM21" s="108" t="n"/>
      <c r="AN21" s="108" t="n"/>
      <c r="AO21" s="108" t="n"/>
      <c r="AP21" s="108" t="n"/>
      <c r="AQ21" s="108" t="n"/>
      <c r="AR21" s="108" t="n"/>
      <c r="AS21" s="108" t="n"/>
      <c r="AT21" s="108" t="n"/>
      <c r="AU21" s="108" t="n"/>
      <c r="AV21" s="108" t="n"/>
      <c r="AW21" s="108" t="n"/>
      <c r="AX21" s="108" t="n"/>
      <c r="AY21" s="108" t="n"/>
      <c r="AZ21" s="108" t="n"/>
      <c r="BA21" s="108" t="n"/>
      <c r="BB21" s="108" t="n"/>
      <c r="BC21" s="108" t="n"/>
      <c r="BD21" s="108" t="n"/>
      <c r="BE21" s="108" t="n"/>
      <c r="BF21" s="108" t="n"/>
      <c r="BG21" s="108" t="n"/>
      <c r="BH21" s="108" t="n"/>
      <c r="BI21" s="109" t="n"/>
    </row>
    <row r="22" ht="13.5" customHeight="1" s="2" thickBot="1">
      <c r="A22" s="944" t="inlineStr">
        <is>
          <t>GAUCHAN, Roshani</t>
        </is>
      </c>
      <c r="B22" s="1127" t="inlineStr">
        <is>
          <t>SAL</t>
        </is>
      </c>
      <c r="C22" s="1530" t="n">
        <v>37.45</v>
      </c>
      <c r="D22" s="1001" t="n">
        <v>38.25</v>
      </c>
      <c r="E22" s="1531">
        <f>C22*D22</f>
        <v/>
      </c>
      <c r="F22" s="786" t="n"/>
      <c r="G22" s="1531">
        <f>C22*1.25*F22</f>
        <v/>
      </c>
      <c r="H22" s="786" t="n"/>
      <c r="I22" s="1531">
        <f>C22*1.5*H22</f>
        <v/>
      </c>
      <c r="J22" s="786" t="n"/>
      <c r="K22" s="1531">
        <f>C22*1.5*J22</f>
        <v/>
      </c>
      <c r="L22" s="786" t="n"/>
      <c r="M22" s="1531">
        <f>C22*1.75*L22</f>
        <v/>
      </c>
      <c r="N22" s="1003" t="n"/>
      <c r="O22" s="1531">
        <f>C22*2*N22</f>
        <v/>
      </c>
      <c r="P22" s="786" t="n"/>
      <c r="Q22" s="1531">
        <f>C22*2*P22</f>
        <v/>
      </c>
      <c r="R22" s="786" t="n"/>
      <c r="S22" s="1527">
        <f>C22*2.25*R22</f>
        <v/>
      </c>
      <c r="T22" s="1004" t="n"/>
      <c r="U22" s="1562" t="n"/>
      <c r="V22" s="786" t="n"/>
      <c r="W22" s="1531">
        <f>C22*V22</f>
        <v/>
      </c>
      <c r="X22" s="786" t="n"/>
      <c r="Y22" s="1549">
        <f>C22*X22</f>
        <v/>
      </c>
      <c r="Z22" s="1550" t="n">
        <v>15</v>
      </c>
      <c r="AA22" s="1549" t="n"/>
      <c r="AB22" s="1008" t="n"/>
      <c r="AC22" s="1521">
        <f>AB22*2.95</f>
        <v/>
      </c>
      <c r="AD22" s="1009" t="n"/>
      <c r="AE22" s="1521">
        <f>AD22*4.42</f>
        <v/>
      </c>
      <c r="AF22" s="1521" t="n"/>
      <c r="AG22" s="1010">
        <f>(D22+F22+H22+J22+L22+P22+R22+V22+X22+N22)+(J23+L23+P23+R23)</f>
        <v/>
      </c>
      <c r="AH22" s="1551">
        <f>(E22+G22+I22+K22+M22+Q22+S22+Z22+AA22+W22+Y22+AC22+AE22+AF22+O22)+(K23+M23+Q23+S23)</f>
        <v/>
      </c>
      <c r="AI22" s="91" t="n"/>
      <c r="AJ22" s="91" t="n"/>
      <c r="AK22" s="91" t="n"/>
      <c r="AL22" s="91" t="n"/>
      <c r="AM22" s="91" t="n"/>
      <c r="AN22" s="91" t="n"/>
      <c r="AO22" s="91" t="n"/>
      <c r="AP22" s="91" t="n"/>
      <c r="AQ22" s="91" t="n"/>
      <c r="AR22" s="91" t="n"/>
      <c r="AS22" s="91" t="n"/>
      <c r="AT22" s="91" t="n"/>
      <c r="AU22" s="91" t="n"/>
      <c r="AV22" s="91" t="n"/>
      <c r="AW22" s="91" t="n"/>
      <c r="AX22" s="91" t="n"/>
      <c r="AY22" s="91" t="n"/>
      <c r="AZ22" s="91" t="n"/>
      <c r="BA22" s="91" t="n"/>
      <c r="BB22" s="91" t="n"/>
      <c r="BC22" s="91" t="n"/>
      <c r="BD22" s="91" t="n"/>
      <c r="BE22" s="91" t="n"/>
      <c r="BF22" s="91" t="n"/>
      <c r="BG22" s="91" t="n"/>
      <c r="BH22" s="91" t="n"/>
      <c r="BI22" s="590" t="n"/>
    </row>
    <row r="23" ht="13.5" customHeight="1" s="2" thickBot="1">
      <c r="A23" s="1156" t="n"/>
      <c r="B23" s="948" t="n"/>
      <c r="C23" s="1535" t="n">
        <v>29.45</v>
      </c>
      <c r="D23" s="1157" t="n"/>
      <c r="E23" s="1563" t="n"/>
      <c r="F23" s="1158" t="n"/>
      <c r="G23" s="1563" t="n"/>
      <c r="H23" s="1158" t="n"/>
      <c r="I23" s="1563" t="n"/>
      <c r="J23" s="1146" t="n"/>
      <c r="K23" s="1538">
        <f>C23*1.5*J23</f>
        <v/>
      </c>
      <c r="L23" s="1146" t="n"/>
      <c r="M23" s="1538">
        <f>C23*1.75*L23</f>
        <v/>
      </c>
      <c r="N23" s="1159" t="n"/>
      <c r="O23" s="1552" t="n"/>
      <c r="P23" s="1146" t="n"/>
      <c r="Q23" s="1538">
        <f>C23*2*P23</f>
        <v/>
      </c>
      <c r="R23" s="1146" t="n"/>
      <c r="S23" s="1537">
        <f>C23*2.25*R23</f>
        <v/>
      </c>
      <c r="T23" s="1143" t="n"/>
      <c r="U23" s="1536" t="n"/>
      <c r="V23" s="1158" t="n"/>
      <c r="W23" s="1531">
        <f>C23*V23</f>
        <v/>
      </c>
      <c r="X23" s="1158" t="n"/>
      <c r="Y23" s="1541" t="n"/>
      <c r="Z23" s="1540" t="n"/>
      <c r="AA23" s="1541" t="n"/>
      <c r="AB23" s="1150" t="n"/>
      <c r="AC23" s="1521">
        <f>AB23*2.95</f>
        <v/>
      </c>
      <c r="AD23" s="1152" t="n"/>
      <c r="AE23" s="1521">
        <f>AD23*4.42</f>
        <v/>
      </c>
      <c r="AF23" s="1521" t="n"/>
      <c r="AG23" s="1153" t="n"/>
      <c r="AH23" s="1542" t="n"/>
      <c r="AI23" s="108" t="n"/>
      <c r="AJ23" s="108" t="n"/>
      <c r="AK23" s="108" t="n"/>
      <c r="AL23" s="108" t="n"/>
      <c r="AM23" s="108" t="n"/>
      <c r="AN23" s="108" t="n"/>
      <c r="AO23" s="108" t="n"/>
      <c r="AP23" s="108" t="n"/>
      <c r="AQ23" s="108" t="n"/>
      <c r="AR23" s="108" t="n"/>
      <c r="AS23" s="108" t="n"/>
      <c r="AT23" s="108" t="n"/>
      <c r="AU23" s="108" t="n"/>
      <c r="AV23" s="108" t="n"/>
      <c r="AW23" s="108" t="n"/>
      <c r="AX23" s="108" t="n"/>
      <c r="AY23" s="108" t="n"/>
      <c r="AZ23" s="108" t="n"/>
      <c r="BA23" s="108" t="n"/>
      <c r="BB23" s="108" t="n"/>
      <c r="BC23" s="108" t="n"/>
      <c r="BD23" s="108" t="n"/>
      <c r="BE23" s="108" t="n"/>
      <c r="BF23" s="108" t="n"/>
      <c r="BG23" s="108" t="n"/>
      <c r="BH23" s="108" t="n"/>
      <c r="BI23" s="109" t="n"/>
    </row>
    <row r="24" ht="12.75" customHeight="1" s="2">
      <c r="A24" s="1408" t="inlineStr">
        <is>
          <t>JAHAN, Nusrat</t>
        </is>
      </c>
      <c r="B24" s="588" t="n">
        <v>2</v>
      </c>
      <c r="C24" s="1520" t="n">
        <v>27.08</v>
      </c>
      <c r="D24" s="1022" t="n">
        <v>17.5</v>
      </c>
      <c r="E24" s="1526">
        <f>C24*D24</f>
        <v/>
      </c>
      <c r="F24" s="704" t="n">
        <v>7.5</v>
      </c>
      <c r="G24" s="1521">
        <f>C24*1.25*F24</f>
        <v/>
      </c>
      <c r="H24" s="704" t="n">
        <v>7.5</v>
      </c>
      <c r="I24" s="1521">
        <f>C24*1.5*H24</f>
        <v/>
      </c>
      <c r="J24" s="704" t="n"/>
      <c r="K24" s="1521">
        <f>C24*1.5*J24</f>
        <v/>
      </c>
      <c r="L24" s="704" t="n">
        <v>2</v>
      </c>
      <c r="M24" s="1521">
        <f>C24*1.75*L24</f>
        <v/>
      </c>
      <c r="N24" s="985" t="n"/>
      <c r="O24" s="1521">
        <f>C24*2*N24</f>
        <v/>
      </c>
      <c r="P24" s="704" t="n">
        <v>0.75</v>
      </c>
      <c r="Q24" s="1521">
        <f>C24*2*P24</f>
        <v/>
      </c>
      <c r="R24" s="704" t="n"/>
      <c r="S24" s="1521">
        <f>C24*2.25*R24</f>
        <v/>
      </c>
      <c r="T24" s="765" t="n"/>
      <c r="U24" s="1522">
        <f>C24*2.5*T24</f>
        <v/>
      </c>
      <c r="V24" s="704" t="n"/>
      <c r="W24" s="1527">
        <f>C24*V24</f>
        <v/>
      </c>
      <c r="X24" s="704" t="n"/>
      <c r="Y24" s="1528">
        <f>C24*X24</f>
        <v/>
      </c>
      <c r="Z24" s="1524" t="n">
        <v>6.9</v>
      </c>
      <c r="AA24" s="1523" t="n"/>
      <c r="AB24" s="989" t="n"/>
      <c r="AC24" s="1521">
        <f>AB24*2.95</f>
        <v/>
      </c>
      <c r="AD24" s="993" t="n"/>
      <c r="AE24" s="1521">
        <f>AD24*4.42</f>
        <v/>
      </c>
      <c r="AF24" s="1521" t="n">
        <v>22.4</v>
      </c>
      <c r="AG24" s="1035">
        <f>D24+F24+H24+J24+L24+P24+R24+V24+X24+N24+T24</f>
        <v/>
      </c>
      <c r="AH24" s="1525">
        <f>E24+G24+I24+K24+M24+Q24+S24+Z24+AA24+W24+Y24+AC24+AE24+AF24+O24</f>
        <v/>
      </c>
      <c r="AI24" s="91" t="n"/>
      <c r="AJ24" s="91" t="n"/>
      <c r="AK24" s="91" t="n"/>
      <c r="AL24" s="91" t="n"/>
      <c r="AM24" s="91" t="n"/>
      <c r="AN24" s="91" t="n"/>
      <c r="AO24" s="91" t="n"/>
      <c r="AP24" s="91" t="n"/>
      <c r="AQ24" s="91" t="n"/>
      <c r="AR24" s="91" t="n"/>
      <c r="AS24" s="91" t="n"/>
      <c r="AT24" s="91" t="n"/>
      <c r="AU24" s="91" t="n"/>
      <c r="AV24" s="91" t="n"/>
      <c r="AW24" s="91" t="n"/>
      <c r="AX24" s="91" t="n"/>
      <c r="AY24" s="91" t="n"/>
      <c r="AZ24" s="91" t="n"/>
      <c r="BA24" s="91" t="n"/>
      <c r="BB24" s="91" t="n"/>
      <c r="BC24" s="91" t="n"/>
      <c r="BD24" s="91" t="n"/>
      <c r="BE24" s="91" t="n"/>
      <c r="BF24" s="91" t="n"/>
      <c r="BG24" s="91" t="n"/>
      <c r="BH24" s="91" t="n"/>
      <c r="BI24" s="590" t="n"/>
    </row>
    <row r="25" ht="13.5" customHeight="1" s="2" thickBot="1">
      <c r="A25" s="132" t="inlineStr">
        <is>
          <t>KC Anisha</t>
        </is>
      </c>
      <c r="B25" s="588" t="n">
        <v>2</v>
      </c>
      <c r="C25" s="1520" t="n">
        <v>27.97</v>
      </c>
      <c r="D25" s="1022" t="n">
        <v>21</v>
      </c>
      <c r="E25" s="1521">
        <f>C25*D25</f>
        <v/>
      </c>
      <c r="F25" s="704" t="n">
        <v>8</v>
      </c>
      <c r="G25" s="1521">
        <f>C25*1.25*F25</f>
        <v/>
      </c>
      <c r="H25" s="704" t="n">
        <v>8</v>
      </c>
      <c r="I25" s="1521">
        <f>C25*1.5*H25</f>
        <v/>
      </c>
      <c r="J25" s="704" t="n"/>
      <c r="K25" s="1521">
        <f>C25*1.5*J25</f>
        <v/>
      </c>
      <c r="L25" s="704" t="n"/>
      <c r="M25" s="1521">
        <f>C25*1.75*L25</f>
        <v/>
      </c>
      <c r="N25" s="985" t="n"/>
      <c r="O25" s="1521">
        <f>C25*2*N25</f>
        <v/>
      </c>
      <c r="P25" s="704" t="n"/>
      <c r="Q25" s="1521">
        <f>C25*2*P25</f>
        <v/>
      </c>
      <c r="R25" s="704" t="n"/>
      <c r="S25" s="1521">
        <f>C25*2.25*R25</f>
        <v/>
      </c>
      <c r="T25" s="765" t="n"/>
      <c r="U25" s="1522" t="n"/>
      <c r="V25" s="704" t="n"/>
      <c r="W25" s="1521">
        <f>C25*V25</f>
        <v/>
      </c>
      <c r="X25" s="704" t="n"/>
      <c r="Y25" s="1523">
        <f>C25*X25</f>
        <v/>
      </c>
      <c r="Z25" s="1524" t="n">
        <v>6.9</v>
      </c>
      <c r="AA25" s="1523" t="n"/>
      <c r="AB25" s="989" t="n">
        <v>2</v>
      </c>
      <c r="AC25" s="1521">
        <f>AB25*2.95</f>
        <v/>
      </c>
      <c r="AD25" s="993" t="n">
        <v>1</v>
      </c>
      <c r="AE25" s="1521">
        <f>AD25*4.42</f>
        <v/>
      </c>
      <c r="AF25" s="1521" t="n"/>
      <c r="AG25" s="991">
        <f>D25+F25+H25+J25+L25+P25+R25+V25+X25+N25</f>
        <v/>
      </c>
      <c r="AH25" s="1525">
        <f>E25+G25+I25+K25+M25+Q25+S25+Z25+AA25+W25+Y25+AC25+AE25+AF25+O25</f>
        <v/>
      </c>
      <c r="AI25" s="108" t="n"/>
      <c r="AJ25" s="108" t="n"/>
      <c r="AK25" s="108" t="n"/>
      <c r="AL25" s="108" t="n"/>
      <c r="AM25" s="108" t="n"/>
      <c r="AN25" s="108" t="n"/>
      <c r="AO25" s="108" t="n"/>
      <c r="AP25" s="108" t="n"/>
      <c r="AQ25" s="108" t="n"/>
      <c r="AR25" s="108" t="n"/>
      <c r="AS25" s="108" t="n"/>
      <c r="AT25" s="108" t="n"/>
      <c r="AU25" s="108" t="n"/>
      <c r="AV25" s="108" t="n"/>
      <c r="AW25" s="108" t="n"/>
      <c r="AX25" s="108" t="n"/>
      <c r="AY25" s="108" t="n"/>
      <c r="AZ25" s="108" t="n"/>
      <c r="BA25" s="108" t="n"/>
      <c r="BB25" s="108" t="n"/>
      <c r="BC25" s="108" t="n"/>
      <c r="BD25" s="108" t="n"/>
      <c r="BE25" s="108" t="n"/>
      <c r="BF25" s="108" t="n"/>
      <c r="BG25" s="108" t="n"/>
      <c r="BH25" s="108" t="n"/>
      <c r="BI25" s="109" t="n"/>
    </row>
    <row r="26" ht="13.5" customHeight="1" s="2" thickBot="1">
      <c r="A26" s="132" t="inlineStr">
        <is>
          <t>KC Sulav</t>
        </is>
      </c>
      <c r="B26" s="1045" t="inlineStr">
        <is>
          <t>SAL</t>
        </is>
      </c>
      <c r="C26" s="1520" t="n">
        <v>37.45</v>
      </c>
      <c r="D26" s="1022" t="n"/>
      <c r="E26" s="1521">
        <f>C26*D26</f>
        <v/>
      </c>
      <c r="F26" s="704" t="n"/>
      <c r="G26" s="1521">
        <f>C26*1.25*F26</f>
        <v/>
      </c>
      <c r="H26" s="704" t="n"/>
      <c r="I26" s="1521">
        <f>C26*1.5*H26</f>
        <v/>
      </c>
      <c r="J26" s="704" t="n"/>
      <c r="K26" s="1521">
        <f>C26*1.5*J26</f>
        <v/>
      </c>
      <c r="L26" s="704" t="n"/>
      <c r="M26" s="1521">
        <f>C26*1.75*L26</f>
        <v/>
      </c>
      <c r="N26" s="985" t="n"/>
      <c r="O26" s="1521">
        <f>C26*2*N26</f>
        <v/>
      </c>
      <c r="P26" s="704" t="n"/>
      <c r="Q26" s="1521">
        <f>C26*2*P26</f>
        <v/>
      </c>
      <c r="R26" s="704" t="n"/>
      <c r="S26" s="1521">
        <f>C26*2.25*R26</f>
        <v/>
      </c>
      <c r="T26" s="765" t="n"/>
      <c r="U26" s="1522" t="n"/>
      <c r="V26" s="704" t="n"/>
      <c r="W26" s="1521">
        <f>C26*V26</f>
        <v/>
      </c>
      <c r="X26" s="704" t="n">
        <v>38</v>
      </c>
      <c r="Y26" s="1523">
        <f>C26*X26</f>
        <v/>
      </c>
      <c r="Z26" s="1524" t="n"/>
      <c r="AA26" s="1523" t="n"/>
      <c r="AB26" s="989" t="n"/>
      <c r="AC26" s="1521">
        <f>AB26*2.95</f>
        <v/>
      </c>
      <c r="AD26" s="993" t="n"/>
      <c r="AE26" s="1521">
        <f>AD26*4.42</f>
        <v/>
      </c>
      <c r="AF26" s="1521" t="n"/>
      <c r="AG26" s="1139">
        <f>(D26+F26+H26+J26+L26+P26+R26+V26+X26+N26)+(J27+L27+P27+R27)</f>
        <v/>
      </c>
      <c r="AH26" s="1534">
        <f>(E26+G26+I26+K26+M26+Q26+S26+Z26+AA26+W26+Y26+AC26+AE26+AF26+O26)+(K27+M27+Q27+S27)</f>
        <v/>
      </c>
      <c r="AI26" s="108" t="inlineStr">
        <is>
          <t xml:space="preserve">    </t>
        </is>
      </c>
      <c r="AJ26" s="108" t="n"/>
      <c r="AK26" s="108" t="n"/>
      <c r="AL26" s="108" t="n"/>
      <c r="AM26" s="108" t="n"/>
      <c r="AN26" s="108" t="n"/>
      <c r="AO26" s="108" t="n"/>
      <c r="AP26" s="108" t="n"/>
      <c r="AQ26" s="108" t="n"/>
      <c r="AR26" s="108" t="n"/>
      <c r="AS26" s="108" t="n"/>
      <c r="AT26" s="108" t="n"/>
      <c r="AU26" s="108" t="n"/>
      <c r="AV26" s="108" t="n"/>
      <c r="AW26" s="108" t="n"/>
      <c r="AX26" s="108" t="n"/>
      <c r="AY26" s="108" t="n"/>
      <c r="AZ26" s="108" t="n"/>
      <c r="BA26" s="108" t="n"/>
      <c r="BB26" s="108" t="n"/>
      <c r="BC26" s="108" t="n"/>
      <c r="BD26" s="108" t="n"/>
      <c r="BE26" s="108" t="n"/>
      <c r="BF26" s="108" t="n"/>
      <c r="BG26" s="108" t="n"/>
      <c r="BH26" s="108" t="n"/>
      <c r="BI26" s="109" t="n"/>
    </row>
    <row r="27" ht="13.5" customHeight="1" s="2" thickBot="1">
      <c r="A27" s="947" t="n"/>
      <c r="B27" s="948" t="n"/>
      <c r="C27" s="1535" t="n">
        <v>29.45</v>
      </c>
      <c r="D27" s="1141" t="n"/>
      <c r="E27" s="1536" t="n"/>
      <c r="F27" s="1143" t="n"/>
      <c r="G27" s="1536" t="n"/>
      <c r="H27" s="1143" t="n"/>
      <c r="I27" s="1536" t="n"/>
      <c r="J27" s="1012" t="n"/>
      <c r="K27" s="1537">
        <f>C27*1.5*J27</f>
        <v/>
      </c>
      <c r="L27" s="1012" t="n"/>
      <c r="M27" s="1538">
        <f>C27*1.75*L27</f>
        <v/>
      </c>
      <c r="N27" s="1145" t="n"/>
      <c r="O27" s="1536" t="n"/>
      <c r="P27" s="1012" t="n"/>
      <c r="Q27" s="1537">
        <f>C27*2*P27</f>
        <v/>
      </c>
      <c r="R27" s="1146" t="n"/>
      <c r="S27" s="1538">
        <f>C27*2.25*R27</f>
        <v/>
      </c>
      <c r="T27" s="1143" t="n"/>
      <c r="U27" s="1536" t="n"/>
      <c r="V27" s="1143" t="n"/>
      <c r="W27" s="1536" t="n"/>
      <c r="X27" s="1143" t="n"/>
      <c r="Y27" s="1539" t="n"/>
      <c r="Z27" s="1540" t="n"/>
      <c r="AA27" s="1541" t="n"/>
      <c r="AB27" s="1150" t="n"/>
      <c r="AC27" s="1521">
        <f>AB27*2.95</f>
        <v/>
      </c>
      <c r="AD27" s="1152" t="n"/>
      <c r="AE27" s="1521">
        <f>AD27*4.42</f>
        <v/>
      </c>
      <c r="AF27" s="1521" t="n"/>
      <c r="AG27" s="1153" t="n"/>
      <c r="AH27" s="1542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  <c r="AV27" s="108" t="n"/>
      <c r="AW27" s="108" t="n"/>
      <c r="AX27" s="108" t="n"/>
      <c r="AY27" s="108" t="n"/>
      <c r="AZ27" s="108" t="n"/>
      <c r="BA27" s="108" t="n"/>
      <c r="BB27" s="108" t="n"/>
      <c r="BC27" s="108" t="n"/>
      <c r="BD27" s="108" t="n"/>
      <c r="BE27" s="108" t="n"/>
      <c r="BF27" s="108" t="n"/>
      <c r="BG27" s="108" t="n"/>
      <c r="BH27" s="108" t="n"/>
      <c r="BI27" s="109" t="n"/>
    </row>
    <row r="28" ht="12.75" customHeight="1" s="2" thickBot="1">
      <c r="A28" s="132" t="inlineStr">
        <is>
          <t>KHATRI, Sanjay</t>
        </is>
      </c>
      <c r="B28" s="1045" t="inlineStr">
        <is>
          <t>SAL</t>
        </is>
      </c>
      <c r="C28" s="1520" t="n">
        <v>37.45</v>
      </c>
      <c r="D28" s="1022" t="n">
        <v>36.5</v>
      </c>
      <c r="E28" s="1521">
        <f>C28*D28</f>
        <v/>
      </c>
      <c r="F28" s="704" t="n"/>
      <c r="G28" s="1521">
        <f>C28*1.25*F28</f>
        <v/>
      </c>
      <c r="H28" s="704" t="n"/>
      <c r="I28" s="1521">
        <f>C28*1.5*H28</f>
        <v/>
      </c>
      <c r="J28" s="704" t="n"/>
      <c r="K28" s="1521">
        <f>C28*1.5*J28</f>
        <v/>
      </c>
      <c r="L28" s="704" t="n"/>
      <c r="M28" s="1521">
        <f>C28*1.75*L28</f>
        <v/>
      </c>
      <c r="N28" s="985" t="n"/>
      <c r="O28" s="1521">
        <f>C28*2*N28</f>
        <v/>
      </c>
      <c r="P28" s="704" t="n"/>
      <c r="Q28" s="1521">
        <f>C28*2*P28</f>
        <v/>
      </c>
      <c r="R28" s="704" t="n"/>
      <c r="S28" s="1521">
        <f>C28*2.25*R28</f>
        <v/>
      </c>
      <c r="T28" s="765" t="n"/>
      <c r="U28" s="1522" t="n"/>
      <c r="V28" s="704" t="n">
        <v>1.5</v>
      </c>
      <c r="W28" s="1521">
        <f>C28*V28</f>
        <v/>
      </c>
      <c r="X28" s="704" t="n"/>
      <c r="Y28" s="1523">
        <f>C28*X28</f>
        <v/>
      </c>
      <c r="Z28" s="1524" t="n">
        <v>15</v>
      </c>
      <c r="AA28" s="1523" t="n"/>
      <c r="AB28" s="989" t="n"/>
      <c r="AC28" s="1521">
        <f>AB28*2.95</f>
        <v/>
      </c>
      <c r="AD28" s="993" t="n"/>
      <c r="AE28" s="1521">
        <f>AD28*4.42</f>
        <v/>
      </c>
      <c r="AF28" s="1521" t="n"/>
      <c r="AG28" s="1139">
        <f>(D28+F28+H28+J28+L28+P28+R28+V28+X28+N28)+(J29+L29+P29+R29)</f>
        <v/>
      </c>
      <c r="AH28" s="1534">
        <f>(E28+G28+I28+K28+M28+Q28+S28+Z28+AA28+W28+Y28+AC28+AE28+AF28+O28)+(K29+M29+Q29+S29)</f>
        <v/>
      </c>
      <c r="AI28" s="91" t="n"/>
      <c r="AJ28" s="91" t="n"/>
      <c r="AK28" s="91" t="n"/>
      <c r="AL28" s="91" t="n"/>
      <c r="AM28" s="91" t="n"/>
      <c r="AN28" s="91" t="n"/>
      <c r="AO28" s="91" t="n"/>
      <c r="AP28" s="91" t="n"/>
      <c r="AQ28" s="91" t="n"/>
      <c r="AR28" s="91" t="n"/>
      <c r="AS28" s="91" t="n"/>
      <c r="AT28" s="91" t="n"/>
      <c r="AU28" s="91" t="n"/>
      <c r="AV28" s="91" t="n"/>
      <c r="AW28" s="91" t="n"/>
      <c r="AX28" s="91" t="n"/>
      <c r="AY28" s="91" t="n"/>
      <c r="AZ28" s="91" t="n"/>
      <c r="BA28" s="91" t="n"/>
      <c r="BB28" s="91" t="n"/>
      <c r="BC28" s="91" t="n"/>
      <c r="BD28" s="91" t="n"/>
      <c r="BE28" s="91" t="n"/>
      <c r="BF28" s="91" t="n"/>
      <c r="BG28" s="91" t="n"/>
      <c r="BH28" s="91" t="n"/>
      <c r="BI28" s="590" t="n"/>
    </row>
    <row r="29" ht="12" customHeight="1" s="2" thickBot="1">
      <c r="A29" s="947" t="n"/>
      <c r="B29" s="948" t="n"/>
      <c r="C29" s="1535" t="n">
        <v>29.45</v>
      </c>
      <c r="D29" s="1141" t="n"/>
      <c r="E29" s="1536" t="n"/>
      <c r="F29" s="1143" t="n"/>
      <c r="G29" s="1536" t="n"/>
      <c r="H29" s="1143" t="n"/>
      <c r="I29" s="1536" t="n"/>
      <c r="J29" s="1012" t="n"/>
      <c r="K29" s="1537">
        <f>C29*1.5*J29</f>
        <v/>
      </c>
      <c r="L29" s="1012" t="n"/>
      <c r="M29" s="1538">
        <f>C29*1.75*L29</f>
        <v/>
      </c>
      <c r="N29" s="1145" t="n"/>
      <c r="O29" s="1536" t="n"/>
      <c r="P29" s="1012" t="n"/>
      <c r="Q29" s="1537">
        <f>C29*2*P29</f>
        <v/>
      </c>
      <c r="R29" s="1146" t="n"/>
      <c r="S29" s="1538">
        <f>C29*2.25*R29</f>
        <v/>
      </c>
      <c r="T29" s="1143" t="n"/>
      <c r="U29" s="1536" t="n"/>
      <c r="V29" s="1143" t="n"/>
      <c r="W29" s="1536" t="n"/>
      <c r="X29" s="1143" t="n"/>
      <c r="Y29" s="1539" t="n"/>
      <c r="Z29" s="1540" t="n"/>
      <c r="AA29" s="1541" t="n"/>
      <c r="AB29" s="1150" t="n"/>
      <c r="AC29" s="1521">
        <f>AB29*2.95</f>
        <v/>
      </c>
      <c r="AD29" s="1152" t="n"/>
      <c r="AE29" s="1521">
        <f>AD29*4.42</f>
        <v/>
      </c>
      <c r="AF29" s="1521" t="n"/>
      <c r="AG29" s="1153" t="n"/>
      <c r="AH29" s="1542" t="n"/>
      <c r="AI29" s="91" t="n"/>
      <c r="AJ29" s="91" t="n"/>
      <c r="AK29" s="91" t="n"/>
      <c r="AL29" s="91" t="n"/>
      <c r="AM29" s="91" t="n"/>
      <c r="AN29" s="91" t="n"/>
      <c r="AO29" s="91" t="n"/>
      <c r="AP29" s="91" t="n"/>
      <c r="AQ29" s="91" t="n"/>
      <c r="AR29" s="91" t="n"/>
      <c r="AS29" s="91" t="n"/>
      <c r="AT29" s="91" t="n"/>
      <c r="AU29" s="91" t="n"/>
      <c r="AV29" s="91" t="n"/>
      <c r="AW29" s="91" t="n"/>
      <c r="AX29" s="91" t="n"/>
      <c r="AY29" s="91" t="n"/>
      <c r="AZ29" s="91" t="n"/>
      <c r="BA29" s="91" t="n"/>
      <c r="BB29" s="91" t="n"/>
      <c r="BC29" s="91" t="n"/>
      <c r="BD29" s="91" t="n"/>
      <c r="BE29" s="91" t="n"/>
      <c r="BF29" s="91" t="n"/>
      <c r="BG29" s="91" t="n"/>
      <c r="BH29" s="91" t="n"/>
      <c r="BI29" s="590" t="n"/>
    </row>
    <row r="30" ht="12.75" customHeight="1" s="2">
      <c r="A30" s="944" t="inlineStr">
        <is>
          <t>MAHMUD M M Ferdous</t>
        </is>
      </c>
      <c r="B30" s="945" t="inlineStr">
        <is>
          <t>SAL</t>
        </is>
      </c>
      <c r="C30" s="1547" t="n">
        <v>37.45</v>
      </c>
      <c r="D30" s="1001" t="n">
        <v>37.5</v>
      </c>
      <c r="E30" s="1531">
        <f>C30*D30</f>
        <v/>
      </c>
      <c r="F30" s="786" t="n"/>
      <c r="G30" s="1531">
        <f>C30*1.25*F30</f>
        <v/>
      </c>
      <c r="H30" s="786" t="n"/>
      <c r="I30" s="1531">
        <f>C30*1.5*H30</f>
        <v/>
      </c>
      <c r="J30" s="786" t="n"/>
      <c r="K30" s="1531">
        <f>C30*1.5*J30</f>
        <v/>
      </c>
      <c r="L30" s="786" t="n"/>
      <c r="M30" s="1531">
        <f>C30*1.75*L30</f>
        <v/>
      </c>
      <c r="N30" s="1003" t="n"/>
      <c r="O30" s="1531">
        <f>C30*2*N30</f>
        <v/>
      </c>
      <c r="P30" s="786" t="n"/>
      <c r="Q30" s="1531">
        <f>C30*2*P30</f>
        <v/>
      </c>
      <c r="R30" s="786" t="n"/>
      <c r="S30" s="1531">
        <f>C30*2.25*R30</f>
        <v/>
      </c>
      <c r="T30" s="1026" t="n"/>
      <c r="U30" s="1548" t="n"/>
      <c r="V30" s="786" t="n"/>
      <c r="W30" s="1531">
        <f>C30*V30</f>
        <v/>
      </c>
      <c r="X30" s="786" t="n">
        <v>0.5</v>
      </c>
      <c r="Y30" s="1549">
        <f>C30*X30</f>
        <v/>
      </c>
      <c r="Z30" s="1550" t="n">
        <v>15</v>
      </c>
      <c r="AA30" s="1549" t="n"/>
      <c r="AB30" s="1008" t="n"/>
      <c r="AC30" s="1521">
        <f>AB30*2.95</f>
        <v/>
      </c>
      <c r="AD30" s="1009" t="n"/>
      <c r="AE30" s="1521">
        <f>AD30*4.42</f>
        <v/>
      </c>
      <c r="AF30" s="1521" t="n"/>
      <c r="AG30" s="1010">
        <f>(D30+F30+H30+J30+L30+P30+R30+V30+X30+N30)+(J31+L31+P31+R31)</f>
        <v/>
      </c>
      <c r="AH30" s="1551">
        <f>(E30+G30+I30+K30+M30+Q30+S30+Z30+AA30+W30+Y30+AC30+AE30+AF30+O30)+(K31+M31+Q31+S31)</f>
        <v/>
      </c>
      <c r="AI30" s="108" t="n"/>
      <c r="AJ30" s="108" t="n"/>
      <c r="AK30" s="108" t="n"/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  <c r="AV30" s="108" t="n"/>
      <c r="AW30" s="108" t="n"/>
      <c r="AX30" s="108" t="n"/>
      <c r="AY30" s="108" t="n"/>
      <c r="AZ30" s="108" t="n"/>
      <c r="BA30" s="108" t="n"/>
      <c r="BB30" s="108" t="n"/>
      <c r="BC30" s="108" t="n"/>
      <c r="BD30" s="108" t="n"/>
      <c r="BE30" s="108" t="n"/>
      <c r="BF30" s="108" t="n"/>
      <c r="BG30" s="108" t="n"/>
      <c r="BH30" s="108" t="n"/>
      <c r="BI30" s="109" t="n"/>
    </row>
    <row r="31" ht="13.5" customHeight="1" s="2" thickBot="1">
      <c r="A31" s="1156" t="n"/>
      <c r="B31" s="948" t="n"/>
      <c r="C31" s="1535" t="n">
        <v>29.45</v>
      </c>
      <c r="D31" s="1119" t="n"/>
      <c r="E31" s="1552" t="n"/>
      <c r="F31" s="1121" t="n"/>
      <c r="G31" s="1552" t="n"/>
      <c r="H31" s="1121" t="n"/>
      <c r="I31" s="1552" t="n"/>
      <c r="J31" s="1012" t="n"/>
      <c r="K31" s="1537">
        <f>C31*1.5*J31</f>
        <v/>
      </c>
      <c r="L31" s="1012" t="n"/>
      <c r="M31" s="1537">
        <f>C31*1.75*L31</f>
        <v/>
      </c>
      <c r="N31" s="1023" t="n"/>
      <c r="O31" s="1553" t="n"/>
      <c r="P31" s="1012" t="n"/>
      <c r="Q31" s="1537">
        <f>C31*2*P31</f>
        <v/>
      </c>
      <c r="R31" s="1012" t="n"/>
      <c r="S31" s="1537">
        <f>C31*2.25*R31</f>
        <v/>
      </c>
      <c r="T31" s="950" t="n"/>
      <c r="U31" s="1553" t="n"/>
      <c r="V31" s="950" t="n"/>
      <c r="W31" s="1553" t="n"/>
      <c r="X31" s="950" t="n"/>
      <c r="Y31" s="1554" t="n"/>
      <c r="Z31" s="1555" t="n"/>
      <c r="AA31" s="1554" t="n"/>
      <c r="AB31" s="1016" t="n"/>
      <c r="AC31" s="1521">
        <f>AB31*2.95</f>
        <v/>
      </c>
      <c r="AD31" s="1018" t="n"/>
      <c r="AE31" s="1521">
        <f>AD31*4.42</f>
        <v/>
      </c>
      <c r="AF31" s="1521" t="n"/>
      <c r="AG31" s="1019" t="n"/>
      <c r="AH31" s="1556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  <c r="AV31" s="108" t="n"/>
      <c r="AW31" s="108" t="n"/>
      <c r="AX31" s="108" t="n"/>
      <c r="AY31" s="108" t="n"/>
      <c r="AZ31" s="108" t="n"/>
      <c r="BA31" s="108" t="n"/>
      <c r="BB31" s="108" t="n"/>
      <c r="BC31" s="108" t="n"/>
      <c r="BD31" s="108" t="n"/>
      <c r="BE31" s="108" t="n"/>
      <c r="BF31" s="108" t="n"/>
      <c r="BG31" s="108" t="n"/>
      <c r="BH31" s="108" t="n"/>
      <c r="BI31" s="109" t="n"/>
    </row>
    <row r="32" ht="12.75" customHeight="1" s="2">
      <c r="A32" s="132" t="inlineStr">
        <is>
          <t>MAJOHR, Jolie</t>
        </is>
      </c>
      <c r="B32" s="588" t="n">
        <v>2</v>
      </c>
      <c r="C32" s="1520" t="n">
        <v>27.08</v>
      </c>
      <c r="D32" s="933" t="n"/>
      <c r="E32" s="1522">
        <f>C32*D32</f>
        <v/>
      </c>
      <c r="F32" s="704" t="n"/>
      <c r="G32" s="1521">
        <f>C32*1.25*F32</f>
        <v/>
      </c>
      <c r="H32" s="704" t="n">
        <v>5</v>
      </c>
      <c r="I32" s="1521">
        <f>C32*1.5*H32</f>
        <v/>
      </c>
      <c r="J32" s="704" t="n"/>
      <c r="K32" s="1521">
        <f>C32*1.5*J32</f>
        <v/>
      </c>
      <c r="L32" s="704" t="n">
        <v>7</v>
      </c>
      <c r="M32" s="1521">
        <f>C32*1.75*L32</f>
        <v/>
      </c>
      <c r="N32" s="985" t="n"/>
      <c r="O32" s="1521">
        <f>C32*2*N32</f>
        <v/>
      </c>
      <c r="P32" s="704" t="n"/>
      <c r="Q32" s="1521">
        <f>C32*2*P32</f>
        <v/>
      </c>
      <c r="R32" s="765" t="n"/>
      <c r="S32" s="1522">
        <f>C32*2.25*R32</f>
        <v/>
      </c>
      <c r="T32" s="1465" t="n"/>
      <c r="U32" s="1564" t="n"/>
      <c r="V32" s="765" t="n"/>
      <c r="W32" s="1522">
        <f>C32*V32</f>
        <v/>
      </c>
      <c r="X32" s="765" t="n"/>
      <c r="Y32" s="1546">
        <f>C32*X32</f>
        <v/>
      </c>
      <c r="Z32" s="1524" t="n">
        <v>4.6</v>
      </c>
      <c r="AA32" s="1523" t="n"/>
      <c r="AB32" s="989" t="n"/>
      <c r="AC32" s="1521">
        <f>AB32*2.95</f>
        <v/>
      </c>
      <c r="AD32" s="993" t="n"/>
      <c r="AE32" s="1521">
        <f>AD32*4.42</f>
        <v/>
      </c>
      <c r="AF32" s="1521" t="n"/>
      <c r="AG32" s="991">
        <f>D32+F32+H32+J32+L32+P32+R32+V32+X32+N32</f>
        <v/>
      </c>
      <c r="AH32" s="1525">
        <f>E32+G32+I32+K32+M32+Q32+S32+Z32+AA32+W32+Y32+AC32+AE32+AF32+O32+U32</f>
        <v/>
      </c>
      <c r="AI32" s="108" t="n"/>
      <c r="AJ32" s="108" t="n"/>
      <c r="AK32" s="108" t="n"/>
      <c r="AL32" s="108" t="n"/>
      <c r="AM32" s="108" t="n"/>
      <c r="AN32" s="108" t="n"/>
      <c r="AO32" s="108" t="n"/>
      <c r="AP32" s="108" t="n"/>
      <c r="AQ32" s="108" t="n"/>
      <c r="AR32" s="108" t="n"/>
      <c r="AS32" s="108" t="n"/>
      <c r="AT32" s="108" t="n"/>
      <c r="AU32" s="108" t="n"/>
      <c r="AV32" s="108" t="n"/>
      <c r="AW32" s="108" t="n"/>
      <c r="AX32" s="108" t="n"/>
      <c r="AY32" s="108" t="n"/>
      <c r="AZ32" s="108" t="n"/>
      <c r="BA32" s="108" t="n"/>
      <c r="BB32" s="108" t="n"/>
      <c r="BC32" s="108" t="n"/>
      <c r="BD32" s="108" t="n"/>
      <c r="BE32" s="108" t="n"/>
      <c r="BF32" s="108" t="n"/>
      <c r="BG32" s="108" t="n"/>
      <c r="BH32" s="108" t="n"/>
      <c r="BI32" s="109" t="n"/>
    </row>
    <row r="33" ht="12.75" customHeight="1" s="2">
      <c r="A33" s="132" t="inlineStr">
        <is>
          <t>MALLA, Kajal</t>
        </is>
      </c>
      <c r="B33" s="588" t="n">
        <v>2</v>
      </c>
      <c r="C33" s="1520" t="n">
        <v>27.08</v>
      </c>
      <c r="D33" s="1022" t="n">
        <v>20.5</v>
      </c>
      <c r="E33" s="1521">
        <f>C33*D33</f>
        <v/>
      </c>
      <c r="F33" s="704" t="n">
        <v>7.5</v>
      </c>
      <c r="G33" s="1521">
        <f>C33*1.25*F33</f>
        <v/>
      </c>
      <c r="H33" s="704" t="n">
        <v>5</v>
      </c>
      <c r="I33" s="1521">
        <f>C33*1.5*H33</f>
        <v/>
      </c>
      <c r="J33" s="704" t="n"/>
      <c r="K33" s="1521">
        <f>C33*1.5*J33</f>
        <v/>
      </c>
      <c r="L33" s="704" t="n"/>
      <c r="M33" s="1521">
        <f>C33*1.75*L33</f>
        <v/>
      </c>
      <c r="N33" s="985" t="n"/>
      <c r="O33" s="1521">
        <f>C33*2*N33</f>
        <v/>
      </c>
      <c r="P33" s="704" t="n"/>
      <c r="Q33" s="1521">
        <f>C33*2*P33</f>
        <v/>
      </c>
      <c r="R33" s="704" t="n"/>
      <c r="S33" s="1521">
        <f>C33*2.25*R33</f>
        <v/>
      </c>
      <c r="T33" s="765" t="n"/>
      <c r="U33" s="1522" t="n"/>
      <c r="V33" s="704" t="n"/>
      <c r="W33" s="1521">
        <f>C33*V33</f>
        <v/>
      </c>
      <c r="X33" s="704" t="n"/>
      <c r="Y33" s="1523">
        <f>C33*X33</f>
        <v/>
      </c>
      <c r="Z33" s="1524" t="n">
        <v>6.9</v>
      </c>
      <c r="AA33" s="1523" t="n"/>
      <c r="AB33" s="989" t="n"/>
      <c r="AC33" s="1521">
        <f>AB33*2.95</f>
        <v/>
      </c>
      <c r="AD33" s="993" t="n"/>
      <c r="AE33" s="1521">
        <f>AD33*4.42</f>
        <v/>
      </c>
      <c r="AF33" s="1521" t="n">
        <v>11.2</v>
      </c>
      <c r="AG33" s="991">
        <f>D33+F33+H33+J33+L33+P33+R33+V33+X33+N33</f>
        <v/>
      </c>
      <c r="AH33" s="1525">
        <f>E33+G33+I33+K33+M33+Q33+S33+Z33+AA33+W33+Y33+AC33+AE33+AF33+O33</f>
        <v/>
      </c>
      <c r="AI33" s="91" t="n"/>
      <c r="AJ33" s="91" t="n"/>
      <c r="AK33" s="91" t="n"/>
      <c r="AL33" s="91" t="n"/>
      <c r="AM33" s="91" t="n"/>
      <c r="AN33" s="91" t="n"/>
      <c r="AO33" s="91" t="n"/>
      <c r="AP33" s="91" t="n"/>
      <c r="AQ33" s="91" t="n"/>
      <c r="AR33" s="91" t="n"/>
      <c r="AS33" s="91" t="n"/>
      <c r="AT33" s="91" t="n"/>
      <c r="AU33" s="91" t="n"/>
      <c r="AV33" s="91" t="n"/>
      <c r="AW33" s="91" t="n"/>
      <c r="AX33" s="91" t="n"/>
      <c r="AY33" s="91" t="n"/>
      <c r="AZ33" s="91" t="n"/>
      <c r="BA33" s="91" t="n"/>
      <c r="BB33" s="91" t="n"/>
      <c r="BC33" s="91" t="n"/>
      <c r="BD33" s="91" t="n"/>
      <c r="BE33" s="91" t="n"/>
      <c r="BF33" s="91" t="n"/>
      <c r="BG33" s="91" t="n"/>
      <c r="BH33" s="91" t="n"/>
      <c r="BI33" s="590" t="n"/>
    </row>
    <row r="34" ht="13.5" customHeight="1" s="2" thickBot="1">
      <c r="A34" s="132" t="inlineStr">
        <is>
          <t>RAHMAN, Mahinur</t>
        </is>
      </c>
      <c r="B34" s="588" t="n">
        <v>2</v>
      </c>
      <c r="C34" s="1520" t="n">
        <v>27.08</v>
      </c>
      <c r="D34" s="1444" t="n"/>
      <c r="E34" s="1522">
        <f>C34*D34</f>
        <v/>
      </c>
      <c r="F34" s="983" t="n"/>
      <c r="G34" s="1521">
        <f>C34*1.25*F34</f>
        <v/>
      </c>
      <c r="H34" s="704" t="n"/>
      <c r="I34" s="1521">
        <f>C34*1.5*H34</f>
        <v/>
      </c>
      <c r="J34" s="704" t="n"/>
      <c r="K34" s="1521">
        <f>C34*1.5*J34</f>
        <v/>
      </c>
      <c r="L34" s="984" t="n"/>
      <c r="M34" s="1521">
        <f>C34*1.75*L34</f>
        <v/>
      </c>
      <c r="N34" s="1445" t="n"/>
      <c r="O34" s="1522">
        <f>C34*2*N34</f>
        <v/>
      </c>
      <c r="P34" s="704" t="n"/>
      <c r="Q34" s="1521">
        <f>C34*2*P34</f>
        <v/>
      </c>
      <c r="R34" s="704" t="n"/>
      <c r="S34" s="1521">
        <f>C34*2.25*R34</f>
        <v/>
      </c>
      <c r="T34" s="704" t="n"/>
      <c r="U34" s="1521">
        <f>C34*2.5*T34</f>
        <v/>
      </c>
      <c r="V34" s="765" t="n"/>
      <c r="W34" s="1522">
        <f>C34*V34</f>
        <v/>
      </c>
      <c r="X34" s="765" t="n"/>
      <c r="Y34" s="1546">
        <f>C34*X34</f>
        <v/>
      </c>
      <c r="Z34" s="1524" t="n"/>
      <c r="AA34" s="1523" t="n"/>
      <c r="AB34" s="989" t="n"/>
      <c r="AC34" s="1521">
        <f>AB34*2.95</f>
        <v/>
      </c>
      <c r="AD34" s="993" t="n"/>
      <c r="AE34" s="1521">
        <f>AD34*4.42</f>
        <v/>
      </c>
      <c r="AF34" s="1521" t="n"/>
      <c r="AG34" s="991">
        <f>D34+F34+H34+J34+L34+P34+R34+T34+X34+N34</f>
        <v/>
      </c>
      <c r="AH34" s="1525">
        <f>E34+G34+I34+K34+M34+Q34+S34+Z34+AA34+U34+Y34+AC34+AE34+AF34+O34</f>
        <v/>
      </c>
      <c r="AI34" s="91" t="n"/>
      <c r="AJ34" s="91" t="n"/>
      <c r="AK34" s="91" t="n"/>
      <c r="AL34" s="91" t="n"/>
      <c r="AM34" s="91" t="n"/>
      <c r="AN34" s="91" t="n"/>
      <c r="AO34" s="91" t="n"/>
      <c r="AP34" s="91" t="n"/>
      <c r="AQ34" s="91" t="n"/>
      <c r="AR34" s="91" t="n"/>
      <c r="AS34" s="91" t="n"/>
      <c r="AT34" s="91" t="n"/>
      <c r="AU34" s="91" t="n"/>
      <c r="AV34" s="91" t="n"/>
      <c r="AW34" s="91" t="n"/>
      <c r="AX34" s="91" t="n"/>
      <c r="AY34" s="91" t="n"/>
      <c r="AZ34" s="91" t="n"/>
      <c r="BA34" s="91" t="n"/>
      <c r="BB34" s="91" t="n"/>
      <c r="BC34" s="91" t="n"/>
      <c r="BD34" s="91" t="n"/>
      <c r="BE34" s="91" t="n"/>
      <c r="BF34" s="91" t="n"/>
      <c r="BG34" s="91" t="n"/>
      <c r="BH34" s="91" t="n"/>
      <c r="BI34" s="590" t="n"/>
    </row>
    <row r="35" ht="12.75" customHeight="1" s="2">
      <c r="A35" s="1408" t="inlineStr">
        <is>
          <t>RANA, Royal</t>
        </is>
      </c>
      <c r="B35" s="588" t="n">
        <v>2</v>
      </c>
      <c r="C35" s="1520" t="n">
        <v>27.08</v>
      </c>
      <c r="D35" s="1022" t="n">
        <v>21.5</v>
      </c>
      <c r="E35" s="1526">
        <f>C35*D35</f>
        <v/>
      </c>
      <c r="F35" s="704" t="n">
        <v>5</v>
      </c>
      <c r="G35" s="1521">
        <f>C35*1.25*F35</f>
        <v/>
      </c>
      <c r="H35" s="704" t="n"/>
      <c r="I35" s="1521">
        <f>C35*1.5*H35</f>
        <v/>
      </c>
      <c r="J35" s="704" t="n"/>
      <c r="K35" s="1521">
        <f>C35*1.5*J35</f>
        <v/>
      </c>
      <c r="L35" s="704" t="n"/>
      <c r="M35" s="1521">
        <f>C35*1.75*L35</f>
        <v/>
      </c>
      <c r="N35" s="985" t="n"/>
      <c r="O35" s="1521">
        <f>C35*2*N35</f>
        <v/>
      </c>
      <c r="P35" s="704" t="n"/>
      <c r="Q35" s="1521">
        <f>C35*2*P35</f>
        <v/>
      </c>
      <c r="R35" s="704" t="n"/>
      <c r="S35" s="1521">
        <f>C35*2.25*R35</f>
        <v/>
      </c>
      <c r="T35" s="765" t="n"/>
      <c r="U35" s="1522">
        <f>C35*2.5*T35</f>
        <v/>
      </c>
      <c r="V35" s="704" t="n"/>
      <c r="W35" s="1527">
        <f>C35*V35</f>
        <v/>
      </c>
      <c r="X35" s="704" t="n"/>
      <c r="Y35" s="1528">
        <f>C35*X35</f>
        <v/>
      </c>
      <c r="Z35" s="1524" t="n">
        <v>6.9</v>
      </c>
      <c r="AA35" s="1523" t="n"/>
      <c r="AB35" s="989" t="n">
        <v>4</v>
      </c>
      <c r="AC35" s="1521">
        <f>AB35*2.95</f>
        <v/>
      </c>
      <c r="AD35" s="993" t="n">
        <v>2</v>
      </c>
      <c r="AE35" s="1521">
        <f>AD35*4.42</f>
        <v/>
      </c>
      <c r="AF35" s="1521" t="n"/>
      <c r="AG35" s="1035">
        <f>D35+F35+H35+J35+L35+P35+R35+V35+X35+N35+T35</f>
        <v/>
      </c>
      <c r="AH35" s="1525">
        <f>E35+G35+I35+K35+M35+Q35+S35+Z35+AA35+W35+Y35+AC35+AE35+AF35+O35</f>
        <v/>
      </c>
      <c r="AI35" s="91" t="n"/>
      <c r="AJ35" s="91" t="n"/>
      <c r="AK35" s="91" t="n"/>
      <c r="AL35" s="91" t="n"/>
      <c r="AM35" s="91" t="n"/>
      <c r="AN35" s="91" t="n"/>
      <c r="AO35" s="91" t="n"/>
      <c r="AP35" s="91" t="n"/>
      <c r="AQ35" s="91" t="n"/>
      <c r="AR35" s="91" t="n"/>
      <c r="AS35" s="91" t="n"/>
      <c r="AT35" s="91" t="n"/>
      <c r="AU35" s="91" t="n"/>
      <c r="AV35" s="91" t="n"/>
      <c r="AW35" s="91" t="n"/>
      <c r="AX35" s="91" t="n"/>
      <c r="AY35" s="91" t="n"/>
      <c r="AZ35" s="91" t="n"/>
      <c r="BA35" s="91" t="n"/>
      <c r="BB35" s="91" t="n"/>
      <c r="BC35" s="91" t="n"/>
      <c r="BD35" s="91" t="n"/>
      <c r="BE35" s="91" t="n"/>
      <c r="BF35" s="91" t="n"/>
      <c r="BG35" s="91" t="n"/>
      <c r="BH35" s="91" t="n"/>
      <c r="BI35" s="590" t="n"/>
    </row>
    <row r="36" ht="13.5" customHeight="1" s="2" thickBot="1">
      <c r="A36" s="132" t="inlineStr">
        <is>
          <t>SAHA, Oyndrilla</t>
        </is>
      </c>
      <c r="B36" s="588" t="inlineStr">
        <is>
          <t>SUP</t>
        </is>
      </c>
      <c r="C36" s="1520" t="n">
        <v>29.45</v>
      </c>
      <c r="D36" s="981" t="n">
        <v>11</v>
      </c>
      <c r="E36" s="1521">
        <f>C36*D36</f>
        <v/>
      </c>
      <c r="F36" s="983" t="n">
        <v>5</v>
      </c>
      <c r="G36" s="1521">
        <f>C36*1.25*F36</f>
        <v/>
      </c>
      <c r="H36" s="704" t="n">
        <v>7.5</v>
      </c>
      <c r="I36" s="1521">
        <f>C36*1.5*H36</f>
        <v/>
      </c>
      <c r="J36" s="704" t="n"/>
      <c r="K36" s="1521">
        <f>C36*1.5*J36</f>
        <v/>
      </c>
      <c r="L36" s="704" t="n"/>
      <c r="M36" s="1521">
        <f>C36*1.75*L36</f>
        <v/>
      </c>
      <c r="N36" s="985" t="n"/>
      <c r="O36" s="1521">
        <f>C36*2*N36</f>
        <v/>
      </c>
      <c r="P36" s="704" t="n"/>
      <c r="Q36" s="1521">
        <f>C36*2*P36</f>
        <v/>
      </c>
      <c r="R36" s="704" t="n"/>
      <c r="S36" s="1521">
        <f>C36*2.25*R36</f>
        <v/>
      </c>
      <c r="T36" s="960" t="n"/>
      <c r="U36" s="1529" t="n"/>
      <c r="V36" s="704" t="n"/>
      <c r="W36" s="1521">
        <f>C36*V36</f>
        <v/>
      </c>
      <c r="X36" s="704" t="n"/>
      <c r="Y36" s="1523">
        <f>C36*X36</f>
        <v/>
      </c>
      <c r="Z36" s="1524" t="n">
        <v>6.9</v>
      </c>
      <c r="AA36" s="1523" t="n"/>
      <c r="AB36" s="989" t="n"/>
      <c r="AC36" s="1521">
        <f>AB36*2.95</f>
        <v/>
      </c>
      <c r="AD36" s="993" t="n"/>
      <c r="AE36" s="1521">
        <f>AD36*4.42</f>
        <v/>
      </c>
      <c r="AF36" s="1521" t="n"/>
      <c r="AG36" s="991">
        <f>D36+F36+H36+J36+L36+P36+R36+V36+X36+N36</f>
        <v/>
      </c>
      <c r="AH36" s="1525">
        <f>E36+G36+I36+K36+M36+Q36+S36+Z36+AA36+W36+Y36+AC36+AE36+AF36+O36</f>
        <v/>
      </c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  <c r="AV36" s="108" t="n"/>
      <c r="AW36" s="108" t="n"/>
      <c r="AX36" s="108" t="n"/>
      <c r="AY36" s="108" t="n"/>
      <c r="AZ36" s="108" t="n"/>
      <c r="BA36" s="108" t="n"/>
      <c r="BB36" s="108" t="n"/>
      <c r="BC36" s="108" t="n"/>
      <c r="BD36" s="108" t="n"/>
      <c r="BE36" s="108" t="n"/>
      <c r="BF36" s="108" t="n"/>
      <c r="BG36" s="108" t="n"/>
      <c r="BH36" s="108" t="n"/>
      <c r="BI36" s="109" t="n"/>
    </row>
    <row r="37" ht="12.75" customHeight="1" s="2">
      <c r="A37" s="944" t="inlineStr">
        <is>
          <t>SAIYED, Wasim</t>
        </is>
      </c>
      <c r="B37" s="1164" t="inlineStr">
        <is>
          <t>SAL</t>
        </is>
      </c>
      <c r="C37" s="1565" t="n">
        <v>36.81</v>
      </c>
      <c r="D37" s="1001" t="n">
        <v>30.25</v>
      </c>
      <c r="E37" s="1531">
        <f>C37*D37</f>
        <v/>
      </c>
      <c r="F37" s="786" t="n"/>
      <c r="G37" s="1531">
        <f>C37*1.25*F37</f>
        <v/>
      </c>
      <c r="H37" s="1131" t="n"/>
      <c r="I37" s="1527">
        <f>C37*1.5*H37</f>
        <v/>
      </c>
      <c r="J37" s="1131" t="n"/>
      <c r="K37" s="1527">
        <f>C37*1.5*J37</f>
        <v/>
      </c>
      <c r="L37" s="1131" t="n"/>
      <c r="M37" s="1527">
        <f>C37*1.75*L37</f>
        <v/>
      </c>
      <c r="N37" s="1132" t="n"/>
      <c r="O37" s="1527">
        <f>C37*2*N37</f>
        <v/>
      </c>
      <c r="P37" s="1131" t="n"/>
      <c r="Q37" s="1527">
        <f>C37*2*P37</f>
        <v/>
      </c>
      <c r="R37" s="1131" t="n"/>
      <c r="S37" s="1527">
        <f>C37*2.25*R37</f>
        <v/>
      </c>
      <c r="T37" s="1165" t="n"/>
      <c r="U37" s="1566" t="n"/>
      <c r="V37" s="1131" t="n"/>
      <c r="W37" s="1527">
        <f>C37*V37</f>
        <v/>
      </c>
      <c r="X37" s="1131" t="n">
        <v>7.75</v>
      </c>
      <c r="Y37" s="1528">
        <f>C37*X37</f>
        <v/>
      </c>
      <c r="Z37" s="1533" t="n">
        <v>15</v>
      </c>
      <c r="AA37" s="1528" t="n"/>
      <c r="AB37" s="1137" t="n"/>
      <c r="AC37" s="1521">
        <f>AB37*2.95</f>
        <v/>
      </c>
      <c r="AD37" s="1138" t="n"/>
      <c r="AE37" s="1521">
        <f>AD37*4.42</f>
        <v/>
      </c>
      <c r="AF37" s="1521" t="n"/>
      <c r="AG37" s="1139">
        <f>(D37+F37+H37+J37+L37+P37+R37+V37+X37+N37)+(J38+L38+P38+R38)</f>
        <v/>
      </c>
      <c r="AH37" s="1534">
        <f>(E37+G37+I37+K37+M37+Q37+S37+Z37+AA37+W37+Y37+AC37+AE37+AF37+O37)+(K38+M38+Q38+S38)</f>
        <v/>
      </c>
      <c r="AI37" s="108" t="n"/>
      <c r="AJ37" s="108" t="n"/>
      <c r="AK37" s="108" t="n"/>
      <c r="AL37" s="108" t="n"/>
      <c r="AM37" s="108" t="n"/>
      <c r="AN37" s="108" t="n"/>
      <c r="AO37" s="108" t="n"/>
      <c r="AP37" s="108" t="n"/>
      <c r="AQ37" s="108" t="n"/>
      <c r="AR37" s="108" t="n"/>
      <c r="AS37" s="108" t="n"/>
      <c r="AT37" s="108" t="n"/>
      <c r="AU37" s="108" t="n"/>
      <c r="AV37" s="108" t="n"/>
      <c r="AW37" s="108" t="n"/>
      <c r="AX37" s="108" t="n"/>
      <c r="AY37" s="108" t="n"/>
      <c r="AZ37" s="108" t="n"/>
      <c r="BA37" s="108" t="n"/>
      <c r="BB37" s="108" t="n"/>
      <c r="BC37" s="108" t="n"/>
      <c r="BD37" s="108" t="n"/>
      <c r="BE37" s="108" t="n"/>
      <c r="BF37" s="108" t="n"/>
      <c r="BG37" s="108" t="n"/>
      <c r="BH37" s="108" t="n"/>
      <c r="BI37" s="109" t="n"/>
    </row>
    <row r="38" ht="13.5" customHeight="1" s="2" thickBot="1">
      <c r="A38" s="947" t="n"/>
      <c r="B38" s="948" t="n"/>
      <c r="C38" s="1567" t="n">
        <v>29.45</v>
      </c>
      <c r="D38" s="1119" t="n"/>
      <c r="E38" s="1552" t="n"/>
      <c r="F38" s="1121" t="n"/>
      <c r="G38" s="1552" t="n"/>
      <c r="H38" s="950" t="n"/>
      <c r="I38" s="1553" t="n"/>
      <c r="J38" s="1012" t="n"/>
      <c r="K38" s="1537">
        <f>C38*1.5*J38</f>
        <v/>
      </c>
      <c r="L38" s="1012" t="n"/>
      <c r="M38" s="1537">
        <f>C38*1.75*L38</f>
        <v/>
      </c>
      <c r="N38" s="1023" t="n"/>
      <c r="O38" s="1553" t="n"/>
      <c r="P38" s="1012" t="n"/>
      <c r="Q38" s="1537">
        <f>C38*2*P38</f>
        <v/>
      </c>
      <c r="R38" s="1012" t="n"/>
      <c r="S38" s="1537">
        <f>C38*2.25*R38</f>
        <v/>
      </c>
      <c r="T38" s="950" t="n"/>
      <c r="U38" s="1553" t="n"/>
      <c r="V38" s="950" t="n"/>
      <c r="W38" s="1553" t="n"/>
      <c r="X38" s="950" t="n"/>
      <c r="Y38" s="1554" t="n"/>
      <c r="Z38" s="1555" t="n"/>
      <c r="AA38" s="1554" t="n"/>
      <c r="AB38" s="1016" t="n"/>
      <c r="AC38" s="1521">
        <f>AB38*2.95</f>
        <v/>
      </c>
      <c r="AD38" s="1018" t="n"/>
      <c r="AE38" s="1521">
        <f>AD38*4.42</f>
        <v/>
      </c>
      <c r="AF38" s="1521" t="n"/>
      <c r="AG38" s="1019" t="n"/>
      <c r="AH38" s="1556" t="n"/>
      <c r="AI38" s="108" t="n"/>
      <c r="AJ38" s="108" t="n"/>
      <c r="AK38" s="108" t="n"/>
      <c r="AL38" s="108" t="n"/>
      <c r="AM38" s="108" t="n"/>
      <c r="AN38" s="108" t="n"/>
      <c r="AO38" s="108" t="n"/>
      <c r="AP38" s="108" t="n"/>
      <c r="AQ38" s="108" t="n"/>
      <c r="AR38" s="108" t="n"/>
      <c r="AS38" s="108" t="n"/>
      <c r="AT38" s="108" t="n"/>
      <c r="AU38" s="108" t="n"/>
      <c r="AV38" s="108" t="n"/>
      <c r="AW38" s="108" t="n"/>
      <c r="AX38" s="108" t="n"/>
      <c r="AY38" s="108" t="n"/>
      <c r="AZ38" s="108" t="n"/>
      <c r="BA38" s="108" t="n"/>
      <c r="BB38" s="108" t="n"/>
      <c r="BC38" s="108" t="n"/>
      <c r="BD38" s="108" t="n"/>
      <c r="BE38" s="108" t="n"/>
      <c r="BF38" s="108" t="n"/>
      <c r="BG38" s="108" t="n"/>
      <c r="BH38" s="108" t="n"/>
      <c r="BI38" s="109" t="n"/>
    </row>
    <row r="39" ht="12.75" customFormat="1" customHeight="1" s="1417">
      <c r="A39" s="1412" t="inlineStr">
        <is>
          <t>SAMIT, Satwat Hossain</t>
        </is>
      </c>
      <c r="B39" s="1162" t="n">
        <v>2</v>
      </c>
      <c r="C39" s="1557" t="n">
        <v>27.97</v>
      </c>
      <c r="D39" s="1155" t="n">
        <v>25.5</v>
      </c>
      <c r="E39" s="1558">
        <f>C39*D39</f>
        <v/>
      </c>
      <c r="F39" s="959" t="n">
        <v>5</v>
      </c>
      <c r="G39" s="1558">
        <f>C39*1.25*F39</f>
        <v/>
      </c>
      <c r="H39" s="959" t="n">
        <v>7.5</v>
      </c>
      <c r="I39" s="1558">
        <f>C39*1.5*H39</f>
        <v/>
      </c>
      <c r="J39" s="959" t="n"/>
      <c r="K39" s="1558">
        <f>C39*1.5*J39</f>
        <v/>
      </c>
      <c r="L39" s="959" t="n"/>
      <c r="M39" s="1558">
        <f>C39*1.75*L39</f>
        <v/>
      </c>
      <c r="N39" s="1030" t="n"/>
      <c r="O39" s="1558">
        <f>C39*2*N39</f>
        <v/>
      </c>
      <c r="P39" s="959" t="n">
        <v>0.25</v>
      </c>
      <c r="Q39" s="1558">
        <f>C39*2*P39</f>
        <v/>
      </c>
      <c r="R39" s="959" t="n"/>
      <c r="S39" s="1558">
        <f>C39*2.25*R39</f>
        <v/>
      </c>
      <c r="T39" s="1413" t="n"/>
      <c r="U39" s="1414" t="n"/>
      <c r="V39" s="959" t="n"/>
      <c r="W39" s="1558">
        <f>C39*V39</f>
        <v/>
      </c>
      <c r="X39" s="959" t="n"/>
      <c r="Y39" s="1560">
        <f>C39*X39</f>
        <v/>
      </c>
      <c r="Z39" s="1561" t="n">
        <v>6.9</v>
      </c>
      <c r="AA39" s="1560" t="n"/>
      <c r="AB39" s="1034" t="n"/>
      <c r="AC39" s="1521">
        <f>AB39*2.95</f>
        <v/>
      </c>
      <c r="AD39" s="1126" t="n"/>
      <c r="AE39" s="1521">
        <f>AD39*4.42</f>
        <v/>
      </c>
      <c r="AF39" s="1521" t="n"/>
      <c r="AG39" s="1035">
        <f>D39+F39+H39+J39+L39+P39+R39+V39+X39+N39</f>
        <v/>
      </c>
      <c r="AH39" s="1568">
        <f>E39+G39+I39+K39+M39+Q39+S39+Z39+AA39+W39+Y39+AC39+AE39+AF39+O39</f>
        <v/>
      </c>
      <c r="AI39" s="91" t="n"/>
      <c r="AJ39" s="91" t="n"/>
      <c r="AK39" s="91" t="n"/>
      <c r="AL39" s="91" t="n"/>
      <c r="AM39" s="91" t="n"/>
      <c r="AN39" s="91" t="n"/>
      <c r="AO39" s="91" t="n"/>
      <c r="AP39" s="91" t="n"/>
      <c r="AQ39" s="91" t="n"/>
      <c r="AR39" s="91" t="n"/>
      <c r="AS39" s="91" t="n"/>
      <c r="AT39" s="91" t="n"/>
      <c r="AU39" s="91" t="n"/>
      <c r="AV39" s="91" t="n"/>
      <c r="AW39" s="91" t="n"/>
      <c r="AX39" s="91" t="n"/>
      <c r="AY39" s="91" t="n"/>
      <c r="AZ39" s="91" t="n"/>
      <c r="BA39" s="91" t="n"/>
      <c r="BB39" s="91" t="n"/>
      <c r="BC39" s="91" t="n"/>
      <c r="BD39" s="91" t="n"/>
      <c r="BE39" s="91" t="n"/>
      <c r="BF39" s="91" t="n"/>
      <c r="BG39" s="91" t="n"/>
      <c r="BH39" s="91" t="n"/>
      <c r="BI39" s="590" t="n"/>
      <c r="BJ39" s="1417" t="n"/>
      <c r="BK39" s="1417" t="n"/>
      <c r="BL39" s="1417" t="n"/>
      <c r="BM39" s="1417" t="n"/>
      <c r="BN39" s="1417" t="n"/>
      <c r="BO39" s="1417" t="n"/>
      <c r="BP39" s="1417" t="n"/>
      <c r="BQ39" s="1417" t="n"/>
      <c r="BR39" s="1417" t="n"/>
      <c r="BS39" s="1417" t="n"/>
      <c r="BT39" s="1417" t="n"/>
      <c r="BU39" s="1417" t="n"/>
      <c r="BV39" s="1417" t="n"/>
      <c r="BW39" s="1417" t="n"/>
      <c r="BX39" s="1417" t="n"/>
      <c r="BY39" s="1417" t="n"/>
      <c r="BZ39" s="1417" t="n"/>
      <c r="CA39" s="1417" t="n"/>
      <c r="CB39" s="1417" t="n"/>
      <c r="CC39" s="1417" t="n"/>
      <c r="CD39" s="1417" t="n"/>
      <c r="CE39" s="1417" t="n"/>
      <c r="CF39" s="1417" t="n"/>
      <c r="CG39" s="1417" t="n"/>
      <c r="CH39" s="1417" t="n"/>
      <c r="CI39" s="1417" t="n"/>
      <c r="CJ39" s="1417" t="n"/>
      <c r="CK39" s="1417" t="n"/>
      <c r="CL39" s="1417" t="n"/>
      <c r="CM39" s="1417" t="n"/>
      <c r="CN39" s="1417" t="n"/>
      <c r="CO39" s="1417" t="n"/>
      <c r="CP39" s="1417" t="n"/>
      <c r="CQ39" s="1417" t="n"/>
      <c r="CR39" s="1417" t="n"/>
      <c r="CS39" s="1417" t="n"/>
      <c r="CT39" s="1417" t="n"/>
      <c r="CU39" s="1417" t="n"/>
      <c r="CV39" s="1417" t="n"/>
      <c r="CW39" s="1417" t="n"/>
      <c r="CX39" s="1417" t="n"/>
      <c r="CY39" s="1417" t="n"/>
      <c r="CZ39" s="1417" t="n"/>
      <c r="DA39" s="1417" t="n"/>
      <c r="DB39" s="1417" t="n"/>
      <c r="DC39" s="1417" t="n"/>
      <c r="DD39" s="1417" t="n"/>
      <c r="DE39" s="1417" t="n"/>
      <c r="DF39" s="1417" t="n"/>
      <c r="DG39" s="1417" t="n"/>
      <c r="DH39" s="1417" t="n"/>
      <c r="DI39" s="1417" t="n"/>
      <c r="DJ39" s="1417" t="n"/>
      <c r="DK39" s="1417" t="n"/>
      <c r="DL39" s="1417" t="n"/>
      <c r="DM39" s="1417" t="n"/>
      <c r="DN39" s="1417" t="n"/>
      <c r="DO39" s="1417" t="n"/>
      <c r="DP39" s="1417" t="n"/>
      <c r="DQ39" s="1417" t="n"/>
      <c r="DR39" s="1417" t="n"/>
      <c r="DS39" s="1417" t="n"/>
      <c r="DT39" s="1417" t="n"/>
      <c r="DU39" s="1417" t="n"/>
      <c r="DV39" s="1417" t="n"/>
      <c r="DW39" s="1417" t="n"/>
      <c r="DX39" s="1417" t="n"/>
      <c r="DY39" s="1417" t="n"/>
      <c r="DZ39" s="1417" t="n"/>
      <c r="EA39" s="1417" t="n"/>
      <c r="EB39" s="1417" t="n"/>
      <c r="EC39" s="1417" t="n"/>
      <c r="ED39" s="1417" t="n"/>
      <c r="EE39" s="1417" t="n"/>
      <c r="EF39" s="1417" t="n"/>
      <c r="EG39" s="1417" t="n"/>
      <c r="EH39" s="1417" t="n"/>
      <c r="EI39" s="1417" t="n"/>
      <c r="EJ39" s="1417" t="n"/>
      <c r="EK39" s="1417" t="n"/>
      <c r="EL39" s="1417" t="n"/>
      <c r="EM39" s="1417" t="n"/>
      <c r="EN39" s="1417" t="n"/>
      <c r="EO39" s="1417" t="n"/>
      <c r="EP39" s="1417" t="n"/>
      <c r="EQ39" s="1417" t="n"/>
      <c r="ER39" s="1417" t="n"/>
      <c r="ES39" s="1417" t="n"/>
      <c r="ET39" s="1417" t="n"/>
      <c r="EU39" s="1417" t="n"/>
      <c r="EV39" s="1417" t="n"/>
      <c r="EW39" s="1417" t="n"/>
      <c r="EX39" s="1417" t="n"/>
      <c r="EY39" s="1417" t="n"/>
      <c r="EZ39" s="1417" t="n"/>
      <c r="FA39" s="1417" t="n"/>
      <c r="FB39" s="1417" t="n"/>
      <c r="FC39" s="1417" t="n"/>
      <c r="FD39" s="1417" t="n"/>
      <c r="FE39" s="1417" t="n"/>
      <c r="FF39" s="1417" t="n"/>
      <c r="FG39" s="1417" t="n"/>
      <c r="FH39" s="1417" t="n"/>
      <c r="FI39" s="1417" t="n"/>
      <c r="FJ39" s="1417" t="n"/>
      <c r="FK39" s="1417" t="n"/>
      <c r="FL39" s="1417" t="n"/>
      <c r="FM39" s="1417" t="n"/>
      <c r="FN39" s="1417" t="n"/>
      <c r="FO39" s="1417" t="n"/>
      <c r="FP39" s="1417" t="n"/>
      <c r="FQ39" s="1417" t="n"/>
      <c r="FR39" s="1417" t="n"/>
      <c r="FS39" s="1417" t="n"/>
      <c r="FT39" s="1417" t="n"/>
      <c r="FU39" s="1417" t="n"/>
      <c r="FV39" s="1417" t="n"/>
      <c r="FW39" s="1417" t="n"/>
      <c r="FX39" s="1417" t="n"/>
      <c r="FY39" s="1417" t="n"/>
      <c r="FZ39" s="1417" t="n"/>
      <c r="GA39" s="1417" t="n"/>
      <c r="GB39" s="1417" t="n"/>
      <c r="GC39" s="1417" t="n"/>
      <c r="GD39" s="1417" t="n"/>
      <c r="GE39" s="1417" t="n"/>
      <c r="GF39" s="1417" t="n"/>
      <c r="GG39" s="1417" t="n"/>
      <c r="GH39" s="1417" t="n"/>
      <c r="GI39" s="1417" t="n"/>
      <c r="GJ39" s="1417" t="n"/>
      <c r="GK39" s="1417" t="n"/>
      <c r="GL39" s="1417" t="n"/>
      <c r="GM39" s="1417" t="n"/>
      <c r="GN39" s="1417" t="n"/>
      <c r="GO39" s="1417" t="n"/>
      <c r="GP39" s="1417" t="n"/>
      <c r="GQ39" s="1417" t="n"/>
      <c r="GR39" s="1417" t="n"/>
      <c r="GS39" s="1417" t="n"/>
      <c r="GT39" s="1417" t="n"/>
      <c r="GU39" s="1417" t="n"/>
      <c r="GV39" s="1417" t="n"/>
      <c r="GW39" s="1417" t="n"/>
      <c r="GX39" s="1417" t="n"/>
      <c r="GY39" s="1417" t="n"/>
      <c r="GZ39" s="1417" t="n"/>
      <c r="HA39" s="1417" t="n"/>
      <c r="HB39" s="1417" t="n"/>
      <c r="HC39" s="1417" t="n"/>
      <c r="HD39" s="1417" t="n"/>
      <c r="HE39" s="1417" t="n"/>
      <c r="HF39" s="1417" t="n"/>
      <c r="HG39" s="1417" t="n"/>
      <c r="HH39" s="1417" t="n"/>
      <c r="HI39" s="1417" t="n"/>
      <c r="HJ39" s="1417" t="n"/>
      <c r="HK39" s="1417" t="n"/>
      <c r="HL39" s="1417" t="n"/>
      <c r="HM39" s="1417" t="n"/>
      <c r="HN39" s="1417" t="n"/>
      <c r="HO39" s="1417" t="n"/>
      <c r="HP39" s="1417" t="n"/>
      <c r="HQ39" s="1417" t="n"/>
      <c r="HR39" s="1417" t="n"/>
      <c r="HS39" s="1417" t="n"/>
      <c r="HT39" s="1417" t="n"/>
      <c r="HU39" s="1417" t="n"/>
      <c r="HV39" s="1417" t="n"/>
      <c r="HW39" s="1417" t="n"/>
      <c r="HX39" s="1417" t="n"/>
      <c r="HY39" s="1417" t="n"/>
      <c r="HZ39" s="1417" t="n"/>
      <c r="IA39" s="1417" t="n"/>
      <c r="IB39" s="1417" t="n"/>
      <c r="IC39" s="1417" t="n"/>
      <c r="ID39" s="1417" t="n"/>
      <c r="IE39" s="1417" t="n"/>
      <c r="IF39" s="1417" t="n"/>
      <c r="IG39" s="1417" t="n"/>
      <c r="IH39" s="1417" t="n"/>
      <c r="II39" s="1417" t="n"/>
      <c r="IJ39" s="1417" t="n"/>
      <c r="IK39" s="1417" t="n"/>
      <c r="IL39" s="1417" t="n"/>
      <c r="IM39" s="1417" t="n"/>
      <c r="IN39" s="1417" t="n"/>
      <c r="IO39" s="1417" t="n"/>
      <c r="IP39" s="1417" t="n"/>
      <c r="IQ39" s="1417" t="n"/>
      <c r="IR39" s="1417" t="n"/>
      <c r="IS39" s="1417" t="n"/>
      <c r="IT39" s="1417" t="n"/>
      <c r="IU39" s="1417" t="n"/>
      <c r="IV39" s="1417" t="n"/>
      <c r="IW39" s="1417" t="n"/>
      <c r="IX39" s="1417" t="n"/>
      <c r="IY39" s="1417" t="n"/>
      <c r="IZ39" s="1417" t="n"/>
    </row>
    <row r="40" ht="12" customFormat="1" customHeight="1" s="1425">
      <c r="A40" s="1418" t="inlineStr">
        <is>
          <t>SHIWAKOTI, Rojal</t>
        </is>
      </c>
      <c r="B40" s="1419" t="inlineStr">
        <is>
          <t>SUP</t>
        </is>
      </c>
      <c r="C40" s="1520" t="n">
        <v>29.85</v>
      </c>
      <c r="D40" s="1022" t="n">
        <v>7</v>
      </c>
      <c r="E40" s="1526">
        <f>C40*D40</f>
        <v/>
      </c>
      <c r="F40" s="704" t="n">
        <v>7.5</v>
      </c>
      <c r="G40" s="1526">
        <f>C40*1.25*F40</f>
        <v/>
      </c>
      <c r="H40" s="704" t="n">
        <v>10</v>
      </c>
      <c r="I40" s="1521">
        <f>C40*1.5*H40</f>
        <v/>
      </c>
      <c r="J40" s="704" t="n"/>
      <c r="K40" s="1521">
        <f>C40*1.5*J40</f>
        <v/>
      </c>
      <c r="L40" s="704" t="n"/>
      <c r="M40" s="1521">
        <f>C40*1.75*L40</f>
        <v/>
      </c>
      <c r="N40" s="985" t="n"/>
      <c r="O40" s="1521">
        <f>C40*2*N40</f>
        <v/>
      </c>
      <c r="P40" s="704" t="n">
        <v>0.25</v>
      </c>
      <c r="Q40" s="1521">
        <f>C40*2*P40</f>
        <v/>
      </c>
      <c r="R40" s="704" t="n"/>
      <c r="S40" s="1521">
        <f>C40*2.25*R40</f>
        <v/>
      </c>
      <c r="T40" s="1420" t="n"/>
      <c r="U40" s="765" t="n"/>
      <c r="V40" s="704" t="n"/>
      <c r="W40" s="1521">
        <f>C40*V40</f>
        <v/>
      </c>
      <c r="X40" s="704" t="n"/>
      <c r="Y40" s="1523">
        <f>C40*X40</f>
        <v/>
      </c>
      <c r="Z40" s="1524" t="n">
        <v>6.9</v>
      </c>
      <c r="AA40" s="1523" t="n">
        <v>15</v>
      </c>
      <c r="AB40" s="989" t="n">
        <v>2</v>
      </c>
      <c r="AC40" s="1521">
        <f>AB40*2.95</f>
        <v/>
      </c>
      <c r="AD40" s="993" t="n">
        <v>1</v>
      </c>
      <c r="AE40" s="1521">
        <f>AD40*4.42</f>
        <v/>
      </c>
      <c r="AF40" s="1521" t="n">
        <v>11.2</v>
      </c>
      <c r="AG40" s="991">
        <f>D40+F40+H40+J40+L40+P40+R40+V40+X40+N40</f>
        <v/>
      </c>
      <c r="AH40" s="1569">
        <f>E40+G40+I40+K40+M40+Q40+S40+Z40+AA40+W40+Y40+AC40+AE40+AF40+O40</f>
        <v/>
      </c>
      <c r="AI40" s="1422" t="n"/>
      <c r="AJ40" s="1422" t="n"/>
      <c r="AK40" s="1422" t="n"/>
      <c r="AL40" s="1422" t="n"/>
      <c r="AM40" s="1422" t="n"/>
      <c r="AN40" s="1422" t="n"/>
      <c r="AO40" s="1422" t="n"/>
      <c r="AP40" s="1422" t="n"/>
      <c r="AQ40" s="1422" t="n"/>
      <c r="AR40" s="1422" t="n"/>
      <c r="AS40" s="1422" t="n"/>
      <c r="AT40" s="1422" t="n"/>
      <c r="AU40" s="1422" t="n"/>
      <c r="AV40" s="1422" t="n"/>
      <c r="AW40" s="1422" t="n"/>
      <c r="AX40" s="1422" t="n"/>
      <c r="AY40" s="1422" t="n"/>
      <c r="AZ40" s="1422" t="n"/>
      <c r="BA40" s="1422" t="n"/>
      <c r="BB40" s="1422" t="n"/>
      <c r="BC40" s="1422" t="n"/>
      <c r="BD40" s="1422" t="n"/>
      <c r="BE40" s="1422" t="n"/>
      <c r="BF40" s="1422" t="n"/>
      <c r="BG40" s="1422" t="n"/>
      <c r="BH40" s="1422" t="n"/>
      <c r="BI40" s="1423" t="n"/>
      <c r="BJ40" s="1425" t="n"/>
      <c r="BK40" s="1425" t="n"/>
      <c r="BL40" s="1425" t="n"/>
      <c r="BM40" s="1425" t="n"/>
      <c r="BN40" s="1425" t="n"/>
      <c r="BO40" s="1425" t="n"/>
      <c r="BP40" s="1425" t="n"/>
      <c r="BQ40" s="1425" t="n"/>
      <c r="BR40" s="1425" t="n"/>
      <c r="BS40" s="1425" t="n"/>
      <c r="BT40" s="1425" t="n"/>
      <c r="BU40" s="1425" t="n"/>
      <c r="BV40" s="1425" t="n"/>
      <c r="BW40" s="1425" t="n"/>
      <c r="BX40" s="1425" t="n"/>
      <c r="BY40" s="1425" t="n"/>
      <c r="BZ40" s="1425" t="n"/>
      <c r="CA40" s="1425" t="n"/>
      <c r="CB40" s="1425" t="n"/>
      <c r="CC40" s="1425" t="n"/>
      <c r="CD40" s="1425" t="n"/>
      <c r="CE40" s="1425" t="n"/>
      <c r="CF40" s="1425" t="n"/>
      <c r="CG40" s="1425" t="n"/>
      <c r="CH40" s="1425" t="n"/>
      <c r="CI40" s="1425" t="n"/>
      <c r="CJ40" s="1425" t="n"/>
      <c r="CK40" s="1425" t="n"/>
      <c r="CL40" s="1425" t="n"/>
      <c r="CM40" s="1425" t="n"/>
      <c r="CN40" s="1425" t="n"/>
      <c r="CO40" s="1425" t="n"/>
      <c r="CP40" s="1425" t="n"/>
      <c r="CQ40" s="1425" t="n"/>
      <c r="CR40" s="1425" t="n"/>
      <c r="CS40" s="1425" t="n"/>
      <c r="CT40" s="1425" t="n"/>
      <c r="CU40" s="1425" t="n"/>
      <c r="CV40" s="1425" t="n"/>
      <c r="CW40" s="1425" t="n"/>
      <c r="CX40" s="1425" t="n"/>
      <c r="CY40" s="1425" t="n"/>
      <c r="CZ40" s="1425" t="n"/>
      <c r="DA40" s="1425" t="n"/>
      <c r="DB40" s="1425" t="n"/>
      <c r="DC40" s="1425" t="n"/>
      <c r="DD40" s="1425" t="n"/>
      <c r="DE40" s="1425" t="n"/>
      <c r="DF40" s="1425" t="n"/>
      <c r="DG40" s="1425" t="n"/>
      <c r="DH40" s="1425" t="n"/>
      <c r="DI40" s="1425" t="n"/>
      <c r="DJ40" s="1425" t="n"/>
      <c r="DK40" s="1425" t="n"/>
      <c r="DL40" s="1425" t="n"/>
      <c r="DM40" s="1425" t="n"/>
      <c r="DN40" s="1425" t="n"/>
      <c r="DO40" s="1425" t="n"/>
      <c r="DP40" s="1425" t="n"/>
      <c r="DQ40" s="1425" t="n"/>
      <c r="DR40" s="1425" t="n"/>
      <c r="DS40" s="1425" t="n"/>
      <c r="DT40" s="1425" t="n"/>
      <c r="DU40" s="1425" t="n"/>
      <c r="DV40" s="1425" t="n"/>
      <c r="DW40" s="1425" t="n"/>
      <c r="DX40" s="1425" t="n"/>
      <c r="DY40" s="1425" t="n"/>
      <c r="DZ40" s="1425" t="n"/>
      <c r="EA40" s="1425" t="n"/>
      <c r="EB40" s="1425" t="n"/>
      <c r="EC40" s="1425" t="n"/>
      <c r="ED40" s="1425" t="n"/>
      <c r="EE40" s="1425" t="n"/>
      <c r="EF40" s="1425" t="n"/>
      <c r="EG40" s="1425" t="n"/>
      <c r="EH40" s="1425" t="n"/>
      <c r="EI40" s="1425" t="n"/>
      <c r="EJ40" s="1425" t="n"/>
      <c r="EK40" s="1425" t="n"/>
      <c r="EL40" s="1425" t="n"/>
      <c r="EM40" s="1425" t="n"/>
      <c r="EN40" s="1425" t="n"/>
      <c r="EO40" s="1425" t="n"/>
      <c r="EP40" s="1425" t="n"/>
      <c r="EQ40" s="1425" t="n"/>
      <c r="ER40" s="1425" t="n"/>
      <c r="ES40" s="1425" t="n"/>
      <c r="ET40" s="1425" t="n"/>
      <c r="EU40" s="1425" t="n"/>
      <c r="EV40" s="1425" t="n"/>
      <c r="EW40" s="1425" t="n"/>
      <c r="EX40" s="1425" t="n"/>
      <c r="EY40" s="1425" t="n"/>
      <c r="EZ40" s="1425" t="n"/>
      <c r="FA40" s="1425" t="n"/>
      <c r="FB40" s="1425" t="n"/>
      <c r="FC40" s="1425" t="n"/>
      <c r="FD40" s="1425" t="n"/>
      <c r="FE40" s="1425" t="n"/>
      <c r="FF40" s="1425" t="n"/>
      <c r="FG40" s="1425" t="n"/>
      <c r="FH40" s="1425" t="n"/>
      <c r="FI40" s="1425" t="n"/>
      <c r="FJ40" s="1425" t="n"/>
      <c r="FK40" s="1425" t="n"/>
      <c r="FL40" s="1425" t="n"/>
      <c r="FM40" s="1425" t="n"/>
      <c r="FN40" s="1425" t="n"/>
      <c r="FO40" s="1425" t="n"/>
      <c r="FP40" s="1425" t="n"/>
      <c r="FQ40" s="1425" t="n"/>
      <c r="FR40" s="1425" t="n"/>
      <c r="FS40" s="1425" t="n"/>
      <c r="FT40" s="1425" t="n"/>
      <c r="FU40" s="1425" t="n"/>
      <c r="FV40" s="1425" t="n"/>
      <c r="FW40" s="1425" t="n"/>
      <c r="FX40" s="1425" t="n"/>
      <c r="FY40" s="1425" t="n"/>
      <c r="FZ40" s="1425" t="n"/>
      <c r="GA40" s="1425" t="n"/>
      <c r="GB40" s="1425" t="n"/>
      <c r="GC40" s="1425" t="n"/>
      <c r="GD40" s="1425" t="n"/>
      <c r="GE40" s="1425" t="n"/>
      <c r="GF40" s="1425" t="n"/>
      <c r="GG40" s="1425" t="n"/>
      <c r="GH40" s="1425" t="n"/>
      <c r="GI40" s="1425" t="n"/>
      <c r="GJ40" s="1425" t="n"/>
      <c r="GK40" s="1425" t="n"/>
      <c r="GL40" s="1425" t="n"/>
      <c r="GM40" s="1425" t="n"/>
      <c r="GN40" s="1425" t="n"/>
      <c r="GO40" s="1425" t="n"/>
      <c r="GP40" s="1425" t="n"/>
      <c r="GQ40" s="1425" t="n"/>
      <c r="GR40" s="1425" t="n"/>
      <c r="GS40" s="1425" t="n"/>
      <c r="GT40" s="1425" t="n"/>
      <c r="GU40" s="1425" t="n"/>
      <c r="GV40" s="1425" t="n"/>
      <c r="GW40" s="1425" t="n"/>
      <c r="GX40" s="1425" t="n"/>
      <c r="GY40" s="1425" t="n"/>
      <c r="GZ40" s="1425" t="n"/>
      <c r="HA40" s="1425" t="n"/>
      <c r="HB40" s="1425" t="n"/>
      <c r="HC40" s="1425" t="n"/>
      <c r="HD40" s="1425" t="n"/>
      <c r="HE40" s="1425" t="n"/>
      <c r="HF40" s="1425" t="n"/>
      <c r="HG40" s="1425" t="n"/>
      <c r="HH40" s="1425" t="n"/>
      <c r="HI40" s="1425" t="n"/>
      <c r="HJ40" s="1425" t="n"/>
      <c r="HK40" s="1425" t="n"/>
      <c r="HL40" s="1425" t="n"/>
      <c r="HM40" s="1425" t="n"/>
      <c r="HN40" s="1425" t="n"/>
      <c r="HO40" s="1425" t="n"/>
      <c r="HP40" s="1425" t="n"/>
      <c r="HQ40" s="1425" t="n"/>
      <c r="HR40" s="1425" t="n"/>
      <c r="HS40" s="1425" t="n"/>
      <c r="HT40" s="1425" t="n"/>
      <c r="HU40" s="1425" t="n"/>
      <c r="HV40" s="1425" t="n"/>
      <c r="HW40" s="1425" t="n"/>
      <c r="HX40" s="1425" t="n"/>
      <c r="HY40" s="1425" t="n"/>
      <c r="HZ40" s="1425" t="n"/>
      <c r="IA40" s="1425" t="n"/>
      <c r="IB40" s="1425" t="n"/>
      <c r="IC40" s="1425" t="n"/>
      <c r="ID40" s="1425" t="n"/>
      <c r="IE40" s="1425" t="n"/>
      <c r="IF40" s="1425" t="n"/>
      <c r="IG40" s="1425" t="n"/>
      <c r="IH40" s="1425" t="n"/>
      <c r="II40" s="1425" t="n"/>
      <c r="IJ40" s="1425" t="n"/>
      <c r="IK40" s="1425" t="n"/>
      <c r="IL40" s="1425" t="n"/>
      <c r="IM40" s="1425" t="n"/>
      <c r="IN40" s="1425" t="n"/>
      <c r="IO40" s="1425" t="n"/>
      <c r="IP40" s="1425" t="n"/>
      <c r="IQ40" s="1425" t="n"/>
      <c r="IR40" s="1425" t="n"/>
      <c r="IS40" s="1425" t="n"/>
      <c r="IT40" s="1425" t="n"/>
      <c r="IU40" s="1425" t="n"/>
      <c r="IV40" s="1425" t="n"/>
      <c r="IW40" s="1425" t="n"/>
      <c r="IX40" s="1425" t="n"/>
      <c r="IY40" s="1425" t="n"/>
      <c r="IZ40" s="1425" t="n"/>
    </row>
    <row r="41" ht="13.5" customHeight="1" s="2" thickBot="1">
      <c r="A41" s="132" t="inlineStr">
        <is>
          <t>SHRESTHA, Anish</t>
        </is>
      </c>
      <c r="B41" s="588" t="n">
        <v>2</v>
      </c>
      <c r="C41" s="1520" t="n">
        <v>27.08</v>
      </c>
      <c r="D41" s="1022" t="n">
        <v>10</v>
      </c>
      <c r="E41" s="1521">
        <f>C41*D41</f>
        <v/>
      </c>
      <c r="F41" s="704" t="n">
        <v>5</v>
      </c>
      <c r="G41" s="1521">
        <f>C41*1.25*F41</f>
        <v/>
      </c>
      <c r="H41" s="704" t="n">
        <v>5</v>
      </c>
      <c r="I41" s="1521">
        <f>C41*1.5*H41</f>
        <v/>
      </c>
      <c r="J41" s="704" t="n">
        <v>1.75</v>
      </c>
      <c r="K41" s="1521">
        <f>C41*1.5*J41</f>
        <v/>
      </c>
      <c r="L41" s="704" t="n"/>
      <c r="M41" s="1521">
        <f>C41*1.75*L41</f>
        <v/>
      </c>
      <c r="N41" s="985" t="n"/>
      <c r="O41" s="1521">
        <f>C41*2*N41</f>
        <v/>
      </c>
      <c r="P41" s="704" t="n"/>
      <c r="Q41" s="1521">
        <f>C41*2*P41</f>
        <v/>
      </c>
      <c r="R41" s="704" t="n"/>
      <c r="S41" s="1521">
        <f>C41*2.25*R41</f>
        <v/>
      </c>
      <c r="T41" s="765" t="n"/>
      <c r="U41" s="1522" t="n"/>
      <c r="V41" s="704" t="n"/>
      <c r="W41" s="1521">
        <f>C41*V41</f>
        <v/>
      </c>
      <c r="X41" s="704" t="n"/>
      <c r="Y41" s="1523">
        <f>C41*X41</f>
        <v/>
      </c>
      <c r="Z41" s="1524" t="n">
        <v>6.9</v>
      </c>
      <c r="AA41" s="1523" t="n"/>
      <c r="AB41" s="989" t="n"/>
      <c r="AC41" s="1521">
        <f>AB41*2.95</f>
        <v/>
      </c>
      <c r="AD41" s="993" t="n"/>
      <c r="AE41" s="1521">
        <f>AD41*4.42</f>
        <v/>
      </c>
      <c r="AF41" s="1521" t="n"/>
      <c r="AG41" s="991">
        <f>D41+F41+H41+J41+L41+P41+R41+V41+X41+N41</f>
        <v/>
      </c>
      <c r="AH41" s="1525">
        <f>E41+G41+I41+K41+M41+Q41+S41+Z41+AA41+W41+Y41+AC41+AE41+AF41+O41+U41</f>
        <v/>
      </c>
      <c r="AI41" s="108" t="n"/>
      <c r="AJ41" s="108" t="n"/>
      <c r="AK41" s="108" t="n"/>
      <c r="AL41" s="108" t="n"/>
      <c r="AM41" s="108" t="n"/>
      <c r="AN41" s="108" t="n"/>
      <c r="AO41" s="108" t="n"/>
      <c r="AP41" s="108" t="n"/>
      <c r="AQ41" s="108" t="n"/>
      <c r="AR41" s="108" t="n"/>
      <c r="AS41" s="108" t="n"/>
      <c r="AT41" s="108" t="n"/>
      <c r="AU41" s="108" t="n"/>
      <c r="AV41" s="108" t="n"/>
      <c r="AW41" s="108" t="n"/>
      <c r="AX41" s="108" t="n"/>
      <c r="AY41" s="108" t="n"/>
      <c r="AZ41" s="108" t="n"/>
      <c r="BA41" s="108" t="n"/>
      <c r="BB41" s="108" t="n"/>
      <c r="BC41" s="108" t="n"/>
      <c r="BD41" s="108" t="n"/>
      <c r="BE41" s="108" t="n"/>
      <c r="BF41" s="108" t="n"/>
      <c r="BG41" s="108" t="n"/>
      <c r="BH41" s="108" t="n"/>
      <c r="BI41" s="109" t="n"/>
    </row>
    <row r="42" ht="12.75" customHeight="1" s="2">
      <c r="A42" s="944" t="inlineStr">
        <is>
          <t>SHRESTHA, Nikita</t>
        </is>
      </c>
      <c r="B42" s="945" t="inlineStr">
        <is>
          <t>SAL</t>
        </is>
      </c>
      <c r="C42" s="1547" t="n">
        <v>37.45</v>
      </c>
      <c r="D42" s="1001" t="n">
        <v>39</v>
      </c>
      <c r="E42" s="1531">
        <f>C42*D42</f>
        <v/>
      </c>
      <c r="F42" s="786" t="n"/>
      <c r="G42" s="1531">
        <f>C42*1.25*F42</f>
        <v/>
      </c>
      <c r="H42" s="786" t="n"/>
      <c r="I42" s="1531">
        <f>C42*1.5*H42</f>
        <v/>
      </c>
      <c r="J42" s="786" t="n"/>
      <c r="K42" s="1531">
        <f>C42*1.5*J42</f>
        <v/>
      </c>
      <c r="L42" s="786" t="n"/>
      <c r="M42" s="1531">
        <f>C42*1.75*L42</f>
        <v/>
      </c>
      <c r="N42" s="1003" t="n"/>
      <c r="O42" s="1531">
        <f>C42*2*N42</f>
        <v/>
      </c>
      <c r="P42" s="786" t="n"/>
      <c r="Q42" s="1531">
        <f>C42*2*P42</f>
        <v/>
      </c>
      <c r="R42" s="786" t="n"/>
      <c r="S42" s="1531">
        <f>C42*2.25*R42</f>
        <v/>
      </c>
      <c r="T42" s="1026" t="n"/>
      <c r="U42" s="1548" t="n"/>
      <c r="V42" s="786" t="n"/>
      <c r="W42" s="1531">
        <f>C42*V42</f>
        <v/>
      </c>
      <c r="X42" s="786" t="n"/>
      <c r="Y42" s="1549">
        <f>C42*X42</f>
        <v/>
      </c>
      <c r="Z42" s="1550" t="n">
        <v>15</v>
      </c>
      <c r="AA42" s="1549" t="n"/>
      <c r="AB42" s="1008" t="n"/>
      <c r="AC42" s="1521">
        <f>AB42*2.95</f>
        <v/>
      </c>
      <c r="AD42" s="1009" t="n"/>
      <c r="AE42" s="1521">
        <f>AD42*4.42</f>
        <v/>
      </c>
      <c r="AF42" s="1521" t="n"/>
      <c r="AG42" s="1139">
        <f>(D42+F42+H42+J42+L42+P42+R42+V42+X42+N42)+(J43+L43+P43+R43)</f>
        <v/>
      </c>
      <c r="AH42" s="1534">
        <f>(E42+G42+I42+K42+M42+Q42+S42+Z42+AA42+W42+Y42+AC42+AE42+AF42+O42)+(K43+M43+Q43+S43)</f>
        <v/>
      </c>
      <c r="AI42" s="91" t="n"/>
      <c r="AJ42" s="91" t="n"/>
      <c r="AK42" s="91" t="n"/>
      <c r="AL42" s="91" t="n"/>
      <c r="AM42" s="91" t="n"/>
      <c r="AN42" s="91" t="n"/>
      <c r="AO42" s="91" t="n"/>
      <c r="AP42" s="91" t="n"/>
      <c r="AQ42" s="91" t="n"/>
      <c r="AR42" s="91" t="n"/>
      <c r="AS42" s="91" t="n"/>
      <c r="AT42" s="91" t="n"/>
      <c r="AU42" s="91" t="n"/>
      <c r="AV42" s="91" t="n"/>
      <c r="AW42" s="91" t="n"/>
      <c r="AX42" s="91" t="n"/>
      <c r="AY42" s="91" t="n"/>
      <c r="AZ42" s="91" t="n"/>
      <c r="BA42" s="91" t="n"/>
      <c r="BB42" s="91" t="n"/>
      <c r="BC42" s="91" t="n"/>
      <c r="BD42" s="91" t="n"/>
      <c r="BE42" s="91" t="n"/>
      <c r="BF42" s="91" t="n"/>
      <c r="BG42" s="91" t="n"/>
      <c r="BH42" s="91" t="n"/>
      <c r="BI42" s="590" t="n"/>
    </row>
    <row r="43" ht="12" customHeight="1" s="2" thickBot="1">
      <c r="A43" s="1156" t="n"/>
      <c r="B43" s="948" t="n"/>
      <c r="C43" s="1535" t="n">
        <v>29.45</v>
      </c>
      <c r="D43" s="1119" t="n"/>
      <c r="E43" s="1552" t="n"/>
      <c r="F43" s="1121" t="n"/>
      <c r="G43" s="1552" t="n"/>
      <c r="H43" s="1121" t="n"/>
      <c r="I43" s="1552" t="n"/>
      <c r="J43" s="1012" t="n"/>
      <c r="K43" s="1537">
        <f>C43*1.5*J43</f>
        <v/>
      </c>
      <c r="L43" s="1012" t="n"/>
      <c r="M43" s="1537">
        <f>C43*1.75*L43</f>
        <v/>
      </c>
      <c r="N43" s="1023" t="n"/>
      <c r="O43" s="1553" t="n"/>
      <c r="P43" s="1012" t="n"/>
      <c r="Q43" s="1537">
        <f>C43*2*P43</f>
        <v/>
      </c>
      <c r="R43" s="1012" t="n"/>
      <c r="S43" s="1537">
        <f>C43*2.25*R43</f>
        <v/>
      </c>
      <c r="T43" s="950" t="n"/>
      <c r="U43" s="1553" t="n"/>
      <c r="V43" s="950" t="n"/>
      <c r="W43" s="1553" t="n"/>
      <c r="X43" s="950" t="n"/>
      <c r="Y43" s="1554" t="n"/>
      <c r="Z43" s="1555" t="n"/>
      <c r="AA43" s="1554" t="n"/>
      <c r="AB43" s="1016" t="n"/>
      <c r="AC43" s="1521">
        <f>AB43*2.95</f>
        <v/>
      </c>
      <c r="AD43" s="1018" t="n"/>
      <c r="AE43" s="1521">
        <f>AD43*4.42</f>
        <v/>
      </c>
      <c r="AF43" s="1521" t="n"/>
      <c r="AG43" s="1019" t="n"/>
      <c r="AH43" s="1556" t="n"/>
      <c r="AI43" s="91" t="n"/>
      <c r="AJ43" s="91" t="n"/>
      <c r="AK43" s="91" t="n"/>
      <c r="AL43" s="91" t="n"/>
      <c r="AM43" s="91" t="n"/>
      <c r="AN43" s="91" t="n"/>
      <c r="AO43" s="91" t="n"/>
      <c r="AP43" s="91" t="n"/>
      <c r="AQ43" s="91" t="n"/>
      <c r="AR43" s="91" t="n"/>
      <c r="AS43" s="91" t="n"/>
      <c r="AT43" s="91" t="n"/>
      <c r="AU43" s="91" t="n"/>
      <c r="AV43" s="91" t="n"/>
      <c r="AW43" s="91" t="n"/>
      <c r="AX43" s="91" t="n"/>
      <c r="AY43" s="91" t="n"/>
      <c r="AZ43" s="91" t="n"/>
      <c r="BA43" s="91" t="n"/>
      <c r="BB43" s="91" t="n"/>
      <c r="BC43" s="91" t="n"/>
      <c r="BD43" s="91" t="n"/>
      <c r="BE43" s="91" t="n"/>
      <c r="BF43" s="91" t="n"/>
      <c r="BG43" s="91" t="n"/>
      <c r="BH43" s="91" t="n"/>
      <c r="BI43" s="590" t="n"/>
    </row>
    <row r="44" ht="12.75" customHeight="1" s="2">
      <c r="A44" s="132" t="inlineStr">
        <is>
          <t>SHRESTHA Rojan</t>
        </is>
      </c>
      <c r="B44" s="588" t="inlineStr">
        <is>
          <t>SAL</t>
        </is>
      </c>
      <c r="C44" s="1520" t="n">
        <v>37.45</v>
      </c>
      <c r="D44" s="1022" t="n">
        <v>42</v>
      </c>
      <c r="E44" s="1521">
        <f>C44*D44</f>
        <v/>
      </c>
      <c r="F44" s="704" t="n"/>
      <c r="G44" s="1521">
        <f>C44*1.25*F44</f>
        <v/>
      </c>
      <c r="H44" s="704" t="n"/>
      <c r="I44" s="1521">
        <f>C44*1.5*H44</f>
        <v/>
      </c>
      <c r="J44" s="704" t="n"/>
      <c r="K44" s="1521">
        <f>C44*1.5*J44</f>
        <v/>
      </c>
      <c r="L44" s="704" t="n"/>
      <c r="M44" s="1521">
        <f>C44*1.75*L44</f>
        <v/>
      </c>
      <c r="N44" s="985" t="n"/>
      <c r="O44" s="1521">
        <f>C44*2*N44</f>
        <v/>
      </c>
      <c r="P44" s="704" t="n"/>
      <c r="Q44" s="1521">
        <f>C44*2*P44</f>
        <v/>
      </c>
      <c r="R44" s="704" t="n"/>
      <c r="S44" s="1521">
        <f>C44*2.25*R44</f>
        <v/>
      </c>
      <c r="T44" s="1072" t="n"/>
      <c r="U44" s="1522" t="n"/>
      <c r="V44" s="704" t="n"/>
      <c r="W44" s="1521">
        <f>C44*V44</f>
        <v/>
      </c>
      <c r="X44" s="704" t="n"/>
      <c r="Y44" s="1523">
        <f>C44*X44</f>
        <v/>
      </c>
      <c r="Z44" s="1524" t="n">
        <v>15</v>
      </c>
      <c r="AA44" s="1523" t="n"/>
      <c r="AB44" s="989" t="n"/>
      <c r="AC44" s="1521">
        <f>AB44*2.95</f>
        <v/>
      </c>
      <c r="AD44" s="993" t="n"/>
      <c r="AE44" s="1521">
        <f>AD44*4.42</f>
        <v/>
      </c>
      <c r="AF44" s="1521" t="n"/>
      <c r="AG44" s="1139">
        <f>(D44+F44+H44+J44+L44+P44+R44+V44+X44+N44)+(J45+L45+P45+R45)</f>
        <v/>
      </c>
      <c r="AH44" s="1534">
        <f>(E44+G44+I44+K44+M44+Q44+S44+Z44+AA44+W44+Y44+AC44+AE44+AF44+O44)+(K45+M45+Q45+S45)</f>
        <v/>
      </c>
      <c r="AI44" s="108" t="n"/>
      <c r="AJ44" s="108" t="n"/>
      <c r="AK44" s="108" t="n"/>
      <c r="AL44" s="108" t="n"/>
      <c r="AM44" s="108" t="n"/>
      <c r="AN44" s="108" t="n"/>
      <c r="AO44" s="108" t="n"/>
      <c r="AP44" s="108" t="n"/>
      <c r="AQ44" s="108" t="n"/>
      <c r="AR44" s="108" t="n"/>
      <c r="AS44" s="108" t="n"/>
      <c r="AT44" s="108" t="n"/>
      <c r="AU44" s="108" t="n"/>
      <c r="AV44" s="108" t="n"/>
      <c r="AW44" s="108" t="n"/>
      <c r="AX44" s="108" t="n"/>
      <c r="AY44" s="108" t="n"/>
      <c r="AZ44" s="108" t="n"/>
      <c r="BA44" s="108" t="n"/>
      <c r="BB44" s="108" t="n"/>
      <c r="BC44" s="108" t="n"/>
      <c r="BD44" s="108" t="n"/>
      <c r="BE44" s="108" t="n"/>
      <c r="BF44" s="108" t="n"/>
      <c r="BG44" s="108" t="n"/>
      <c r="BH44" s="108" t="n"/>
      <c r="BI44" s="109" t="n"/>
    </row>
    <row r="45" ht="13.5" customHeight="1" s="2" thickBot="1">
      <c r="A45" s="1156" t="n"/>
      <c r="B45" s="948" t="n"/>
      <c r="C45" s="1535" t="n">
        <v>29.45</v>
      </c>
      <c r="D45" s="1119" t="n"/>
      <c r="E45" s="1552" t="n"/>
      <c r="F45" s="1121" t="n"/>
      <c r="G45" s="1552" t="n"/>
      <c r="H45" s="1121" t="n"/>
      <c r="I45" s="1552" t="n"/>
      <c r="J45" s="1012" t="n"/>
      <c r="K45" s="1537">
        <f>C45*1.5*J45</f>
        <v/>
      </c>
      <c r="L45" s="1012" t="n"/>
      <c r="M45" s="1537">
        <f>C45*1.75*L45</f>
        <v/>
      </c>
      <c r="N45" s="1023" t="n"/>
      <c r="O45" s="1553" t="n"/>
      <c r="P45" s="1012" t="n"/>
      <c r="Q45" s="1537">
        <f>C45*2*P45</f>
        <v/>
      </c>
      <c r="R45" s="1012" t="n"/>
      <c r="S45" s="1537">
        <f>C45*2.25*R45</f>
        <v/>
      </c>
      <c r="T45" s="950" t="n"/>
      <c r="U45" s="1553" t="n"/>
      <c r="V45" s="950" t="n"/>
      <c r="W45" s="1553" t="n"/>
      <c r="X45" s="950" t="n"/>
      <c r="Y45" s="1554" t="n"/>
      <c r="Z45" s="1555" t="n"/>
      <c r="AA45" s="1554" t="n"/>
      <c r="AB45" s="1016" t="n"/>
      <c r="AC45" s="1521">
        <f>AB45*2.95</f>
        <v/>
      </c>
      <c r="AD45" s="1018" t="n"/>
      <c r="AE45" s="1521">
        <f>AD45*4.42</f>
        <v/>
      </c>
      <c r="AF45" s="1521" t="n"/>
      <c r="AG45" s="1019" t="n"/>
      <c r="AH45" s="1556" t="n"/>
      <c r="AI45" s="108" t="n"/>
      <c r="AJ45" s="108" t="n"/>
      <c r="AK45" s="108" t="n"/>
      <c r="AL45" s="108" t="n"/>
      <c r="AM45" s="108" t="n"/>
      <c r="AN45" s="108" t="n"/>
      <c r="AO45" s="108" t="n"/>
      <c r="AP45" s="108" t="n"/>
      <c r="AQ45" s="108" t="n"/>
      <c r="AR45" s="108" t="n"/>
      <c r="AS45" s="108" t="n"/>
      <c r="AT45" s="108" t="n"/>
      <c r="AU45" s="108" t="n"/>
      <c r="AV45" s="108" t="n"/>
      <c r="AW45" s="108" t="n"/>
      <c r="AX45" s="108" t="n"/>
      <c r="AY45" s="108" t="n"/>
      <c r="AZ45" s="108" t="n"/>
      <c r="BA45" s="108" t="n"/>
      <c r="BB45" s="108" t="n"/>
      <c r="BC45" s="108" t="n"/>
      <c r="BD45" s="108" t="n"/>
      <c r="BE45" s="108" t="n"/>
      <c r="BF45" s="108" t="n"/>
      <c r="BG45" s="108" t="n"/>
      <c r="BH45" s="108" t="n"/>
      <c r="BI45" s="109" t="n"/>
    </row>
    <row r="46" ht="12.75" customHeight="1" s="2">
      <c r="A46" s="1408" t="inlineStr">
        <is>
          <t>SHRESTHA, Roji</t>
        </is>
      </c>
      <c r="B46" s="588" t="n">
        <v>2</v>
      </c>
      <c r="C46" s="1520" t="n">
        <v>27.08</v>
      </c>
      <c r="D46" s="1022" t="n">
        <v>10</v>
      </c>
      <c r="E46" s="1526">
        <f>C46*D46</f>
        <v/>
      </c>
      <c r="F46" s="704" t="n">
        <v>7.5</v>
      </c>
      <c r="G46" s="1521">
        <f>C46*1.25*F46</f>
        <v/>
      </c>
      <c r="H46" s="704" t="n">
        <v>7.5</v>
      </c>
      <c r="I46" s="1521">
        <f>C46*1.5*H46</f>
        <v/>
      </c>
      <c r="J46" s="704" t="n"/>
      <c r="K46" s="1521">
        <f>C46*1.5*J46</f>
        <v/>
      </c>
      <c r="L46" s="704" t="n"/>
      <c r="M46" s="1521">
        <f>C46*1.75*L46</f>
        <v/>
      </c>
      <c r="N46" s="985" t="n"/>
      <c r="O46" s="1521">
        <f>C46*2*N46</f>
        <v/>
      </c>
      <c r="P46" s="704" t="n">
        <v>1</v>
      </c>
      <c r="Q46" s="1521">
        <f>C46*2*P46</f>
        <v/>
      </c>
      <c r="R46" s="704" t="n"/>
      <c r="S46" s="1521">
        <f>C46*2.25*R46</f>
        <v/>
      </c>
      <c r="T46" s="765" t="n"/>
      <c r="U46" s="1522">
        <f>C46*2.5*T46</f>
        <v/>
      </c>
      <c r="V46" s="704" t="n"/>
      <c r="W46" s="1527">
        <f>C46*V46</f>
        <v/>
      </c>
      <c r="X46" s="704" t="n"/>
      <c r="Y46" s="1528">
        <f>C46*X46</f>
        <v/>
      </c>
      <c r="Z46" s="1524" t="n">
        <v>6.9</v>
      </c>
      <c r="AA46" s="1523" t="n"/>
      <c r="AB46" s="989" t="n">
        <v>1</v>
      </c>
      <c r="AC46" s="1521">
        <f>AB46*2.95</f>
        <v/>
      </c>
      <c r="AD46" s="993" t="n"/>
      <c r="AE46" s="1521">
        <f>AD46*4.42</f>
        <v/>
      </c>
      <c r="AF46" s="1521" t="n"/>
      <c r="AG46" s="1035">
        <f>D46+F46+H46+J46+L46+P46+R46+V46+X46+N46+T46</f>
        <v/>
      </c>
      <c r="AH46" s="1525">
        <f>E46+G46+I46+K46+M46+Q46+S46+Z46+AA46+W46+Y46+AC46+AE46+AF46+O46</f>
        <v/>
      </c>
      <c r="AI46" s="91" t="n"/>
      <c r="AJ46" s="91" t="n"/>
      <c r="AK46" s="91" t="n"/>
      <c r="AL46" s="91" t="n"/>
      <c r="AM46" s="91" t="n"/>
      <c r="AN46" s="91" t="n"/>
      <c r="AO46" s="91" t="n"/>
      <c r="AP46" s="91" t="n"/>
      <c r="AQ46" s="91" t="n"/>
      <c r="AR46" s="91" t="n"/>
      <c r="AS46" s="91" t="n"/>
      <c r="AT46" s="91" t="n"/>
      <c r="AU46" s="91" t="n"/>
      <c r="AV46" s="91" t="n"/>
      <c r="AW46" s="91" t="n"/>
      <c r="AX46" s="91" t="n"/>
      <c r="AY46" s="91" t="n"/>
      <c r="AZ46" s="91" t="n"/>
      <c r="BA46" s="91" t="n"/>
      <c r="BB46" s="91" t="n"/>
      <c r="BC46" s="91" t="n"/>
      <c r="BD46" s="91" t="n"/>
      <c r="BE46" s="91" t="n"/>
      <c r="BF46" s="91" t="n"/>
      <c r="BG46" s="91" t="n"/>
      <c r="BH46" s="91" t="n"/>
      <c r="BI46" s="590" t="n"/>
    </row>
    <row r="47" ht="12.75" customHeight="1" s="2">
      <c r="A47" s="132" t="inlineStr">
        <is>
          <t>TAMANG, Chandraman</t>
        </is>
      </c>
      <c r="B47" s="588" t="inlineStr">
        <is>
          <t>CAS</t>
        </is>
      </c>
      <c r="C47" s="1520" t="n">
        <v>27.97</v>
      </c>
      <c r="D47" s="933" t="n"/>
      <c r="E47" s="1522" t="n"/>
      <c r="F47" s="704" t="n">
        <v>16</v>
      </c>
      <c r="G47" s="1521">
        <f>C47*1.25*F47</f>
        <v/>
      </c>
      <c r="H47" s="704" t="n">
        <v>6</v>
      </c>
      <c r="I47" s="1521">
        <f>C47*1.5*H47</f>
        <v/>
      </c>
      <c r="J47" s="704" t="n"/>
      <c r="K47" s="1521">
        <f>C47*1.5*J47</f>
        <v/>
      </c>
      <c r="L47" s="704" t="n">
        <v>9.5</v>
      </c>
      <c r="M47" s="1521">
        <f>C47*1.75*L47</f>
        <v/>
      </c>
      <c r="N47" s="985" t="n">
        <v>0.25</v>
      </c>
      <c r="O47" s="1521">
        <f>C47*2*N47</f>
        <v/>
      </c>
      <c r="P47" s="704" t="n"/>
      <c r="Q47" s="1521">
        <f>C47*2*P47</f>
        <v/>
      </c>
      <c r="R47" s="765" t="n"/>
      <c r="S47" s="1522" t="n"/>
      <c r="T47" s="704" t="n"/>
      <c r="U47" s="1521">
        <f>C47*2.5*T47</f>
        <v/>
      </c>
      <c r="V47" s="765" t="n"/>
      <c r="W47" s="1522" t="n"/>
      <c r="X47" s="765" t="n"/>
      <c r="Y47" s="1546" t="n"/>
      <c r="Z47" s="1524" t="n">
        <v>6.9</v>
      </c>
      <c r="AA47" s="1523" t="n"/>
      <c r="AB47" s="989" t="n">
        <v>2</v>
      </c>
      <c r="AC47" s="1521">
        <f>AB47*2.95</f>
        <v/>
      </c>
      <c r="AD47" s="993" t="n"/>
      <c r="AE47" s="1521">
        <f>AD47*4.42</f>
        <v/>
      </c>
      <c r="AF47" s="1521" t="n"/>
      <c r="AG47" s="991">
        <f>D47+F47+H47+J47+L47+P47+R47+V47+X47+N47+T47</f>
        <v/>
      </c>
      <c r="AH47" s="1525">
        <f>E47+G47+I47+K47+M47+Q47+S47+Z47+AA47+W47+Y47+AC47+AE47+AF47+O47+U47</f>
        <v/>
      </c>
      <c r="AI47" s="91" t="n"/>
      <c r="AJ47" s="91" t="n"/>
      <c r="AK47" s="91" t="n"/>
      <c r="AL47" s="91" t="n"/>
      <c r="AM47" s="91" t="n"/>
      <c r="AN47" s="91" t="n"/>
      <c r="AO47" s="91" t="n"/>
      <c r="AP47" s="91" t="n"/>
      <c r="AQ47" s="91" t="n"/>
      <c r="AR47" s="91" t="n"/>
      <c r="AS47" s="91" t="n"/>
      <c r="AT47" s="91" t="n"/>
      <c r="AU47" s="91" t="n"/>
      <c r="AV47" s="91" t="n"/>
      <c r="AW47" s="91" t="n"/>
      <c r="AX47" s="91" t="n"/>
      <c r="AY47" s="91" t="n"/>
      <c r="AZ47" s="91" t="n"/>
      <c r="BA47" s="91" t="n"/>
      <c r="BB47" s="91" t="n"/>
      <c r="BC47" s="91" t="n"/>
      <c r="BD47" s="91" t="n"/>
      <c r="BE47" s="91" t="n"/>
      <c r="BF47" s="91" t="n"/>
      <c r="BG47" s="91" t="n"/>
      <c r="BH47" s="91" t="n"/>
      <c r="BI47" s="590" t="n"/>
    </row>
    <row r="48" ht="12.75" customHeight="1" s="2">
      <c r="A48" s="132" t="inlineStr">
        <is>
          <t>TAMANG, Prajwol</t>
        </is>
      </c>
      <c r="B48" s="588" t="n">
        <v>2</v>
      </c>
      <c r="C48" s="1520" t="n">
        <v>27.08</v>
      </c>
      <c r="D48" s="1022" t="n">
        <v>9.5</v>
      </c>
      <c r="E48" s="1521">
        <f>C48*D48</f>
        <v/>
      </c>
      <c r="F48" s="704" t="n">
        <v>5</v>
      </c>
      <c r="G48" s="1521">
        <f>C48*1.25*F48</f>
        <v/>
      </c>
      <c r="H48" s="704" t="n"/>
      <c r="I48" s="1521">
        <f>C48*1.5*H48</f>
        <v/>
      </c>
      <c r="J48" s="704" t="n"/>
      <c r="K48" s="1521">
        <f>C48*1.5*J48</f>
        <v/>
      </c>
      <c r="L48" s="704" t="n"/>
      <c r="M48" s="1521">
        <f>C48*1.75*L48</f>
        <v/>
      </c>
      <c r="N48" s="985" t="n"/>
      <c r="O48" s="1521">
        <f>C48*2*N48</f>
        <v/>
      </c>
      <c r="P48" s="704" t="n"/>
      <c r="Q48" s="1521">
        <f>C48*2*P48</f>
        <v/>
      </c>
      <c r="R48" s="704" t="n"/>
      <c r="S48" s="1521">
        <f>C48*2.25*R48</f>
        <v/>
      </c>
      <c r="T48" s="765" t="n"/>
      <c r="U48" s="1522" t="n"/>
      <c r="V48" s="704" t="n"/>
      <c r="W48" s="1521">
        <f>C48*V48</f>
        <v/>
      </c>
      <c r="X48" s="704" t="n"/>
      <c r="Y48" s="1523">
        <f>C48*X48</f>
        <v/>
      </c>
      <c r="Z48" s="1524" t="n">
        <v>4.6</v>
      </c>
      <c r="AA48" s="1523" t="n"/>
      <c r="AB48" s="989" t="n">
        <v>1</v>
      </c>
      <c r="AC48" s="1521">
        <f>AB48*2.95</f>
        <v/>
      </c>
      <c r="AD48" s="993" t="n"/>
      <c r="AE48" s="1521">
        <f>AD48*4.42</f>
        <v/>
      </c>
      <c r="AF48" s="1521" t="n"/>
      <c r="AG48" s="991">
        <f>D48+F48+H48+J48+L48+P48+R48+V48+X48+N48</f>
        <v/>
      </c>
      <c r="AH48" s="1525">
        <f>E48+G48+I48+K48+M48+Q48+S48+Z48+AA48+W48+Y48+AC48+AE48+AF48+O48+U48</f>
        <v/>
      </c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  <c r="AS48" s="108" t="n"/>
      <c r="AT48" s="108" t="n"/>
      <c r="AU48" s="108" t="n"/>
      <c r="AV48" s="108" t="n"/>
      <c r="AW48" s="108" t="n"/>
      <c r="AX48" s="108" t="n"/>
      <c r="AY48" s="108" t="n"/>
      <c r="AZ48" s="108" t="n"/>
      <c r="BA48" s="108" t="n"/>
      <c r="BB48" s="108" t="n"/>
      <c r="BC48" s="108" t="n"/>
      <c r="BD48" s="108" t="n"/>
      <c r="BE48" s="108" t="n"/>
      <c r="BF48" s="108" t="n"/>
      <c r="BG48" s="108" t="n"/>
      <c r="BH48" s="108" t="n"/>
      <c r="BI48" s="109" t="n"/>
    </row>
    <row r="49" ht="12.75" customHeight="1" s="2">
      <c r="A49" s="1125" t="inlineStr">
        <is>
          <t>THAPALIYA, Sirish</t>
        </is>
      </c>
      <c r="B49" s="1162" t="inlineStr">
        <is>
          <t xml:space="preserve">CAS </t>
        </is>
      </c>
      <c r="C49" s="1570" t="n">
        <v>27.97</v>
      </c>
      <c r="D49" s="1349" t="n"/>
      <c r="E49" s="1544">
        <f>C49*D49</f>
        <v/>
      </c>
      <c r="F49" s="703" t="n">
        <v>17.5</v>
      </c>
      <c r="G49" s="1558">
        <f>C49*1.25*F49</f>
        <v/>
      </c>
      <c r="H49" s="703" t="n">
        <v>7.5</v>
      </c>
      <c r="I49" s="1516">
        <f>C49*1.5*H49</f>
        <v/>
      </c>
      <c r="J49" s="703" t="n"/>
      <c r="K49" s="1516">
        <f>C49*1.5*J49</f>
        <v/>
      </c>
      <c r="L49" s="703" t="n">
        <v>6.5</v>
      </c>
      <c r="M49" s="1516">
        <f>C49*1.75*L49</f>
        <v/>
      </c>
      <c r="N49" s="974" t="n"/>
      <c r="O49" s="1516">
        <f>C49*2*N49</f>
        <v/>
      </c>
      <c r="P49" s="703" t="n"/>
      <c r="Q49" s="1516">
        <f>C49*2*P49</f>
        <v/>
      </c>
      <c r="R49" s="943" t="n"/>
      <c r="S49" s="1545">
        <f>C49*2.25*R49</f>
        <v/>
      </c>
      <c r="T49" s="704" t="n"/>
      <c r="U49" s="1521">
        <f>C49*2.5*T49</f>
        <v/>
      </c>
      <c r="V49" s="943" t="n"/>
      <c r="W49" s="1545">
        <f>C49*V49</f>
        <v/>
      </c>
      <c r="X49" s="943" t="n"/>
      <c r="Y49" s="1571">
        <f>C49*X49</f>
        <v/>
      </c>
      <c r="Z49" s="1518" t="n">
        <v>6.9</v>
      </c>
      <c r="AA49" s="1517" t="n"/>
      <c r="AB49" s="977" t="n"/>
      <c r="AC49" s="1521">
        <f>AB49*2.95</f>
        <v/>
      </c>
      <c r="AD49" s="1021" t="n"/>
      <c r="AE49" s="1521">
        <f>AD49*4.42</f>
        <v/>
      </c>
      <c r="AF49" s="1521" t="n"/>
      <c r="AG49" s="979">
        <f>D49+F49+H49+J49+L49+P49+R49+V49+X49+N49+T49</f>
        <v/>
      </c>
      <c r="AH49" s="1572">
        <f>E49+G49+I49+K49+M49+Q49+S49+U49+Z49+AA49+W49+Y49+AC49+AE49+AF49+O49</f>
        <v/>
      </c>
      <c r="AI49" s="108" t="n"/>
      <c r="AJ49" s="108" t="n"/>
      <c r="AK49" s="108" t="n"/>
      <c r="AL49" s="108" t="n"/>
      <c r="AM49" s="108" t="n"/>
      <c r="AN49" s="108" t="n"/>
      <c r="AO49" s="108" t="n"/>
      <c r="AP49" s="108" t="n"/>
      <c r="AQ49" s="108" t="n"/>
      <c r="AR49" s="108" t="n"/>
      <c r="AS49" s="108" t="n"/>
      <c r="AT49" s="108" t="n"/>
      <c r="AU49" s="108" t="n"/>
      <c r="AV49" s="108" t="n"/>
      <c r="AW49" s="108" t="n"/>
      <c r="AX49" s="108" t="n"/>
      <c r="AY49" s="108" t="n"/>
      <c r="AZ49" s="108" t="n"/>
      <c r="BA49" s="108" t="n"/>
      <c r="BB49" s="108" t="n"/>
      <c r="BC49" s="108" t="n"/>
      <c r="BD49" s="108" t="n"/>
      <c r="BE49" s="108" t="n"/>
      <c r="BF49" s="108" t="n"/>
      <c r="BG49" s="108" t="n"/>
      <c r="BH49" s="108" t="n"/>
      <c r="BI49" s="109" t="n"/>
    </row>
    <row r="50" ht="15" customHeight="1" s="2" thickBot="1">
      <c r="A50" s="940" t="inlineStr">
        <is>
          <t>TIRTHO, Rafid Mahmud</t>
        </is>
      </c>
      <c r="B50" s="1161" t="n">
        <v>2</v>
      </c>
      <c r="C50" s="1573" t="n">
        <v>27.97</v>
      </c>
      <c r="D50" s="957" t="n">
        <v>20</v>
      </c>
      <c r="E50" s="1526">
        <f>C50*D50</f>
        <v/>
      </c>
      <c r="F50" s="956" t="n">
        <v>8</v>
      </c>
      <c r="G50" s="1526">
        <f>C50*1.25*F50</f>
        <v/>
      </c>
      <c r="H50" s="956" t="n">
        <v>9.5</v>
      </c>
      <c r="I50" s="1526">
        <f>C50*1.5*H50</f>
        <v/>
      </c>
      <c r="J50" s="956" t="n">
        <v>1.5</v>
      </c>
      <c r="K50" s="1526" t="n">
        <v>1.5</v>
      </c>
      <c r="L50" s="956" t="n"/>
      <c r="M50" s="1526">
        <f>C50*1.75*L50</f>
        <v/>
      </c>
      <c r="N50" s="995" t="n">
        <v>0.5</v>
      </c>
      <c r="O50" s="1526">
        <f>C50*2*N50</f>
        <v/>
      </c>
      <c r="P50" s="956" t="n"/>
      <c r="Q50" s="1526">
        <f>C50*2*P50</f>
        <v/>
      </c>
      <c r="R50" s="956" t="n"/>
      <c r="S50" s="1526">
        <f>C50*2.25*R50</f>
        <v/>
      </c>
      <c r="T50" s="1117" t="n"/>
      <c r="U50" s="1574" t="n"/>
      <c r="V50" s="1160" t="n"/>
      <c r="W50" s="1526">
        <f>C50*V50</f>
        <v/>
      </c>
      <c r="X50" s="956" t="n"/>
      <c r="Y50" s="1575">
        <f>C50*X50</f>
        <v/>
      </c>
      <c r="Z50" s="1576" t="n">
        <v>6.9</v>
      </c>
      <c r="AA50" s="1575" t="n"/>
      <c r="AB50" s="998" t="n">
        <v>6</v>
      </c>
      <c r="AC50" s="1521">
        <f>AB50*2.95</f>
        <v/>
      </c>
      <c r="AD50" s="999" t="n">
        <v>2</v>
      </c>
      <c r="AE50" s="1521">
        <f>AD50*4.42</f>
        <v/>
      </c>
      <c r="AF50" s="1521" t="n"/>
      <c r="AG50" s="1000">
        <f>D50+F50+H50+J50+L50+P50+R50+V50+X50+N50</f>
        <v/>
      </c>
      <c r="AH50" s="1577">
        <f>E50+G50+I50+K50+M50+Q50+S50+Z50+AA50+W50+Y50+AC50+AE50+AF50+O50</f>
        <v/>
      </c>
      <c r="AI50" s="108" t="n"/>
      <c r="AJ50" s="108" t="n"/>
      <c r="AK50" s="108" t="n"/>
      <c r="AL50" s="108" t="n"/>
      <c r="AM50" s="108" t="n"/>
      <c r="AN50" s="108" t="n"/>
      <c r="AO50" s="108" t="n"/>
      <c r="AP50" s="108" t="n"/>
      <c r="AQ50" s="108" t="n"/>
      <c r="AR50" s="108" t="n"/>
      <c r="AS50" s="108" t="n"/>
      <c r="AT50" s="108" t="n"/>
      <c r="AU50" s="108" t="n"/>
      <c r="AV50" s="108" t="n"/>
      <c r="AW50" s="108" t="n"/>
      <c r="AX50" s="108" t="n"/>
      <c r="AY50" s="108" t="n"/>
      <c r="AZ50" s="108" t="n"/>
      <c r="BA50" s="108" t="n"/>
      <c r="BB50" s="108" t="n"/>
      <c r="BC50" s="108" t="n"/>
      <c r="BD50" s="108" t="n"/>
      <c r="BE50" s="108" t="n"/>
      <c r="BF50" s="108" t="n"/>
      <c r="BG50" s="108" t="n"/>
      <c r="BH50" s="108" t="n"/>
      <c r="BI50" s="109" t="n"/>
    </row>
    <row r="51" ht="14.1" customHeight="1" s="2" thickBot="1">
      <c r="A51" s="134" t="n"/>
      <c r="B51" s="802" t="n"/>
      <c r="C51" s="1578" t="n"/>
      <c r="D51" s="805">
        <f>SUM(D6:D50)</f>
        <v/>
      </c>
      <c r="E51" s="805">
        <f>SUM(E5:E50)</f>
        <v/>
      </c>
      <c r="F51" s="805">
        <f>SUM(F5:F50)</f>
        <v/>
      </c>
      <c r="G51" s="805">
        <f>SUM(G5:G50)</f>
        <v/>
      </c>
      <c r="H51" s="805">
        <f>SUM(H5:H50)</f>
        <v/>
      </c>
      <c r="I51" s="805">
        <f>SUM(I5:I50)</f>
        <v/>
      </c>
      <c r="J51" s="805">
        <f>SUM(J5:J50)</f>
        <v/>
      </c>
      <c r="K51" s="805">
        <f>SUM(K5:K50)</f>
        <v/>
      </c>
      <c r="L51" s="805">
        <f>SUM(L5:L50)</f>
        <v/>
      </c>
      <c r="M51" s="805">
        <f>SUM(M5:M50)</f>
        <v/>
      </c>
      <c r="N51" s="805">
        <f>SUM(N5:N50)</f>
        <v/>
      </c>
      <c r="O51" s="805">
        <f>SUM(O5:O50)</f>
        <v/>
      </c>
      <c r="P51" s="805">
        <f>SUM(P5:P50)</f>
        <v/>
      </c>
      <c r="Q51" s="805">
        <f>SUM(Q5:Q50)</f>
        <v/>
      </c>
      <c r="R51" s="805">
        <f>SUM(R5:R50)</f>
        <v/>
      </c>
      <c r="S51" s="805">
        <f>SUM(S5:S50)</f>
        <v/>
      </c>
      <c r="T51" s="805">
        <f>SUM(T5:T50)</f>
        <v/>
      </c>
      <c r="U51" s="805">
        <f>SUM(U5:U50)</f>
        <v/>
      </c>
      <c r="V51" s="805">
        <f>SUM(V5:V50)</f>
        <v/>
      </c>
      <c r="W51" s="805">
        <f>SUM(W5:W50)</f>
        <v/>
      </c>
      <c r="X51" s="805">
        <f>SUM(X5:X50)</f>
        <v/>
      </c>
      <c r="Y51" s="805">
        <f>SUM(Y5:Y50)</f>
        <v/>
      </c>
      <c r="Z51" s="805">
        <f>SUM(Z6:Z50)</f>
        <v/>
      </c>
      <c r="AA51" s="1579">
        <f>SUM(AA5:AA50)</f>
        <v/>
      </c>
      <c r="AB51" s="805">
        <f>SUM(AB5:AB50)</f>
        <v/>
      </c>
      <c r="AC51" s="805">
        <f>SUM(AC5:AC50)</f>
        <v/>
      </c>
      <c r="AD51" s="805">
        <f>SUM(AD5:AD50)</f>
        <v/>
      </c>
      <c r="AE51" s="805">
        <f>SUM(AE5:AE50)</f>
        <v/>
      </c>
      <c r="AF51" s="805">
        <f>SUM(AF5:AF50)</f>
        <v/>
      </c>
      <c r="AG51" s="805">
        <f>SUM(AG6:AG50)</f>
        <v/>
      </c>
      <c r="AH51" s="805">
        <f>SUM(AH6:AH50)</f>
        <v/>
      </c>
      <c r="AI51" s="108" t="n"/>
      <c r="AJ51" s="108" t="n"/>
      <c r="AK51" s="108" t="n"/>
      <c r="AL51" s="108" t="n"/>
      <c r="AM51" s="108" t="n"/>
      <c r="AN51" s="108" t="n"/>
      <c r="AO51" s="108" t="n"/>
      <c r="AP51" s="108" t="n"/>
      <c r="AQ51" s="108" t="n"/>
      <c r="AR51" s="108" t="n"/>
      <c r="AS51" s="108" t="n"/>
      <c r="AT51" s="108" t="n"/>
      <c r="AU51" s="108" t="n"/>
      <c r="AV51" s="108" t="n"/>
      <c r="AW51" s="108" t="n"/>
      <c r="AX51" s="108" t="n"/>
      <c r="AY51" s="108" t="n"/>
      <c r="AZ51" s="108" t="n"/>
      <c r="BA51" s="108" t="n"/>
      <c r="BB51" s="108" t="n"/>
      <c r="BC51" s="108" t="n"/>
      <c r="BD51" s="108" t="n"/>
      <c r="BE51" s="108" t="n"/>
      <c r="BF51" s="108" t="n"/>
      <c r="BG51" s="108" t="n"/>
      <c r="BH51" s="108" t="n"/>
      <c r="BI51" s="109" t="n"/>
    </row>
    <row r="52" ht="14.1" customHeight="1" s="2" thickBot="1">
      <c r="A52" s="120" t="n"/>
      <c r="B52" s="803" t="n"/>
      <c r="C52" s="806" t="inlineStr">
        <is>
          <t>CHECK</t>
        </is>
      </c>
      <c r="D52" s="797">
        <f>D51-('Data Sheet'!B50/100)</f>
        <v/>
      </c>
      <c r="E52" s="1580" t="n"/>
      <c r="F52" s="799">
        <f>F51-('Data Sheet'!C50/100)</f>
        <v/>
      </c>
      <c r="G52" s="800" t="n"/>
      <c r="H52" s="799">
        <f>H51-('Data Sheet'!D50/100)</f>
        <v/>
      </c>
      <c r="I52" s="800" t="n"/>
      <c r="J52" s="799">
        <f>J51-('Data Sheet'!E50/100)</f>
        <v/>
      </c>
      <c r="K52" s="800" t="n"/>
      <c r="L52" s="799">
        <f>L51-('Data Sheet'!F50/100)</f>
        <v/>
      </c>
      <c r="M52" s="800" t="n"/>
      <c r="N52" s="799">
        <f>N51-('Data Sheet'!G50/100)</f>
        <v/>
      </c>
      <c r="O52" s="800" t="n"/>
      <c r="P52" s="799">
        <f>P51-('Data Sheet'!H50/100)</f>
        <v/>
      </c>
      <c r="Q52" s="800" t="n"/>
      <c r="R52" s="799">
        <f>R51-('Data Sheet'!I50/100)</f>
        <v/>
      </c>
      <c r="S52" s="800" t="n"/>
      <c r="T52" s="799">
        <f>T51-('Data Sheet'!J50/100)</f>
        <v/>
      </c>
      <c r="U52" s="800" t="n"/>
      <c r="V52" s="799">
        <f>V51-('Data Sheet'!K50/100)</f>
        <v/>
      </c>
      <c r="W52" s="800" t="n"/>
      <c r="X52" s="799">
        <f>X51-('Data Sheet'!L50/100)</f>
        <v/>
      </c>
      <c r="Y52" s="800" t="n"/>
      <c r="Z52" s="1581">
        <f>(Z51+AA51)-('Data Sheet'!M50+'Data Sheet'!N50)</f>
        <v/>
      </c>
      <c r="AA52" s="800" t="n"/>
      <c r="AB52" s="1581">
        <f>AB51-'Data Sheet'!O50</f>
        <v/>
      </c>
      <c r="AC52" s="800" t="n"/>
      <c r="AD52" s="799">
        <f>AD51-'Data Sheet'!P50</f>
        <v/>
      </c>
      <c r="AE52" s="800" t="n"/>
      <c r="AF52" s="807">
        <f>AF52-'Data Sheet'!#REF!</f>
        <v/>
      </c>
      <c r="AG52" s="799">
        <f>D51+F51+H51+J51+L51+P51+R51+V51+X51+N51+T51</f>
        <v/>
      </c>
      <c r="AH52" s="801">
        <f>AF51+G51+AC51+AE51+AA51+Z51+Y51+W51+S51+Q51+M51+K51+I51+E51+O51+U51</f>
        <v/>
      </c>
      <c r="AI52" s="108" t="n"/>
      <c r="AJ52" s="108" t="n"/>
      <c r="AK52" s="108" t="n"/>
      <c r="AL52" s="108" t="n"/>
      <c r="AM52" s="108" t="n"/>
      <c r="AN52" s="108" t="n"/>
      <c r="AO52" s="108" t="n"/>
      <c r="AP52" s="108" t="n"/>
      <c r="AQ52" s="108" t="n"/>
      <c r="AR52" s="108" t="n"/>
      <c r="AS52" s="108" t="n"/>
      <c r="AT52" s="108" t="n"/>
      <c r="AU52" s="108" t="n"/>
      <c r="AV52" s="108" t="n"/>
      <c r="AW52" s="108" t="n"/>
      <c r="AX52" s="108" t="n"/>
      <c r="AY52" s="108" t="n"/>
      <c r="AZ52" s="108" t="n"/>
      <c r="BA52" s="108" t="n"/>
      <c r="BB52" s="108" t="n"/>
      <c r="BC52" s="108" t="n"/>
      <c r="BD52" s="108" t="n"/>
      <c r="BE52" s="108" t="n"/>
      <c r="BF52" s="108" t="n"/>
      <c r="BG52" s="108" t="n"/>
      <c r="BH52" s="108" t="n"/>
      <c r="BI52" s="109" t="n"/>
    </row>
    <row r="53" ht="14.1" customHeight="1" s="2">
      <c r="A53" s="691" t="n"/>
      <c r="B53" s="756" t="n"/>
      <c r="C53" s="691" t="n"/>
      <c r="D53" s="691" t="n"/>
      <c r="E53" s="691" t="n"/>
      <c r="F53" s="691" t="n"/>
      <c r="G53" s="691" t="n"/>
      <c r="H53" s="691" t="n"/>
      <c r="I53" s="691" t="n"/>
      <c r="J53" s="691" t="n"/>
      <c r="K53" s="691" t="n"/>
      <c r="L53" s="691" t="n"/>
      <c r="M53" s="691" t="n"/>
      <c r="N53" s="691" t="n"/>
      <c r="O53" s="691" t="n"/>
      <c r="P53" s="691" t="n"/>
      <c r="Q53" s="691" t="n"/>
      <c r="R53" s="691" t="n"/>
      <c r="S53" s="691" t="n"/>
      <c r="T53" s="691" t="n"/>
      <c r="U53" s="691" t="n"/>
      <c r="V53" s="691" t="n"/>
      <c r="W53" s="691" t="n"/>
      <c r="X53" s="691" t="n"/>
      <c r="Y53" s="691" t="n"/>
      <c r="Z53" s="691" t="n"/>
      <c r="AA53" s="691" t="n"/>
      <c r="AB53" s="691" t="n"/>
      <c r="AC53" s="691" t="n"/>
      <c r="AD53" s="691" t="n"/>
      <c r="AE53" s="691" t="n"/>
      <c r="AF53" s="691" t="n"/>
      <c r="AG53" s="691" t="n"/>
      <c r="AH53" s="757" t="n"/>
      <c r="AI53" s="108" t="n"/>
      <c r="AJ53" s="108" t="n"/>
      <c r="AK53" s="108" t="n"/>
      <c r="AL53" s="108" t="n"/>
      <c r="AM53" s="108" t="n"/>
      <c r="AN53" s="108" t="n"/>
      <c r="AO53" s="108" t="n"/>
      <c r="AP53" s="108" t="n"/>
      <c r="AQ53" s="108" t="n"/>
      <c r="AR53" s="108" t="n"/>
      <c r="AS53" s="108" t="n"/>
      <c r="AT53" s="108" t="n"/>
      <c r="AU53" s="108" t="n"/>
      <c r="AV53" s="108" t="n"/>
      <c r="AW53" s="108" t="n"/>
      <c r="AX53" s="108" t="n"/>
      <c r="AY53" s="108" t="n"/>
      <c r="AZ53" s="108" t="n"/>
      <c r="BA53" s="108" t="n"/>
      <c r="BB53" s="108" t="n"/>
      <c r="BC53" s="108" t="n"/>
      <c r="BD53" s="108" t="n"/>
      <c r="BE53" s="108" t="n"/>
      <c r="BF53" s="108" t="n"/>
      <c r="BG53" s="108" t="n"/>
      <c r="BH53" s="108" t="n"/>
      <c r="BI53" s="109" t="n"/>
    </row>
    <row r="54" ht="14.1" customHeight="1" s="2">
      <c r="A54" s="692" t="n"/>
      <c r="B54" s="758" t="n"/>
      <c r="C54" s="692" t="n"/>
      <c r="D54" s="692" t="n"/>
      <c r="E54" s="692" t="n"/>
      <c r="F54" s="692" t="n"/>
      <c r="G54" s="692" t="n"/>
      <c r="H54" s="692" t="n"/>
      <c r="I54" s="692" t="n"/>
      <c r="J54" s="692" t="n"/>
      <c r="K54" s="692" t="n"/>
      <c r="L54" s="692" t="n"/>
      <c r="M54" s="759" t="n"/>
      <c r="N54" s="759" t="n"/>
      <c r="O54" s="692" t="n"/>
      <c r="P54" s="692" t="n"/>
      <c r="Q54" s="692" t="n"/>
      <c r="R54" s="692" t="n"/>
      <c r="S54" s="692" t="n"/>
      <c r="T54" s="692" t="n"/>
      <c r="U54" s="692" t="n"/>
      <c r="V54" s="692" t="n"/>
      <c r="W54" s="692" t="n"/>
      <c r="X54" s="692" t="n"/>
      <c r="Y54" s="692" t="n"/>
      <c r="Z54" s="759" t="n"/>
      <c r="AA54" s="692" t="n"/>
      <c r="AB54" s="692" t="n"/>
      <c r="AC54" s="692" t="n"/>
      <c r="AD54" s="692" t="n"/>
      <c r="AE54" s="692" t="n"/>
      <c r="AF54" s="692" t="n"/>
      <c r="AG54" s="692" t="n"/>
      <c r="AH54" s="760" t="n"/>
      <c r="AI54" s="108" t="n"/>
      <c r="AJ54" s="108" t="n"/>
      <c r="AK54" s="108" t="n"/>
      <c r="AL54" s="108" t="n"/>
      <c r="AM54" s="108" t="n"/>
      <c r="AN54" s="108" t="n"/>
      <c r="AO54" s="108" t="n"/>
      <c r="AP54" s="108" t="n"/>
      <c r="AQ54" s="108" t="n"/>
      <c r="AR54" s="108" t="n"/>
      <c r="AS54" s="108" t="n"/>
      <c r="AT54" s="108" t="n"/>
      <c r="AU54" s="108" t="n"/>
      <c r="AV54" s="108" t="n"/>
      <c r="AW54" s="108" t="n"/>
      <c r="AX54" s="108" t="n"/>
      <c r="AY54" s="108" t="n"/>
      <c r="AZ54" s="108" t="n"/>
      <c r="BA54" s="108" t="n"/>
      <c r="BB54" s="108" t="n"/>
      <c r="BC54" s="108" t="n"/>
      <c r="BD54" s="108" t="n"/>
      <c r="BE54" s="108" t="n"/>
      <c r="BF54" s="108" t="n"/>
      <c r="BG54" s="108" t="n"/>
      <c r="BH54" s="108" t="n"/>
      <c r="BI54" s="109" t="n"/>
    </row>
    <row r="55" ht="14.1" customHeight="1" s="2">
      <c r="A55" s="692" t="n"/>
      <c r="B55" s="758" t="n"/>
      <c r="C55" s="692" t="n"/>
      <c r="D55" s="692" t="n"/>
      <c r="E55" s="692" t="n"/>
      <c r="F55" s="692" t="n"/>
      <c r="G55" s="692" t="n"/>
      <c r="H55" s="692" t="n"/>
      <c r="I55" s="692" t="n"/>
      <c r="J55" s="759" t="n"/>
      <c r="K55" s="759" t="n"/>
      <c r="L55" s="759" t="n"/>
      <c r="M55" s="1582" t="n"/>
      <c r="N55" s="692" t="n"/>
      <c r="O55" s="692" t="n"/>
      <c r="P55" s="759" t="n"/>
      <c r="Q55" s="692" t="n"/>
      <c r="R55" s="692" t="n"/>
      <c r="S55" s="1582" t="n"/>
      <c r="T55" s="692" t="n"/>
      <c r="U55" s="1582" t="n"/>
      <c r="V55" s="692" t="n"/>
      <c r="W55" s="692" t="n"/>
      <c r="X55" s="692" t="n"/>
      <c r="Y55" s="692" t="n"/>
      <c r="Z55" s="759" t="n"/>
      <c r="AA55" s="692" t="n"/>
      <c r="AB55" s="1582" t="n"/>
      <c r="AC55" s="692" t="n"/>
      <c r="AD55" s="692" t="n"/>
      <c r="AE55" s="692" t="n"/>
      <c r="AF55" s="692" t="n"/>
      <c r="AG55" s="692" t="n"/>
      <c r="AH55" s="760" t="n"/>
      <c r="AI55" s="108" t="n"/>
      <c r="AJ55" s="108" t="n"/>
      <c r="AK55" s="108" t="n"/>
      <c r="AL55" s="108" t="n"/>
      <c r="AM55" s="108" t="n"/>
      <c r="AN55" s="108" t="n"/>
      <c r="AO55" s="108" t="n"/>
      <c r="AP55" s="108" t="n"/>
      <c r="AQ55" s="108" t="n"/>
      <c r="AR55" s="108" t="n"/>
      <c r="AS55" s="108" t="n"/>
      <c r="AT55" s="108" t="n"/>
      <c r="AU55" s="108" t="n"/>
      <c r="AV55" s="108" t="n"/>
      <c r="AW55" s="108" t="n"/>
      <c r="AX55" s="108" t="n"/>
      <c r="AY55" s="108" t="n"/>
      <c r="AZ55" s="108" t="n"/>
      <c r="BA55" s="108" t="n"/>
      <c r="BB55" s="108" t="n"/>
      <c r="BC55" s="108" t="n"/>
      <c r="BD55" s="108" t="n"/>
      <c r="BE55" s="108" t="n"/>
      <c r="BF55" s="108" t="n"/>
      <c r="BG55" s="108" t="n"/>
      <c r="BH55" s="108" t="n"/>
      <c r="BI55" s="109" t="n"/>
    </row>
    <row r="56" ht="14.1" customHeight="1" s="2">
      <c r="A56" s="692" t="n"/>
      <c r="B56" s="758" t="n"/>
      <c r="C56" s="692" t="n"/>
      <c r="D56" s="692" t="n"/>
      <c r="E56" s="692" t="n"/>
      <c r="F56" s="692" t="n"/>
      <c r="G56" s="692" t="n"/>
      <c r="H56" s="692" t="n"/>
      <c r="I56" s="692" t="n"/>
      <c r="J56" s="692" t="n"/>
      <c r="K56" s="692" t="n"/>
      <c r="L56" s="692" t="n"/>
      <c r="M56" s="759" t="n"/>
      <c r="N56" s="1582" t="n"/>
      <c r="O56" s="692" t="n"/>
      <c r="P56" s="1582" t="n"/>
      <c r="Q56" s="692" t="n"/>
      <c r="R56" s="692" t="n"/>
      <c r="S56" s="692" t="n"/>
      <c r="T56" s="692" t="n"/>
      <c r="U56" s="692" t="n"/>
      <c r="V56" s="692" t="n"/>
      <c r="W56" s="692" t="n"/>
      <c r="X56" s="692" t="n"/>
      <c r="Y56" s="692" t="n"/>
      <c r="Z56" s="692" t="n"/>
      <c r="AA56" s="692" t="n"/>
      <c r="AB56" s="692" t="n"/>
      <c r="AC56" s="692" t="n"/>
      <c r="AD56" s="692" t="n"/>
      <c r="AE56" s="692" t="n"/>
      <c r="AF56" s="692" t="n"/>
      <c r="AG56" s="692" t="n"/>
      <c r="AH56" s="760" t="n"/>
      <c r="AI56" s="108" t="n"/>
      <c r="AJ56" s="108" t="n"/>
      <c r="AK56" s="108" t="n"/>
      <c r="AL56" s="108" t="n"/>
      <c r="AM56" s="108" t="n"/>
      <c r="AN56" s="108" t="n"/>
      <c r="AO56" s="108" t="n"/>
      <c r="AP56" s="108" t="n"/>
      <c r="AQ56" s="108" t="n"/>
      <c r="AR56" s="108" t="n"/>
      <c r="AS56" s="108" t="n"/>
      <c r="AT56" s="108" t="n"/>
      <c r="AU56" s="108" t="n"/>
      <c r="AV56" s="108" t="n"/>
      <c r="AW56" s="108" t="n"/>
      <c r="AX56" s="108" t="n"/>
      <c r="AY56" s="108" t="n"/>
      <c r="AZ56" s="108" t="n"/>
      <c r="BA56" s="108" t="n"/>
      <c r="BB56" s="108" t="n"/>
      <c r="BC56" s="108" t="n"/>
      <c r="BD56" s="108" t="n"/>
      <c r="BE56" s="108" t="n"/>
      <c r="BF56" s="108" t="n"/>
      <c r="BG56" s="108" t="n"/>
      <c r="BH56" s="108" t="n"/>
      <c r="BI56" s="109" t="n"/>
    </row>
    <row r="57" ht="14.1" customHeight="1" s="2">
      <c r="A57" s="692" t="n"/>
      <c r="B57" s="758" t="n"/>
      <c r="C57" s="692" t="n"/>
      <c r="D57" s="692" t="n"/>
      <c r="E57" s="692" t="n"/>
      <c r="F57" s="692" t="n"/>
      <c r="G57" s="692" t="n"/>
      <c r="H57" s="692" t="n"/>
      <c r="I57" s="692" t="n"/>
      <c r="J57" s="692" t="n"/>
      <c r="K57" s="759" t="n"/>
      <c r="L57" s="692" t="n"/>
      <c r="M57" s="692" t="n"/>
      <c r="N57" s="693" t="n"/>
      <c r="O57" s="692" t="n"/>
      <c r="P57" s="692" t="n"/>
      <c r="Q57" s="692" t="n"/>
      <c r="R57" s="692" t="n"/>
      <c r="S57" s="692" t="n"/>
      <c r="T57" s="692" t="n"/>
      <c r="U57" s="692" t="n"/>
      <c r="V57" s="692" t="n"/>
      <c r="W57" s="692" t="n"/>
      <c r="X57" s="692" t="n"/>
      <c r="Y57" s="692" t="n"/>
      <c r="Z57" s="692" t="n"/>
      <c r="AA57" s="759" t="n"/>
      <c r="AB57" s="692" t="n"/>
      <c r="AC57" s="692" t="n"/>
      <c r="AD57" s="692" t="n"/>
      <c r="AE57" s="692" t="n"/>
      <c r="AF57" s="692" t="n"/>
      <c r="AG57" s="692" t="n"/>
      <c r="AH57" s="760" t="n"/>
      <c r="AI57" s="108" t="n"/>
      <c r="AJ57" s="108" t="n"/>
      <c r="AK57" s="108" t="n"/>
      <c r="AL57" s="108" t="n"/>
      <c r="AM57" s="108" t="n"/>
      <c r="AN57" s="108" t="n"/>
      <c r="AO57" s="108" t="n"/>
      <c r="AP57" s="108" t="n"/>
      <c r="AQ57" s="108" t="n"/>
      <c r="AR57" s="108" t="n"/>
      <c r="AS57" s="108" t="n"/>
      <c r="AT57" s="108" t="n"/>
      <c r="AU57" s="108" t="n"/>
      <c r="AV57" s="108" t="n"/>
      <c r="AW57" s="108" t="n"/>
      <c r="AX57" s="108" t="n"/>
      <c r="AY57" s="108" t="n"/>
      <c r="AZ57" s="108" t="n"/>
      <c r="BA57" s="108" t="n"/>
      <c r="BB57" s="108" t="n"/>
      <c r="BC57" s="108" t="n"/>
      <c r="BD57" s="108" t="n"/>
      <c r="BE57" s="108" t="n"/>
      <c r="BF57" s="108" t="n"/>
      <c r="BG57" s="108" t="n"/>
      <c r="BH57" s="108" t="n"/>
      <c r="BI57" s="109" t="n"/>
    </row>
    <row r="58" ht="14.1" customHeight="1" s="2">
      <c r="A58" s="692" t="n"/>
      <c r="B58" s="758" t="n"/>
      <c r="C58" s="692" t="n"/>
      <c r="D58" s="692" t="n"/>
      <c r="E58" s="692" t="n"/>
      <c r="F58" s="692" t="n"/>
      <c r="G58" s="692" t="n"/>
      <c r="H58" s="692" t="n"/>
      <c r="I58" s="692" t="n"/>
      <c r="J58" s="692" t="n"/>
      <c r="K58" s="692" t="n"/>
      <c r="L58" s="692" t="n"/>
      <c r="M58" s="760" t="n"/>
      <c r="N58" s="694" t="n"/>
      <c r="O58" s="761" t="n"/>
      <c r="P58" s="692" t="n"/>
      <c r="Q58" s="692" t="n"/>
      <c r="R58" s="692" t="n"/>
      <c r="S58" s="692" t="n"/>
      <c r="T58" s="692" t="n"/>
      <c r="U58" s="692" t="n"/>
      <c r="V58" s="692" t="n"/>
      <c r="W58" s="692" t="n"/>
      <c r="X58" s="692" t="n"/>
      <c r="Y58" s="692" t="n"/>
      <c r="Z58" s="692" t="n"/>
      <c r="AA58" s="692" t="n"/>
      <c r="AB58" s="692" t="n"/>
      <c r="AC58" s="692" t="n"/>
      <c r="AD58" s="692" t="n"/>
      <c r="AE58" s="692" t="n"/>
      <c r="AF58" s="692" t="n"/>
      <c r="AG58" s="692" t="n"/>
      <c r="AH58" s="760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08" t="n"/>
      <c r="AV58" s="108" t="n"/>
      <c r="AW58" s="108" t="n"/>
      <c r="AX58" s="108" t="n"/>
      <c r="AY58" s="108" t="n"/>
      <c r="AZ58" s="108" t="n"/>
      <c r="BA58" s="108" t="n"/>
      <c r="BB58" s="108" t="n"/>
      <c r="BC58" s="108" t="n"/>
      <c r="BD58" s="108" t="n"/>
      <c r="BE58" s="108" t="n"/>
      <c r="BF58" s="108" t="n"/>
      <c r="BG58" s="108" t="n"/>
      <c r="BH58" s="108" t="n"/>
      <c r="BI58" s="109" t="n"/>
    </row>
    <row r="59" ht="14.1" customHeight="1" s="2">
      <c r="A59" s="692" t="n"/>
      <c r="B59" s="758" t="n"/>
      <c r="C59" s="692" t="n"/>
      <c r="D59" s="692" t="n"/>
      <c r="E59" s="692" t="n"/>
      <c r="F59" s="692" t="n"/>
      <c r="G59" s="692" t="n"/>
      <c r="H59" s="692" t="n"/>
      <c r="I59" s="692" t="n"/>
      <c r="J59" s="692" t="n"/>
      <c r="K59" s="692" t="n"/>
      <c r="L59" s="692" t="n"/>
      <c r="M59" s="692" t="n"/>
      <c r="N59" s="691" t="n"/>
      <c r="O59" s="692" t="n"/>
      <c r="P59" s="692" t="n"/>
      <c r="Q59" s="692" t="n"/>
      <c r="R59" s="692" t="n"/>
      <c r="S59" s="692" t="n"/>
      <c r="T59" s="692" t="n"/>
      <c r="U59" s="692" t="n"/>
      <c r="V59" s="692" t="n"/>
      <c r="W59" s="692" t="n"/>
      <c r="X59" s="692" t="n"/>
      <c r="Y59" s="692" t="n"/>
      <c r="Z59" s="692" t="n"/>
      <c r="AA59" s="692" t="n"/>
      <c r="AB59" s="692" t="n"/>
      <c r="AC59" s="692" t="n"/>
      <c r="AD59" s="692" t="n"/>
      <c r="AE59" s="692" t="n"/>
      <c r="AF59" s="692" t="n"/>
      <c r="AG59" s="692" t="n"/>
      <c r="AH59" s="760" t="n"/>
      <c r="AI59" s="108" t="n"/>
      <c r="AJ59" s="108" t="n"/>
      <c r="AK59" s="108" t="n"/>
      <c r="AL59" s="108" t="n"/>
      <c r="AM59" s="108" t="n"/>
      <c r="AN59" s="108" t="n"/>
      <c r="AO59" s="108" t="n"/>
      <c r="AP59" s="108" t="n"/>
      <c r="AQ59" s="108" t="n"/>
      <c r="AR59" s="108" t="n"/>
      <c r="AS59" s="108" t="n"/>
      <c r="AT59" s="108" t="n"/>
      <c r="AU59" s="108" t="n"/>
      <c r="AV59" s="108" t="n"/>
      <c r="AW59" s="108" t="n"/>
      <c r="AX59" s="108" t="n"/>
      <c r="AY59" s="108" t="n"/>
      <c r="AZ59" s="108" t="n"/>
      <c r="BA59" s="108" t="n"/>
      <c r="BB59" s="108" t="n"/>
      <c r="BC59" s="108" t="n"/>
      <c r="BD59" s="108" t="n"/>
      <c r="BE59" s="108" t="n"/>
      <c r="BF59" s="108" t="n"/>
      <c r="BG59" s="108" t="n"/>
      <c r="BH59" s="108" t="n"/>
      <c r="BI59" s="109" t="n"/>
    </row>
    <row r="60" ht="14.1" customHeight="1" s="2">
      <c r="A60" s="692" t="n"/>
      <c r="B60" s="758" t="n"/>
      <c r="C60" s="692" t="n"/>
      <c r="D60" s="692" t="n"/>
      <c r="E60" s="692" t="n"/>
      <c r="F60" s="692" t="n"/>
      <c r="G60" s="692" t="n"/>
      <c r="H60" s="692" t="n"/>
      <c r="I60" s="692" t="n"/>
      <c r="J60" s="692" t="n"/>
      <c r="K60" s="692" t="n"/>
      <c r="L60" s="692" t="n"/>
      <c r="M60" s="692" t="n"/>
      <c r="N60" s="692" t="n"/>
      <c r="O60" s="692" t="n"/>
      <c r="P60" s="692" t="n"/>
      <c r="Q60" s="692" t="n"/>
      <c r="R60" s="692" t="n"/>
      <c r="S60" s="692" t="n"/>
      <c r="T60" s="692" t="n"/>
      <c r="U60" s="692" t="n"/>
      <c r="V60" s="692" t="n"/>
      <c r="W60" s="692" t="n"/>
      <c r="X60" s="692" t="n"/>
      <c r="Y60" s="692" t="n"/>
      <c r="Z60" s="692" t="n"/>
      <c r="AA60" s="692" t="n"/>
      <c r="AB60" s="692" t="n"/>
      <c r="AC60" s="692" t="n"/>
      <c r="AD60" s="692" t="n"/>
      <c r="AE60" s="692" t="n"/>
      <c r="AF60" s="692" t="n"/>
      <c r="AG60" s="692" t="n"/>
      <c r="AH60" s="760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  <c r="AV60" s="108" t="n"/>
      <c r="AW60" s="108" t="n"/>
      <c r="AX60" s="108" t="n"/>
      <c r="AY60" s="108" t="n"/>
      <c r="AZ60" s="108" t="n"/>
      <c r="BA60" s="108" t="n"/>
      <c r="BB60" s="108" t="n"/>
      <c r="BC60" s="108" t="n"/>
      <c r="BD60" s="108" t="n"/>
      <c r="BE60" s="108" t="n"/>
      <c r="BF60" s="108" t="n"/>
      <c r="BG60" s="108" t="n"/>
      <c r="BH60" s="108" t="n"/>
      <c r="BI60" s="109" t="n"/>
    </row>
    <row r="61" ht="14.1" customHeight="1" s="2">
      <c r="A61" s="692" t="n"/>
      <c r="B61" s="758" t="n"/>
      <c r="C61" s="692" t="n"/>
      <c r="D61" s="692" t="n"/>
      <c r="E61" s="692" t="n"/>
      <c r="F61" s="692" t="n"/>
      <c r="G61" s="692" t="n"/>
      <c r="H61" s="692" t="n"/>
      <c r="I61" s="692" t="n"/>
      <c r="J61" s="692" t="n"/>
      <c r="K61" s="692" t="n"/>
      <c r="L61" s="692" t="n"/>
      <c r="M61" s="692" t="n"/>
      <c r="N61" s="692" t="n"/>
      <c r="O61" s="692" t="n"/>
      <c r="P61" s="692" t="n"/>
      <c r="Q61" s="692" t="n"/>
      <c r="R61" s="692" t="n"/>
      <c r="S61" s="692" t="n"/>
      <c r="T61" s="692" t="n"/>
      <c r="U61" s="692" t="inlineStr">
        <is>
          <t xml:space="preserve">  </t>
        </is>
      </c>
      <c r="V61" s="692" t="n"/>
      <c r="W61" s="692" t="n"/>
      <c r="X61" s="692" t="n"/>
      <c r="Y61" s="692" t="n"/>
      <c r="Z61" s="692" t="n"/>
      <c r="AA61" s="692" t="n"/>
      <c r="AB61" s="692" t="n"/>
      <c r="AC61" s="692" t="n"/>
      <c r="AD61" s="692" t="n"/>
      <c r="AE61" s="692" t="n"/>
      <c r="AF61" s="692" t="n"/>
      <c r="AG61" s="692" t="n"/>
      <c r="AH61" s="760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  <c r="AV61" s="108" t="n"/>
      <c r="AW61" s="108" t="n"/>
      <c r="AX61" s="108" t="n"/>
      <c r="AY61" s="108" t="n"/>
      <c r="AZ61" s="108" t="n"/>
      <c r="BA61" s="108" t="n"/>
      <c r="BB61" s="108" t="n"/>
      <c r="BC61" s="108" t="n"/>
      <c r="BD61" s="108" t="n"/>
      <c r="BE61" s="108" t="n"/>
      <c r="BF61" s="108" t="n"/>
      <c r="BG61" s="108" t="n"/>
      <c r="BH61" s="108" t="n"/>
      <c r="BI61" s="109" t="n"/>
    </row>
    <row r="62" ht="14.1" customHeight="1" s="2">
      <c r="A62" s="692" t="n"/>
      <c r="B62" s="758" t="n"/>
      <c r="C62" s="692" t="n"/>
      <c r="D62" s="692" t="n"/>
      <c r="E62" s="692" t="n"/>
      <c r="F62" s="692" t="n"/>
      <c r="G62" s="692" t="n"/>
      <c r="H62" s="692" t="n"/>
      <c r="I62" s="692" t="n"/>
      <c r="J62" s="692" t="n"/>
      <c r="K62" s="692" t="n"/>
      <c r="L62" s="692" t="n"/>
      <c r="M62" s="692" t="n"/>
      <c r="N62" s="692" t="n"/>
      <c r="O62" s="692" t="n"/>
      <c r="P62" s="692" t="n"/>
      <c r="Q62" s="692" t="n"/>
      <c r="R62" s="692" t="n"/>
      <c r="S62" s="692" t="n"/>
      <c r="T62" s="692" t="n"/>
      <c r="U62" s="692" t="n"/>
      <c r="V62" s="692" t="n"/>
      <c r="W62" s="692" t="n"/>
      <c r="X62" s="692" t="n"/>
      <c r="Y62" s="692" t="n"/>
      <c r="Z62" s="692" t="n"/>
      <c r="AA62" s="692" t="n"/>
      <c r="AB62" s="692" t="n"/>
      <c r="AC62" s="692" t="n"/>
      <c r="AD62" s="692" t="n"/>
      <c r="AE62" s="692" t="n"/>
      <c r="AF62" s="692" t="n"/>
      <c r="AG62" s="692" t="n"/>
      <c r="AH62" s="760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  <c r="AY62" s="108" t="n"/>
      <c r="AZ62" s="108" t="n"/>
      <c r="BA62" s="108" t="n"/>
      <c r="BB62" s="108" t="n"/>
      <c r="BC62" s="108" t="n"/>
      <c r="BD62" s="108" t="n"/>
      <c r="BE62" s="108" t="n"/>
      <c r="BF62" s="108" t="n"/>
      <c r="BG62" s="108" t="n"/>
      <c r="BH62" s="108" t="n"/>
      <c r="BI62" s="109" t="n"/>
    </row>
    <row r="63" ht="14.1" customHeight="1" s="2">
      <c r="A63" s="692" t="n"/>
      <c r="B63" s="758" t="n"/>
      <c r="C63" s="692" t="n"/>
      <c r="D63" s="692" t="n"/>
      <c r="E63" s="692" t="n"/>
      <c r="F63" s="692" t="n"/>
      <c r="G63" s="692" t="n"/>
      <c r="H63" s="692" t="n"/>
      <c r="I63" s="692" t="n"/>
      <c r="J63" s="692" t="n"/>
      <c r="K63" s="692" t="n"/>
      <c r="L63" s="692" t="n"/>
      <c r="M63" s="692" t="n"/>
      <c r="N63" s="692" t="n"/>
      <c r="O63" s="692" t="n"/>
      <c r="P63" s="692" t="n"/>
      <c r="Q63" s="692" t="n"/>
      <c r="R63" s="692" t="n"/>
      <c r="S63" s="692" t="n"/>
      <c r="T63" s="692" t="n"/>
      <c r="U63" s="692" t="n"/>
      <c r="V63" s="692" t="n"/>
      <c r="W63" s="692" t="n"/>
      <c r="X63" s="692" t="n"/>
      <c r="Y63" s="692" t="n"/>
      <c r="Z63" s="692" t="n"/>
      <c r="AA63" s="692" t="n"/>
      <c r="AB63" s="692" t="n"/>
      <c r="AC63" s="692" t="n"/>
      <c r="AD63" s="692" t="n"/>
      <c r="AE63" s="692" t="n"/>
      <c r="AF63" s="692" t="n"/>
      <c r="AG63" s="692" t="n"/>
      <c r="AH63" s="760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  <c r="AY63" s="108" t="n"/>
      <c r="AZ63" s="108" t="n"/>
      <c r="BA63" s="108" t="n"/>
      <c r="BB63" s="108" t="n"/>
      <c r="BC63" s="108" t="n"/>
      <c r="BD63" s="108" t="n"/>
      <c r="BE63" s="108" t="n"/>
      <c r="BF63" s="108" t="n"/>
      <c r="BG63" s="108" t="n"/>
      <c r="BH63" s="108" t="n"/>
      <c r="BI63" s="109" t="n"/>
    </row>
    <row r="64" ht="14.1" customHeight="1" s="2">
      <c r="A64" s="692" t="n"/>
      <c r="B64" s="758" t="n"/>
      <c r="C64" s="692" t="n"/>
      <c r="D64" s="692" t="n"/>
      <c r="E64" s="692" t="n"/>
      <c r="F64" s="692" t="n"/>
      <c r="G64" s="692" t="n"/>
      <c r="H64" s="692" t="n"/>
      <c r="I64" s="692" t="n"/>
      <c r="J64" s="692" t="n"/>
      <c r="K64" s="692" t="n"/>
      <c r="L64" s="692" t="n"/>
      <c r="M64" s="692" t="n"/>
      <c r="N64" s="692" t="n"/>
      <c r="O64" s="692" t="n"/>
      <c r="P64" s="692" t="n"/>
      <c r="Q64" s="692" t="n"/>
      <c r="R64" s="692" t="n"/>
      <c r="S64" s="692" t="n"/>
      <c r="T64" s="692" t="n"/>
      <c r="U64" s="692" t="n"/>
      <c r="V64" s="692" t="n"/>
      <c r="W64" s="692" t="n"/>
      <c r="X64" s="692" t="n"/>
      <c r="Y64" s="692" t="n"/>
      <c r="Z64" s="692" t="n"/>
      <c r="AA64" s="692" t="n"/>
      <c r="AB64" s="692" t="n"/>
      <c r="AC64" s="692" t="n"/>
      <c r="AD64" s="692" t="n"/>
      <c r="AE64" s="692" t="n"/>
      <c r="AF64" s="692" t="n"/>
      <c r="AG64" s="692" t="n"/>
      <c r="AH64" s="760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  <c r="AY64" s="108" t="n"/>
      <c r="AZ64" s="108" t="n"/>
      <c r="BA64" s="108" t="n"/>
      <c r="BB64" s="108" t="n"/>
      <c r="BC64" s="108" t="n"/>
      <c r="BD64" s="108" t="n"/>
      <c r="BE64" s="108" t="n"/>
      <c r="BF64" s="108" t="n"/>
      <c r="BG64" s="108" t="n"/>
      <c r="BH64" s="108" t="n"/>
      <c r="BI64" s="109" t="n"/>
    </row>
    <row r="65" ht="14.1" customHeight="1" s="2">
      <c r="A65" s="692" t="n"/>
      <c r="B65" s="758" t="n"/>
      <c r="C65" s="692" t="n"/>
      <c r="D65" s="692" t="n"/>
      <c r="E65" s="692" t="n"/>
      <c r="F65" s="692" t="n"/>
      <c r="G65" s="692" t="n"/>
      <c r="H65" s="692" t="n"/>
      <c r="I65" s="692" t="n"/>
      <c r="J65" s="692" t="n"/>
      <c r="K65" s="692" t="n"/>
      <c r="L65" s="692" t="n"/>
      <c r="M65" s="692" t="n"/>
      <c r="N65" s="692" t="n"/>
      <c r="O65" s="692" t="n"/>
      <c r="P65" s="692" t="n"/>
      <c r="Q65" s="692" t="n"/>
      <c r="R65" s="692" t="n"/>
      <c r="S65" s="692" t="n"/>
      <c r="T65" s="692" t="n"/>
      <c r="U65" s="692" t="n"/>
      <c r="V65" s="692" t="n"/>
      <c r="W65" s="692" t="n"/>
      <c r="X65" s="692" t="n"/>
      <c r="Y65" s="692" t="n"/>
      <c r="Z65" s="692" t="n"/>
      <c r="AA65" s="692" t="n"/>
      <c r="AB65" s="692" t="n"/>
      <c r="AC65" s="692" t="n"/>
      <c r="AD65" s="692" t="n"/>
      <c r="AE65" s="692" t="n"/>
      <c r="AF65" s="692" t="n"/>
      <c r="AG65" s="692" t="n"/>
      <c r="AH65" s="760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  <c r="AY65" s="108" t="n"/>
      <c r="AZ65" s="108" t="n"/>
      <c r="BA65" s="108" t="n"/>
      <c r="BB65" s="108" t="n"/>
      <c r="BC65" s="108" t="n"/>
      <c r="BD65" s="108" t="n"/>
      <c r="BE65" s="108" t="n"/>
      <c r="BF65" s="108" t="n"/>
      <c r="BG65" s="108" t="n"/>
      <c r="BH65" s="108" t="n"/>
      <c r="BI65" s="109" t="n"/>
    </row>
    <row r="66" ht="14.1" customHeight="1" s="2">
      <c r="A66" s="692" t="n"/>
      <c r="B66" s="758" t="n"/>
      <c r="C66" s="692" t="n"/>
      <c r="D66" s="692" t="n"/>
      <c r="E66" s="692" t="n"/>
      <c r="F66" s="692" t="n"/>
      <c r="G66" s="692" t="n"/>
      <c r="H66" s="692" t="n"/>
      <c r="I66" s="692" t="n"/>
      <c r="J66" s="692" t="n"/>
      <c r="K66" s="692" t="n"/>
      <c r="L66" s="692" t="n"/>
      <c r="M66" s="692" t="n"/>
      <c r="N66" s="692" t="n"/>
      <c r="O66" s="692" t="n"/>
      <c r="P66" s="692" t="n"/>
      <c r="Q66" s="692" t="n"/>
      <c r="R66" s="692" t="n"/>
      <c r="S66" s="692" t="n"/>
      <c r="T66" s="692" t="n"/>
      <c r="U66" s="692" t="n"/>
      <c r="V66" s="692" t="n"/>
      <c r="W66" s="692" t="n"/>
      <c r="X66" s="692" t="n"/>
      <c r="Y66" s="692" t="n"/>
      <c r="Z66" s="692" t="n"/>
      <c r="AA66" s="692" t="n"/>
      <c r="AB66" s="692" t="n"/>
      <c r="AC66" s="692" t="n"/>
      <c r="AD66" s="692" t="n"/>
      <c r="AE66" s="692" t="n"/>
      <c r="AF66" s="692" t="n"/>
      <c r="AG66" s="692" t="n"/>
      <c r="AH66" s="760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  <c r="AY66" s="108" t="n"/>
      <c r="AZ66" s="108" t="n"/>
      <c r="BA66" s="108" t="n"/>
      <c r="BB66" s="108" t="n"/>
      <c r="BC66" s="108" t="n"/>
      <c r="BD66" s="108" t="n"/>
      <c r="BE66" s="108" t="n"/>
      <c r="BF66" s="108" t="n"/>
      <c r="BG66" s="108" t="n"/>
      <c r="BH66" s="108" t="n"/>
      <c r="BI66" s="109" t="n"/>
    </row>
    <row r="67" ht="14.1" customHeight="1" s="2">
      <c r="A67" s="692" t="n"/>
      <c r="B67" s="758" t="n"/>
      <c r="C67" s="692" t="n"/>
      <c r="D67" s="692" t="n"/>
      <c r="E67" s="692" t="n"/>
      <c r="F67" s="692" t="n"/>
      <c r="G67" s="692" t="n"/>
      <c r="H67" s="692" t="n"/>
      <c r="I67" s="692" t="n"/>
      <c r="J67" s="692" t="n"/>
      <c r="K67" s="692" t="n"/>
      <c r="L67" s="692" t="n"/>
      <c r="M67" s="692" t="n"/>
      <c r="N67" s="692" t="n"/>
      <c r="O67" s="692" t="n"/>
      <c r="P67" s="692" t="n"/>
      <c r="Q67" s="692" t="n"/>
      <c r="R67" s="692" t="n"/>
      <c r="S67" s="692" t="n"/>
      <c r="T67" s="692" t="n"/>
      <c r="U67" s="692" t="n"/>
      <c r="V67" s="692" t="n"/>
      <c r="W67" s="692" t="n"/>
      <c r="X67" s="692" t="n"/>
      <c r="Y67" s="692" t="n"/>
      <c r="Z67" s="692" t="n"/>
      <c r="AA67" s="692" t="n"/>
      <c r="AB67" s="692" t="n"/>
      <c r="AC67" s="692" t="n"/>
      <c r="AD67" s="692" t="n"/>
      <c r="AE67" s="692" t="n"/>
      <c r="AF67" s="692" t="n"/>
      <c r="AG67" s="692" t="n"/>
      <c r="AH67" s="760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  <c r="AY67" s="108" t="n"/>
      <c r="AZ67" s="108" t="n"/>
      <c r="BA67" s="108" t="n"/>
      <c r="BB67" s="108" t="n"/>
      <c r="BC67" s="108" t="n"/>
      <c r="BD67" s="108" t="n"/>
      <c r="BE67" s="108" t="n"/>
      <c r="BF67" s="108" t="n"/>
      <c r="BG67" s="108" t="n"/>
      <c r="BH67" s="108" t="n"/>
      <c r="BI67" s="109" t="n"/>
    </row>
    <row r="68" ht="14.1" customHeight="1" s="2">
      <c r="A68" s="692" t="n"/>
      <c r="B68" s="758" t="n"/>
      <c r="C68" s="692" t="n"/>
      <c r="D68" s="692" t="n"/>
      <c r="E68" s="692" t="n"/>
      <c r="F68" s="692" t="n"/>
      <c r="G68" s="692" t="n"/>
      <c r="H68" s="692" t="n"/>
      <c r="I68" s="692" t="n"/>
      <c r="J68" s="692" t="n"/>
      <c r="K68" s="692" t="n"/>
      <c r="L68" s="692" t="n"/>
      <c r="M68" s="692" t="n"/>
      <c r="N68" s="692" t="n"/>
      <c r="O68" s="692" t="n"/>
      <c r="P68" s="692" t="n"/>
      <c r="Q68" s="692" t="n"/>
      <c r="R68" s="692" t="n"/>
      <c r="S68" s="692" t="n"/>
      <c r="T68" s="692" t="n"/>
      <c r="U68" s="692" t="n"/>
      <c r="V68" s="692" t="n"/>
      <c r="W68" s="692" t="n"/>
      <c r="X68" s="692" t="n"/>
      <c r="Y68" s="692" t="n"/>
      <c r="Z68" s="692" t="n"/>
      <c r="AA68" s="692" t="n"/>
      <c r="AB68" s="692" t="n"/>
      <c r="AC68" s="692" t="n"/>
      <c r="AD68" s="692" t="n"/>
      <c r="AE68" s="692" t="n"/>
      <c r="AF68" s="692" t="n"/>
      <c r="AG68" s="692" t="n"/>
      <c r="AH68" s="760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  <c r="AY68" s="108" t="n"/>
      <c r="AZ68" s="108" t="n"/>
      <c r="BA68" s="108" t="n"/>
      <c r="BB68" s="108" t="n"/>
      <c r="BC68" s="108" t="n"/>
      <c r="BD68" s="108" t="n"/>
      <c r="BE68" s="108" t="n"/>
      <c r="BF68" s="108" t="n"/>
      <c r="BG68" s="108" t="n"/>
      <c r="BH68" s="108" t="n"/>
      <c r="BI68" s="109" t="n"/>
    </row>
    <row r="69" ht="14.1" customHeight="1" s="2">
      <c r="A69" s="692" t="n"/>
      <c r="B69" s="758" t="n"/>
      <c r="C69" s="692" t="n"/>
      <c r="D69" s="692" t="n"/>
      <c r="E69" s="692" t="n"/>
      <c r="F69" s="692" t="n"/>
      <c r="G69" s="692" t="n"/>
      <c r="H69" s="692" t="n"/>
      <c r="I69" s="692" t="n"/>
      <c r="J69" s="692" t="n"/>
      <c r="K69" s="692" t="n"/>
      <c r="L69" s="692" t="n"/>
      <c r="M69" s="692" t="n"/>
      <c r="N69" s="692" t="n"/>
      <c r="O69" s="692" t="n"/>
      <c r="P69" s="692" t="n"/>
      <c r="Q69" s="692" t="n"/>
      <c r="R69" s="692" t="n"/>
      <c r="S69" s="692" t="n"/>
      <c r="T69" s="692" t="n"/>
      <c r="U69" s="692" t="n"/>
      <c r="V69" s="692" t="n"/>
      <c r="W69" s="692" t="n"/>
      <c r="X69" s="692" t="n"/>
      <c r="Y69" s="692" t="n"/>
      <c r="Z69" s="692" t="n"/>
      <c r="AA69" s="692" t="n"/>
      <c r="AB69" s="692" t="n"/>
      <c r="AC69" s="692" t="n"/>
      <c r="AD69" s="692" t="n"/>
      <c r="AE69" s="692" t="n"/>
      <c r="AF69" s="692" t="n"/>
      <c r="AG69" s="692" t="n"/>
      <c r="AH69" s="760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  <c r="AY69" s="108" t="n"/>
      <c r="AZ69" s="108" t="n"/>
      <c r="BA69" s="108" t="n"/>
      <c r="BB69" s="108" t="n"/>
      <c r="BC69" s="108" t="n"/>
      <c r="BD69" s="108" t="n"/>
      <c r="BE69" s="108" t="n"/>
      <c r="BF69" s="108" t="n"/>
      <c r="BG69" s="108" t="n"/>
      <c r="BH69" s="108" t="n"/>
      <c r="BI69" s="109" t="n"/>
    </row>
    <row r="70" ht="14.1" customHeight="1" s="2">
      <c r="A70" s="692" t="n"/>
      <c r="B70" s="758" t="n"/>
      <c r="C70" s="692" t="n"/>
      <c r="D70" s="692" t="n"/>
      <c r="E70" s="692" t="n"/>
      <c r="F70" s="692" t="n"/>
      <c r="G70" s="692" t="n"/>
      <c r="H70" s="692" t="n"/>
      <c r="I70" s="692" t="n"/>
      <c r="J70" s="692" t="n"/>
      <c r="K70" s="692" t="n"/>
      <c r="L70" s="692" t="n"/>
      <c r="M70" s="692" t="n"/>
      <c r="N70" s="692" t="n"/>
      <c r="O70" s="692" t="n"/>
      <c r="P70" s="692" t="n"/>
      <c r="Q70" s="692" t="n"/>
      <c r="R70" s="692" t="n"/>
      <c r="S70" s="692" t="n"/>
      <c r="T70" s="692" t="n"/>
      <c r="U70" s="692" t="n"/>
      <c r="V70" s="692" t="n"/>
      <c r="W70" s="692" t="n"/>
      <c r="X70" s="692" t="n"/>
      <c r="Y70" s="692" t="n"/>
      <c r="Z70" s="692" t="n"/>
      <c r="AA70" s="692" t="n"/>
      <c r="AB70" s="692" t="n"/>
      <c r="AC70" s="692" t="n"/>
      <c r="AD70" s="692" t="n"/>
      <c r="AE70" s="692" t="n"/>
      <c r="AF70" s="692" t="n"/>
      <c r="AG70" s="692" t="n"/>
      <c r="AH70" s="760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  <c r="AY70" s="108" t="n"/>
      <c r="AZ70" s="108" t="n"/>
      <c r="BA70" s="108" t="n"/>
      <c r="BB70" s="108" t="n"/>
      <c r="BC70" s="108" t="n"/>
      <c r="BD70" s="108" t="n"/>
      <c r="BE70" s="108" t="n"/>
      <c r="BF70" s="108" t="n"/>
      <c r="BG70" s="108" t="n"/>
      <c r="BH70" s="108" t="n"/>
      <c r="BI70" s="109" t="n"/>
    </row>
    <row r="71" ht="14.1" customHeight="1" s="2">
      <c r="A71" s="692" t="n"/>
      <c r="B71" s="758" t="n"/>
      <c r="C71" s="692" t="n"/>
      <c r="D71" s="692" t="n"/>
      <c r="E71" s="692" t="n"/>
      <c r="F71" s="692" t="n"/>
      <c r="G71" s="692" t="n"/>
      <c r="H71" s="692" t="n"/>
      <c r="I71" s="692" t="n"/>
      <c r="J71" s="692" t="n"/>
      <c r="K71" s="692" t="n"/>
      <c r="L71" s="692" t="n"/>
      <c r="M71" s="692" t="n"/>
      <c r="N71" s="692" t="n"/>
      <c r="O71" s="692" t="n"/>
      <c r="P71" s="692" t="n"/>
      <c r="Q71" s="692" t="n"/>
      <c r="R71" s="692" t="n"/>
      <c r="S71" s="692" t="n"/>
      <c r="T71" s="692" t="n"/>
      <c r="U71" s="692" t="n"/>
      <c r="V71" s="692" t="n"/>
      <c r="W71" s="692" t="n"/>
      <c r="X71" s="692" t="n"/>
      <c r="Y71" s="692" t="n"/>
      <c r="Z71" s="692" t="n"/>
      <c r="AA71" s="692" t="n"/>
      <c r="AB71" s="692" t="n"/>
      <c r="AC71" s="692" t="n"/>
      <c r="AD71" s="692" t="n"/>
      <c r="AE71" s="692" t="n"/>
      <c r="AF71" s="692" t="n"/>
      <c r="AG71" s="692" t="n"/>
      <c r="AH71" s="760" t="n"/>
      <c r="AI71" s="108" t="n"/>
      <c r="AJ71" s="108" t="n"/>
      <c r="AK71" s="108" t="n"/>
      <c r="AL71" s="108" t="n"/>
      <c r="AM71" s="108" t="n"/>
      <c r="AN71" s="108" t="n"/>
      <c r="AO71" s="108" t="n"/>
      <c r="AP71" s="108" t="n"/>
      <c r="AQ71" s="108" t="n"/>
      <c r="AR71" s="108" t="n"/>
      <c r="AS71" s="108" t="n"/>
      <c r="AT71" s="108" t="n"/>
      <c r="AU71" s="108" t="n"/>
      <c r="AV71" s="108" t="n"/>
      <c r="AW71" s="108" t="n"/>
      <c r="AX71" s="108" t="n"/>
      <c r="AY71" s="108" t="n"/>
      <c r="AZ71" s="108" t="n"/>
      <c r="BA71" s="108" t="n"/>
      <c r="BB71" s="108" t="n"/>
      <c r="BC71" s="108" t="n"/>
      <c r="BD71" s="108" t="n"/>
      <c r="BE71" s="108" t="n"/>
      <c r="BF71" s="108" t="n"/>
      <c r="BG71" s="108" t="n"/>
      <c r="BH71" s="108" t="n"/>
      <c r="BI71" s="109" t="n"/>
    </row>
    <row r="72" ht="14.1" customHeight="1" s="2">
      <c r="A72" s="692" t="n"/>
      <c r="B72" s="758" t="n"/>
      <c r="C72" s="692" t="n"/>
      <c r="D72" s="692" t="n"/>
      <c r="E72" s="692" t="n"/>
      <c r="F72" s="692" t="n"/>
      <c r="G72" s="692" t="n"/>
      <c r="H72" s="692" t="n"/>
      <c r="I72" s="692" t="n"/>
      <c r="J72" s="692" t="n"/>
      <c r="K72" s="692" t="n"/>
      <c r="L72" s="692" t="n"/>
      <c r="M72" s="692" t="n"/>
      <c r="N72" s="692" t="n"/>
      <c r="O72" s="692" t="n"/>
      <c r="P72" s="692" t="n"/>
      <c r="Q72" s="692" t="n"/>
      <c r="R72" s="692" t="n"/>
      <c r="S72" s="692" t="n"/>
      <c r="T72" s="692" t="n"/>
      <c r="U72" s="692" t="n"/>
      <c r="V72" s="692" t="n"/>
      <c r="W72" s="692" t="n"/>
      <c r="X72" s="692" t="n"/>
      <c r="Y72" s="692" t="n"/>
      <c r="Z72" s="692" t="n"/>
      <c r="AA72" s="692" t="n"/>
      <c r="AB72" s="692" t="n"/>
      <c r="AC72" s="692" t="n"/>
      <c r="AD72" s="692" t="n"/>
      <c r="AE72" s="692" t="n"/>
      <c r="AF72" s="692" t="n"/>
      <c r="AG72" s="692" t="n"/>
      <c r="AH72" s="760" t="n"/>
      <c r="AI72" s="108" t="n"/>
      <c r="AJ72" s="108" t="n"/>
      <c r="AK72" s="108" t="n"/>
      <c r="AL72" s="108" t="n"/>
      <c r="AM72" s="108" t="n"/>
      <c r="AN72" s="108" t="n"/>
      <c r="AO72" s="108" t="n"/>
      <c r="AP72" s="108" t="n"/>
      <c r="AQ72" s="108" t="n"/>
      <c r="AR72" s="108" t="n"/>
      <c r="AS72" s="108" t="n"/>
      <c r="AT72" s="108" t="n"/>
      <c r="AU72" s="108" t="n"/>
      <c r="AV72" s="108" t="n"/>
      <c r="AW72" s="108" t="n"/>
      <c r="AX72" s="108" t="n"/>
      <c r="AY72" s="108" t="n"/>
      <c r="AZ72" s="108" t="n"/>
      <c r="BA72" s="108" t="n"/>
      <c r="BB72" s="108" t="n"/>
      <c r="BC72" s="108" t="n"/>
      <c r="BD72" s="108" t="n"/>
      <c r="BE72" s="108" t="n"/>
      <c r="BF72" s="108" t="n"/>
      <c r="BG72" s="108" t="n"/>
      <c r="BH72" s="108" t="n"/>
      <c r="BI72" s="109" t="n"/>
    </row>
    <row r="73" ht="14.1" customHeight="1" s="2">
      <c r="A73" s="692" t="n"/>
      <c r="B73" s="758" t="n"/>
      <c r="C73" s="692" t="n"/>
      <c r="D73" s="692" t="n"/>
      <c r="E73" s="692" t="n"/>
      <c r="F73" s="692" t="n"/>
      <c r="G73" s="692" t="n"/>
      <c r="H73" s="692" t="n"/>
      <c r="I73" s="692" t="n"/>
      <c r="J73" s="692" t="n"/>
      <c r="K73" s="692" t="n"/>
      <c r="L73" s="692" t="n"/>
      <c r="M73" s="692" t="n"/>
      <c r="N73" s="692" t="n"/>
      <c r="O73" s="692" t="n"/>
      <c r="P73" s="692" t="n"/>
      <c r="Q73" s="692" t="n"/>
      <c r="R73" s="692" t="n"/>
      <c r="S73" s="692" t="n"/>
      <c r="T73" s="692" t="n"/>
      <c r="U73" s="692" t="n"/>
      <c r="V73" s="692" t="n"/>
      <c r="W73" s="692" t="n"/>
      <c r="X73" s="692" t="n"/>
      <c r="Y73" s="692" t="n"/>
      <c r="Z73" s="692" t="n"/>
      <c r="AA73" s="692" t="n"/>
      <c r="AB73" s="692" t="n"/>
      <c r="AC73" s="692" t="n"/>
      <c r="AD73" s="692" t="n"/>
      <c r="AE73" s="692" t="n"/>
      <c r="AF73" s="692" t="n"/>
      <c r="AG73" s="692" t="n"/>
      <c r="AH73" s="760" t="n"/>
      <c r="AI73" s="108" t="n"/>
      <c r="AJ73" s="108" t="n"/>
      <c r="AK73" s="108" t="n"/>
      <c r="AL73" s="108" t="n"/>
      <c r="AM73" s="108" t="n"/>
      <c r="AN73" s="108" t="n"/>
      <c r="AO73" s="108" t="n"/>
      <c r="AP73" s="108" t="n"/>
      <c r="AQ73" s="108" t="n"/>
      <c r="AR73" s="108" t="n"/>
      <c r="AS73" s="108" t="n"/>
      <c r="AT73" s="108" t="n"/>
      <c r="AU73" s="108" t="n"/>
      <c r="AV73" s="108" t="n"/>
      <c r="AW73" s="108" t="n"/>
      <c r="AX73" s="108" t="n"/>
      <c r="AY73" s="108" t="n"/>
      <c r="AZ73" s="108" t="n"/>
      <c r="BA73" s="108" t="n"/>
      <c r="BB73" s="108" t="n"/>
      <c r="BC73" s="108" t="n"/>
      <c r="BD73" s="108" t="n"/>
      <c r="BE73" s="108" t="n"/>
      <c r="BF73" s="108" t="n"/>
      <c r="BG73" s="108" t="n"/>
      <c r="BH73" s="108" t="n"/>
      <c r="BI73" s="109" t="n"/>
    </row>
    <row r="74" ht="14.1" customHeight="1" s="2">
      <c r="A74" s="692" t="n"/>
      <c r="B74" s="758" t="n"/>
      <c r="C74" s="692" t="n"/>
      <c r="D74" s="692" t="n"/>
      <c r="E74" s="692" t="n"/>
      <c r="F74" s="692" t="n"/>
      <c r="G74" s="692" t="n"/>
      <c r="H74" s="692" t="n"/>
      <c r="I74" s="692" t="n"/>
      <c r="J74" s="692" t="n"/>
      <c r="K74" s="692" t="n"/>
      <c r="L74" s="692" t="n"/>
      <c r="M74" s="692" t="n"/>
      <c r="N74" s="692" t="n"/>
      <c r="O74" s="692" t="n"/>
      <c r="P74" s="692" t="n"/>
      <c r="Q74" s="692" t="n"/>
      <c r="R74" s="692" t="n"/>
      <c r="S74" s="692" t="n"/>
      <c r="T74" s="692" t="n"/>
      <c r="U74" s="692" t="n"/>
      <c r="V74" s="692" t="n"/>
      <c r="W74" s="692" t="n"/>
      <c r="X74" s="692" t="n"/>
      <c r="Y74" s="692" t="n"/>
      <c r="Z74" s="692" t="n"/>
      <c r="AA74" s="692" t="n"/>
      <c r="AB74" s="692" t="n"/>
      <c r="AC74" s="692" t="n"/>
      <c r="AD74" s="692" t="n"/>
      <c r="AE74" s="692" t="n"/>
      <c r="AF74" s="692" t="n"/>
      <c r="AG74" s="692" t="n"/>
      <c r="AH74" s="760" t="n"/>
      <c r="AI74" s="108" t="n"/>
      <c r="AJ74" s="108" t="n"/>
      <c r="AK74" s="108" t="n"/>
      <c r="AL74" s="108" t="n"/>
      <c r="AM74" s="108" t="n"/>
      <c r="AN74" s="108" t="n"/>
      <c r="AO74" s="108" t="n"/>
      <c r="AP74" s="108" t="n"/>
      <c r="AQ74" s="108" t="n"/>
      <c r="AR74" s="108" t="n"/>
      <c r="AS74" s="108" t="n"/>
      <c r="AT74" s="108" t="n"/>
      <c r="AU74" s="108" t="n"/>
      <c r="AV74" s="108" t="n"/>
      <c r="AW74" s="108" t="n"/>
      <c r="AX74" s="108" t="n"/>
      <c r="AY74" s="108" t="n"/>
      <c r="AZ74" s="108" t="n"/>
      <c r="BA74" s="108" t="n"/>
      <c r="BB74" s="108" t="n"/>
      <c r="BC74" s="108" t="n"/>
      <c r="BD74" s="108" t="n"/>
      <c r="BE74" s="108" t="n"/>
      <c r="BF74" s="108" t="n"/>
      <c r="BG74" s="108" t="n"/>
      <c r="BH74" s="108" t="n"/>
      <c r="BI74" s="109" t="n"/>
    </row>
    <row r="75" ht="14.1" customHeight="1" s="2">
      <c r="A75" s="692" t="n"/>
      <c r="B75" s="758" t="n"/>
      <c r="C75" s="692" t="n"/>
      <c r="D75" s="692" t="n"/>
      <c r="E75" s="692" t="n"/>
      <c r="F75" s="692" t="n"/>
      <c r="G75" s="692" t="n"/>
      <c r="H75" s="692" t="n"/>
      <c r="I75" s="692" t="n"/>
      <c r="J75" s="692" t="n"/>
      <c r="K75" s="692" t="n"/>
      <c r="L75" s="692" t="n"/>
      <c r="M75" s="692" t="n"/>
      <c r="N75" s="692" t="n"/>
      <c r="O75" s="692" t="n"/>
      <c r="P75" s="692" t="n"/>
      <c r="Q75" s="692" t="n"/>
      <c r="R75" s="692" t="n"/>
      <c r="S75" s="692" t="n"/>
      <c r="T75" s="692" t="n"/>
      <c r="U75" s="692" t="n"/>
      <c r="V75" s="692" t="n"/>
      <c r="W75" s="692" t="n"/>
      <c r="X75" s="692" t="n"/>
      <c r="Y75" s="692" t="n"/>
      <c r="Z75" s="692" t="n"/>
      <c r="AA75" s="692" t="n"/>
      <c r="AB75" s="692" t="n"/>
      <c r="AC75" s="692" t="n"/>
      <c r="AD75" s="692" t="n"/>
      <c r="AE75" s="692" t="n"/>
      <c r="AF75" s="692" t="n"/>
      <c r="AG75" s="692" t="n"/>
      <c r="AH75" s="760" t="n"/>
      <c r="AI75" s="108" t="n"/>
      <c r="AJ75" s="108" t="n"/>
      <c r="AK75" s="108" t="n"/>
      <c r="AL75" s="108" t="n"/>
      <c r="AM75" s="108" t="n"/>
      <c r="AN75" s="108" t="n"/>
      <c r="AO75" s="108" t="n"/>
      <c r="AP75" s="108" t="n"/>
      <c r="AQ75" s="108" t="n"/>
      <c r="AR75" s="108" t="n"/>
      <c r="AS75" s="108" t="n"/>
      <c r="AT75" s="108" t="n"/>
      <c r="AU75" s="108" t="n"/>
      <c r="AV75" s="108" t="n"/>
      <c r="AW75" s="108" t="n"/>
      <c r="AX75" s="108" t="n"/>
      <c r="AY75" s="108" t="n"/>
      <c r="AZ75" s="108" t="n"/>
      <c r="BA75" s="108" t="n"/>
      <c r="BB75" s="108" t="n"/>
      <c r="BC75" s="108" t="n"/>
      <c r="BD75" s="108" t="n"/>
      <c r="BE75" s="108" t="n"/>
      <c r="BF75" s="108" t="n"/>
      <c r="BG75" s="108" t="n"/>
      <c r="BH75" s="108" t="n"/>
      <c r="BI75" s="109" t="n"/>
    </row>
    <row r="76" ht="14.1" customHeight="1" s="2">
      <c r="A76" s="692" t="n"/>
      <c r="B76" s="758" t="n"/>
      <c r="C76" s="692" t="n"/>
      <c r="D76" s="692" t="n"/>
      <c r="E76" s="692" t="n"/>
      <c r="F76" s="692" t="n"/>
      <c r="G76" s="692" t="n"/>
      <c r="H76" s="692" t="n"/>
      <c r="I76" s="692" t="n"/>
      <c r="J76" s="692" t="n"/>
      <c r="K76" s="692" t="n"/>
      <c r="L76" s="692" t="n"/>
      <c r="M76" s="692" t="n"/>
      <c r="N76" s="692" t="n"/>
      <c r="O76" s="692" t="n"/>
      <c r="P76" s="692" t="n"/>
      <c r="Q76" s="692" t="n"/>
      <c r="R76" s="692" t="n"/>
      <c r="S76" s="692" t="n"/>
      <c r="T76" s="692" t="n"/>
      <c r="U76" s="692" t="n"/>
      <c r="V76" s="692" t="n"/>
      <c r="W76" s="692" t="n"/>
      <c r="X76" s="692" t="n"/>
      <c r="Y76" s="692" t="n"/>
      <c r="Z76" s="692" t="n"/>
      <c r="AA76" s="692" t="n"/>
      <c r="AB76" s="692" t="n"/>
      <c r="AC76" s="692" t="n"/>
      <c r="AD76" s="692" t="n"/>
      <c r="AE76" s="692" t="n"/>
      <c r="AF76" s="692" t="n"/>
      <c r="AG76" s="692" t="n"/>
      <c r="AH76" s="760" t="n"/>
      <c r="AI76" s="108" t="n"/>
      <c r="AJ76" s="108" t="n"/>
      <c r="AK76" s="108" t="n"/>
      <c r="AL76" s="108" t="n"/>
      <c r="AM76" s="108" t="n"/>
      <c r="AN76" s="108" t="n"/>
      <c r="AO76" s="108" t="n"/>
      <c r="AP76" s="108" t="n"/>
      <c r="AQ76" s="108" t="n"/>
      <c r="AR76" s="108" t="n"/>
      <c r="AS76" s="108" t="n"/>
      <c r="AT76" s="108" t="n"/>
      <c r="AU76" s="108" t="n"/>
      <c r="AV76" s="108" t="n"/>
      <c r="AW76" s="108" t="n"/>
      <c r="AX76" s="108" t="n"/>
      <c r="AY76" s="108" t="n"/>
      <c r="AZ76" s="108" t="n"/>
      <c r="BA76" s="108" t="n"/>
      <c r="BB76" s="108" t="n"/>
      <c r="BC76" s="108" t="n"/>
      <c r="BD76" s="108" t="n"/>
      <c r="BE76" s="108" t="n"/>
      <c r="BF76" s="108" t="n"/>
      <c r="BG76" s="108" t="n"/>
      <c r="BH76" s="108" t="n"/>
      <c r="BI76" s="109" t="n"/>
    </row>
    <row r="77" ht="14.1" customHeight="1" s="2">
      <c r="A77" s="692" t="n"/>
      <c r="B77" s="758" t="n"/>
      <c r="C77" s="692" t="n"/>
      <c r="D77" s="692" t="n"/>
      <c r="E77" s="692" t="n"/>
      <c r="F77" s="692" t="n"/>
      <c r="G77" s="692" t="n"/>
      <c r="H77" s="692" t="n"/>
      <c r="I77" s="692" t="n"/>
      <c r="J77" s="692" t="n"/>
      <c r="K77" s="692" t="n"/>
      <c r="L77" s="692" t="n"/>
      <c r="M77" s="692" t="n"/>
      <c r="N77" s="692" t="n"/>
      <c r="O77" s="692" t="n"/>
      <c r="P77" s="692" t="n"/>
      <c r="Q77" s="692" t="n"/>
      <c r="R77" s="692" t="n"/>
      <c r="S77" s="692" t="n"/>
      <c r="T77" s="692" t="n"/>
      <c r="U77" s="692" t="n"/>
      <c r="V77" s="692" t="n"/>
      <c r="W77" s="692" t="n"/>
      <c r="X77" s="692" t="n"/>
      <c r="Y77" s="692" t="n"/>
      <c r="Z77" s="692" t="n"/>
      <c r="AA77" s="692" t="n"/>
      <c r="AB77" s="692" t="n"/>
      <c r="AC77" s="692" t="n"/>
      <c r="AD77" s="692" t="n"/>
      <c r="AE77" s="692" t="n"/>
      <c r="AF77" s="692" t="n"/>
      <c r="AG77" s="692" t="n"/>
      <c r="AH77" s="760" t="n"/>
      <c r="AI77" s="108" t="n"/>
      <c r="AJ77" s="108" t="n"/>
      <c r="AK77" s="108" t="n"/>
      <c r="AL77" s="108" t="n"/>
      <c r="AM77" s="108" t="n"/>
      <c r="AN77" s="108" t="n"/>
      <c r="AO77" s="108" t="n"/>
      <c r="AP77" s="108" t="n"/>
      <c r="AQ77" s="108" t="n"/>
      <c r="AR77" s="108" t="n"/>
      <c r="AS77" s="108" t="n"/>
      <c r="AT77" s="108" t="n"/>
      <c r="AU77" s="108" t="n"/>
      <c r="AV77" s="108" t="n"/>
      <c r="AW77" s="108" t="n"/>
      <c r="AX77" s="108" t="n"/>
      <c r="AY77" s="108" t="n"/>
      <c r="AZ77" s="108" t="n"/>
      <c r="BA77" s="108" t="n"/>
      <c r="BB77" s="108" t="n"/>
      <c r="BC77" s="108" t="n"/>
      <c r="BD77" s="108" t="n"/>
      <c r="BE77" s="108" t="n"/>
      <c r="BF77" s="108" t="n"/>
      <c r="BG77" s="108" t="n"/>
      <c r="BH77" s="108" t="n"/>
      <c r="BI77" s="109" t="n"/>
    </row>
    <row r="78" ht="14.1" customHeight="1" s="2">
      <c r="A78" s="692" t="n"/>
      <c r="B78" s="758" t="n"/>
      <c r="C78" s="692" t="n"/>
      <c r="D78" s="692" t="n"/>
      <c r="E78" s="692" t="n"/>
      <c r="F78" s="692" t="n"/>
      <c r="G78" s="692" t="n"/>
      <c r="H78" s="692" t="n"/>
      <c r="I78" s="692" t="n"/>
      <c r="J78" s="692" t="n"/>
      <c r="K78" s="692" t="n"/>
      <c r="L78" s="692" t="n"/>
      <c r="M78" s="692" t="n"/>
      <c r="N78" s="692" t="n"/>
      <c r="O78" s="692" t="n"/>
      <c r="P78" s="692" t="n"/>
      <c r="Q78" s="692" t="n"/>
      <c r="R78" s="692" t="n"/>
      <c r="S78" s="692" t="n"/>
      <c r="T78" s="692" t="n"/>
      <c r="U78" s="692" t="n"/>
      <c r="V78" s="692" t="n"/>
      <c r="W78" s="692" t="n"/>
      <c r="X78" s="692" t="n"/>
      <c r="Y78" s="692" t="n"/>
      <c r="Z78" s="692" t="n"/>
      <c r="AA78" s="692" t="n"/>
      <c r="AB78" s="692" t="n"/>
      <c r="AC78" s="692" t="n"/>
      <c r="AD78" s="692" t="n"/>
      <c r="AE78" s="692" t="n"/>
      <c r="AF78" s="692" t="n"/>
      <c r="AG78" s="692" t="n"/>
      <c r="AH78" s="760" t="n"/>
      <c r="AI78" s="108" t="n"/>
      <c r="AJ78" s="108" t="n"/>
      <c r="AK78" s="108" t="n"/>
      <c r="AL78" s="108" t="n"/>
      <c r="AM78" s="108" t="n"/>
      <c r="AN78" s="108" t="n"/>
      <c r="AO78" s="108" t="n"/>
      <c r="AP78" s="108" t="n"/>
      <c r="AQ78" s="108" t="n"/>
      <c r="AR78" s="108" t="n"/>
      <c r="AS78" s="108" t="n"/>
      <c r="AT78" s="108" t="n"/>
      <c r="AU78" s="108" t="n"/>
      <c r="AV78" s="108" t="n"/>
      <c r="AW78" s="108" t="n"/>
      <c r="AX78" s="108" t="n"/>
      <c r="AY78" s="108" t="n"/>
      <c r="AZ78" s="108" t="n"/>
      <c r="BA78" s="108" t="n"/>
      <c r="BB78" s="108" t="n"/>
      <c r="BC78" s="108" t="n"/>
      <c r="BD78" s="108" t="n"/>
      <c r="BE78" s="108" t="n"/>
      <c r="BF78" s="108" t="n"/>
      <c r="BG78" s="108" t="n"/>
      <c r="BH78" s="108" t="n"/>
      <c r="BI78" s="109" t="n"/>
    </row>
    <row r="79" ht="14.1" customHeight="1" s="2">
      <c r="A79" s="692" t="n"/>
      <c r="B79" s="758" t="n"/>
      <c r="C79" s="692" t="n"/>
      <c r="D79" s="692" t="n"/>
      <c r="E79" s="692" t="n"/>
      <c r="F79" s="692" t="n"/>
      <c r="G79" s="692" t="n"/>
      <c r="H79" s="692" t="n"/>
      <c r="I79" s="692" t="n"/>
      <c r="J79" s="692" t="n"/>
      <c r="K79" s="692" t="n"/>
      <c r="L79" s="692" t="n"/>
      <c r="M79" s="692" t="n"/>
      <c r="N79" s="692" t="n"/>
      <c r="O79" s="692" t="n"/>
      <c r="P79" s="692" t="n"/>
      <c r="Q79" s="692" t="n"/>
      <c r="R79" s="692" t="n"/>
      <c r="S79" s="692" t="n"/>
      <c r="T79" s="692" t="n"/>
      <c r="U79" s="692" t="n"/>
      <c r="V79" s="692" t="n"/>
      <c r="W79" s="692" t="n"/>
      <c r="X79" s="692" t="n"/>
      <c r="Y79" s="692" t="n"/>
      <c r="Z79" s="692" t="n"/>
      <c r="AA79" s="692" t="n"/>
      <c r="AB79" s="692" t="n"/>
      <c r="AC79" s="692" t="n"/>
      <c r="AD79" s="692" t="n"/>
      <c r="AE79" s="692" t="n"/>
      <c r="AF79" s="692" t="n"/>
      <c r="AG79" s="692" t="n"/>
      <c r="AH79" s="760" t="n"/>
      <c r="AI79" s="108" t="n"/>
      <c r="AJ79" s="108" t="n"/>
      <c r="AK79" s="108" t="n"/>
      <c r="AL79" s="108" t="n"/>
      <c r="AM79" s="108" t="n"/>
      <c r="AN79" s="108" t="n"/>
      <c r="AO79" s="108" t="n"/>
      <c r="AP79" s="108" t="n"/>
      <c r="AQ79" s="108" t="n"/>
      <c r="AR79" s="108" t="n"/>
      <c r="AS79" s="108" t="n"/>
      <c r="AT79" s="108" t="n"/>
      <c r="AU79" s="108" t="n"/>
      <c r="AV79" s="108" t="n"/>
      <c r="AW79" s="108" t="n"/>
      <c r="AX79" s="108" t="n"/>
      <c r="AY79" s="108" t="n"/>
      <c r="AZ79" s="108" t="n"/>
      <c r="BA79" s="108" t="n"/>
      <c r="BB79" s="108" t="n"/>
      <c r="BC79" s="108" t="n"/>
      <c r="BD79" s="108" t="n"/>
      <c r="BE79" s="108" t="n"/>
      <c r="BF79" s="108" t="n"/>
      <c r="BG79" s="108" t="n"/>
      <c r="BH79" s="108" t="n"/>
      <c r="BI79" s="109" t="n"/>
    </row>
    <row r="80" ht="14.1" customHeight="1" s="2">
      <c r="A80" s="692" t="n"/>
      <c r="B80" s="758" t="n"/>
      <c r="C80" s="692" t="n"/>
      <c r="D80" s="692" t="n"/>
      <c r="E80" s="692" t="n"/>
      <c r="F80" s="692" t="n"/>
      <c r="G80" s="692" t="n"/>
      <c r="H80" s="692" t="n"/>
      <c r="I80" s="692" t="n"/>
      <c r="J80" s="692" t="n"/>
      <c r="K80" s="692" t="n"/>
      <c r="L80" s="692" t="n"/>
      <c r="M80" s="692" t="n"/>
      <c r="N80" s="692" t="n"/>
      <c r="O80" s="692" t="n"/>
      <c r="P80" s="692" t="n"/>
      <c r="Q80" s="692" t="n"/>
      <c r="R80" s="692" t="n"/>
      <c r="S80" s="692" t="n"/>
      <c r="T80" s="692" t="n"/>
      <c r="U80" s="692" t="n"/>
      <c r="V80" s="692" t="n"/>
      <c r="W80" s="692" t="n"/>
      <c r="X80" s="692" t="n"/>
      <c r="Y80" s="692" t="n"/>
      <c r="Z80" s="692" t="n"/>
      <c r="AA80" s="692" t="n"/>
      <c r="AB80" s="692" t="n"/>
      <c r="AC80" s="692" t="n"/>
      <c r="AD80" s="692" t="n"/>
      <c r="AE80" s="692" t="n"/>
      <c r="AF80" s="692" t="n"/>
      <c r="AG80" s="692" t="n"/>
      <c r="AH80" s="760" t="n"/>
      <c r="AI80" s="108" t="n"/>
      <c r="AJ80" s="108" t="n"/>
      <c r="AK80" s="108" t="n"/>
      <c r="AL80" s="108" t="n"/>
      <c r="AM80" s="108" t="n"/>
      <c r="AN80" s="108" t="n"/>
      <c r="AO80" s="108" t="n"/>
      <c r="AP80" s="108" t="n"/>
      <c r="AQ80" s="108" t="n"/>
      <c r="AR80" s="108" t="n"/>
      <c r="AS80" s="108" t="n"/>
      <c r="AT80" s="108" t="n"/>
      <c r="AU80" s="108" t="n"/>
      <c r="AV80" s="108" t="n"/>
      <c r="AW80" s="108" t="n"/>
      <c r="AX80" s="108" t="n"/>
      <c r="AY80" s="108" t="n"/>
      <c r="AZ80" s="108" t="n"/>
      <c r="BA80" s="108" t="n"/>
      <c r="BB80" s="108" t="n"/>
      <c r="BC80" s="108" t="n"/>
      <c r="BD80" s="108" t="n"/>
      <c r="BE80" s="108" t="n"/>
      <c r="BF80" s="108" t="n"/>
      <c r="BG80" s="108" t="n"/>
      <c r="BH80" s="108" t="n"/>
      <c r="BI80" s="109" t="n"/>
    </row>
    <row r="81" ht="14.1" customHeight="1" s="2">
      <c r="A81" s="692" t="n"/>
      <c r="B81" s="758" t="n"/>
      <c r="C81" s="692" t="n"/>
      <c r="D81" s="692" t="n"/>
      <c r="E81" s="692" t="n"/>
      <c r="F81" s="692" t="n"/>
      <c r="G81" s="692" t="n"/>
      <c r="H81" s="692" t="n"/>
      <c r="I81" s="692" t="n"/>
      <c r="J81" s="692" t="n"/>
      <c r="K81" s="692" t="n"/>
      <c r="L81" s="692" t="n"/>
      <c r="M81" s="692" t="n"/>
      <c r="N81" s="692" t="n"/>
      <c r="O81" s="692" t="n"/>
      <c r="P81" s="692" t="n"/>
      <c r="Q81" s="692" t="n"/>
      <c r="R81" s="692" t="n"/>
      <c r="S81" s="692" t="n"/>
      <c r="T81" s="692" t="n"/>
      <c r="U81" s="692" t="n"/>
      <c r="V81" s="692" t="n"/>
      <c r="W81" s="692" t="n"/>
      <c r="X81" s="692" t="n"/>
      <c r="Y81" s="692" t="n"/>
      <c r="Z81" s="692" t="n"/>
      <c r="AA81" s="692" t="n"/>
      <c r="AB81" s="692" t="n"/>
      <c r="AC81" s="692" t="n"/>
      <c r="AD81" s="692" t="n"/>
      <c r="AE81" s="692" t="n"/>
      <c r="AF81" s="692" t="n"/>
      <c r="AG81" s="692" t="n"/>
      <c r="AH81" s="760" t="n"/>
      <c r="AI81" s="108" t="n"/>
      <c r="AJ81" s="108" t="n"/>
      <c r="AK81" s="108" t="n"/>
      <c r="AL81" s="108" t="n"/>
      <c r="AM81" s="108" t="n"/>
      <c r="AN81" s="108" t="n"/>
      <c r="AO81" s="108" t="n"/>
      <c r="AP81" s="108" t="n"/>
      <c r="AQ81" s="108" t="n"/>
      <c r="AR81" s="108" t="n"/>
      <c r="AS81" s="108" t="n"/>
      <c r="AT81" s="108" t="n"/>
      <c r="AU81" s="108" t="n"/>
      <c r="AV81" s="108" t="n"/>
      <c r="AW81" s="108" t="n"/>
      <c r="AX81" s="108" t="n"/>
      <c r="AY81" s="108" t="n"/>
      <c r="AZ81" s="108" t="n"/>
      <c r="BA81" s="108" t="n"/>
      <c r="BB81" s="108" t="n"/>
      <c r="BC81" s="108" t="n"/>
      <c r="BD81" s="108" t="n"/>
      <c r="BE81" s="108" t="n"/>
      <c r="BF81" s="108" t="n"/>
      <c r="BG81" s="108" t="n"/>
      <c r="BH81" s="108" t="n"/>
      <c r="BI81" s="109" t="n"/>
    </row>
    <row r="82" ht="14.1" customHeight="1" s="2">
      <c r="A82" s="692" t="n"/>
      <c r="B82" s="758" t="n"/>
      <c r="C82" s="692" t="n"/>
      <c r="D82" s="692" t="n"/>
      <c r="E82" s="692" t="n"/>
      <c r="F82" s="692" t="n"/>
      <c r="G82" s="692" t="n"/>
      <c r="H82" s="692" t="n"/>
      <c r="I82" s="692" t="n"/>
      <c r="J82" s="692" t="n"/>
      <c r="K82" s="692" t="n"/>
      <c r="L82" s="692" t="n"/>
      <c r="M82" s="692" t="n"/>
      <c r="N82" s="692" t="n"/>
      <c r="O82" s="692" t="n"/>
      <c r="P82" s="692" t="n"/>
      <c r="Q82" s="692" t="n"/>
      <c r="R82" s="692" t="n"/>
      <c r="S82" s="692" t="n"/>
      <c r="T82" s="692" t="n"/>
      <c r="U82" s="692" t="n"/>
      <c r="V82" s="692" t="n"/>
      <c r="W82" s="692" t="n"/>
      <c r="X82" s="692" t="n"/>
      <c r="Y82" s="692" t="n"/>
      <c r="Z82" s="692" t="n"/>
      <c r="AA82" s="692" t="n"/>
      <c r="AB82" s="692" t="n"/>
      <c r="AC82" s="692" t="n"/>
      <c r="AD82" s="692" t="n"/>
      <c r="AE82" s="692" t="n"/>
      <c r="AF82" s="692" t="n"/>
      <c r="AG82" s="692" t="n"/>
      <c r="AH82" s="760" t="n"/>
      <c r="AI82" s="108" t="n"/>
      <c r="AJ82" s="108" t="n"/>
      <c r="AK82" s="108" t="n"/>
      <c r="AL82" s="108" t="n"/>
      <c r="AM82" s="108" t="n"/>
      <c r="AN82" s="108" t="n"/>
      <c r="AO82" s="108" t="n"/>
      <c r="AP82" s="108" t="n"/>
      <c r="AQ82" s="108" t="n"/>
      <c r="AR82" s="108" t="n"/>
      <c r="AS82" s="108" t="n"/>
      <c r="AT82" s="108" t="n"/>
      <c r="AU82" s="108" t="n"/>
      <c r="AV82" s="108" t="n"/>
      <c r="AW82" s="108" t="n"/>
      <c r="AX82" s="108" t="n"/>
      <c r="AY82" s="108" t="n"/>
      <c r="AZ82" s="108" t="n"/>
      <c r="BA82" s="108" t="n"/>
      <c r="BB82" s="108" t="n"/>
      <c r="BC82" s="108" t="n"/>
      <c r="BD82" s="108" t="n"/>
      <c r="BE82" s="108" t="n"/>
      <c r="BF82" s="108" t="n"/>
      <c r="BG82" s="108" t="n"/>
      <c r="BH82" s="108" t="n"/>
      <c r="BI82" s="109" t="n"/>
    </row>
    <row r="83" ht="14.1" customHeight="1" s="2">
      <c r="A83" s="692" t="n"/>
      <c r="B83" s="758" t="n"/>
      <c r="C83" s="692" t="n"/>
      <c r="D83" s="692" t="n"/>
      <c r="E83" s="692" t="n"/>
      <c r="F83" s="692" t="n"/>
      <c r="G83" s="692" t="n"/>
      <c r="H83" s="692" t="n"/>
      <c r="I83" s="692" t="n"/>
      <c r="J83" s="692" t="n"/>
      <c r="K83" s="692" t="n"/>
      <c r="L83" s="692" t="n"/>
      <c r="M83" s="692" t="n"/>
      <c r="N83" s="692" t="n"/>
      <c r="O83" s="692" t="n"/>
      <c r="P83" s="692" t="n"/>
      <c r="Q83" s="692" t="n"/>
      <c r="R83" s="692" t="n"/>
      <c r="S83" s="692" t="n"/>
      <c r="T83" s="692" t="n"/>
      <c r="U83" s="692" t="n"/>
      <c r="V83" s="692" t="n"/>
      <c r="W83" s="692" t="n"/>
      <c r="X83" s="692" t="n"/>
      <c r="Y83" s="692" t="n"/>
      <c r="Z83" s="692" t="n"/>
      <c r="AA83" s="692" t="n"/>
      <c r="AB83" s="692" t="n"/>
      <c r="AC83" s="692" t="n"/>
      <c r="AD83" s="692" t="n"/>
      <c r="AE83" s="692" t="n"/>
      <c r="AF83" s="692" t="n"/>
      <c r="AG83" s="692" t="n"/>
      <c r="AH83" s="760" t="n"/>
      <c r="AI83" s="108" t="n"/>
      <c r="AJ83" s="108" t="n"/>
      <c r="AK83" s="108" t="n"/>
      <c r="AL83" s="108" t="n"/>
      <c r="AM83" s="108" t="n"/>
      <c r="AN83" s="108" t="n"/>
      <c r="AO83" s="108" t="n"/>
      <c r="AP83" s="108" t="n"/>
      <c r="AQ83" s="108" t="n"/>
      <c r="AR83" s="108" t="n"/>
      <c r="AS83" s="108" t="n"/>
      <c r="AT83" s="108" t="n"/>
      <c r="AU83" s="108" t="n"/>
      <c r="AV83" s="108" t="n"/>
      <c r="AW83" s="108" t="n"/>
      <c r="AX83" s="108" t="n"/>
      <c r="AY83" s="108" t="n"/>
      <c r="AZ83" s="108" t="n"/>
      <c r="BA83" s="108" t="n"/>
      <c r="BB83" s="108" t="n"/>
      <c r="BC83" s="108" t="n"/>
      <c r="BD83" s="108" t="n"/>
      <c r="BE83" s="108" t="n"/>
      <c r="BF83" s="108" t="n"/>
      <c r="BG83" s="108" t="n"/>
      <c r="BH83" s="108" t="n"/>
      <c r="BI83" s="109" t="n"/>
    </row>
    <row r="84" ht="14.1" customHeight="1" s="2">
      <c r="A84" s="692" t="n"/>
      <c r="B84" s="758" t="n"/>
      <c r="C84" s="692" t="n"/>
      <c r="D84" s="692" t="n"/>
      <c r="E84" s="692" t="n"/>
      <c r="F84" s="692" t="n"/>
      <c r="G84" s="692" t="n"/>
      <c r="H84" s="692" t="n"/>
      <c r="I84" s="692" t="n"/>
      <c r="J84" s="692" t="n"/>
      <c r="K84" s="692" t="n"/>
      <c r="L84" s="692" t="n"/>
      <c r="M84" s="692" t="n"/>
      <c r="N84" s="692" t="n"/>
      <c r="O84" s="692" t="n"/>
      <c r="P84" s="692" t="n"/>
      <c r="Q84" s="692" t="n"/>
      <c r="R84" s="692" t="n"/>
      <c r="S84" s="692" t="n"/>
      <c r="T84" s="692" t="n"/>
      <c r="U84" s="692" t="n"/>
      <c r="V84" s="692" t="n"/>
      <c r="W84" s="692" t="n"/>
      <c r="X84" s="692" t="n"/>
      <c r="Y84" s="692" t="n"/>
      <c r="Z84" s="692" t="n"/>
      <c r="AA84" s="692" t="n"/>
      <c r="AB84" s="692" t="n"/>
      <c r="AC84" s="692" t="n"/>
      <c r="AD84" s="692" t="n"/>
      <c r="AE84" s="692" t="n"/>
      <c r="AF84" s="692" t="n"/>
      <c r="AG84" s="692" t="n"/>
      <c r="AH84" s="760" t="n"/>
      <c r="AI84" s="108" t="n"/>
      <c r="AJ84" s="108" t="n"/>
      <c r="AK84" s="108" t="n"/>
      <c r="AL84" s="108" t="n"/>
      <c r="AM84" s="108" t="n"/>
      <c r="AN84" s="108" t="n"/>
      <c r="AO84" s="108" t="n"/>
      <c r="AP84" s="108" t="n"/>
      <c r="AQ84" s="108" t="n"/>
      <c r="AR84" s="108" t="n"/>
      <c r="AS84" s="108" t="n"/>
      <c r="AT84" s="108" t="n"/>
      <c r="AU84" s="108" t="n"/>
      <c r="AV84" s="108" t="n"/>
      <c r="AW84" s="108" t="n"/>
      <c r="AX84" s="108" t="n"/>
      <c r="AY84" s="108" t="n"/>
      <c r="AZ84" s="108" t="n"/>
      <c r="BA84" s="108" t="n"/>
      <c r="BB84" s="108" t="n"/>
      <c r="BC84" s="108" t="n"/>
      <c r="BD84" s="108" t="n"/>
      <c r="BE84" s="108" t="n"/>
      <c r="BF84" s="108" t="n"/>
      <c r="BG84" s="108" t="n"/>
      <c r="BH84" s="108" t="n"/>
      <c r="BI84" s="109" t="n"/>
    </row>
    <row r="85" ht="14.1" customHeight="1" s="2">
      <c r="A85" s="692" t="n"/>
      <c r="B85" s="758" t="n"/>
      <c r="C85" s="692" t="n"/>
      <c r="D85" s="692" t="n"/>
      <c r="E85" s="692" t="n"/>
      <c r="F85" s="692" t="n"/>
      <c r="G85" s="692" t="n"/>
      <c r="H85" s="692" t="n"/>
      <c r="I85" s="692" t="n"/>
      <c r="J85" s="692" t="n"/>
      <c r="K85" s="692" t="n"/>
      <c r="L85" s="692" t="n"/>
      <c r="M85" s="692" t="n"/>
      <c r="N85" s="692" t="n"/>
      <c r="O85" s="692" t="n"/>
      <c r="P85" s="692" t="n"/>
      <c r="Q85" s="692" t="n"/>
      <c r="R85" s="692" t="n"/>
      <c r="S85" s="692" t="n"/>
      <c r="T85" s="692" t="n"/>
      <c r="U85" s="692" t="n"/>
      <c r="V85" s="692" t="n"/>
      <c r="W85" s="692" t="n"/>
      <c r="X85" s="692" t="n"/>
      <c r="Y85" s="692" t="n"/>
      <c r="Z85" s="692" t="n"/>
      <c r="AA85" s="692" t="n"/>
      <c r="AB85" s="692" t="n"/>
      <c r="AC85" s="692" t="n"/>
      <c r="AD85" s="692" t="n"/>
      <c r="AE85" s="692" t="n"/>
      <c r="AF85" s="692" t="n"/>
      <c r="AG85" s="692" t="n"/>
      <c r="AH85" s="760" t="n"/>
      <c r="AI85" s="108" t="n"/>
      <c r="AJ85" s="108" t="n"/>
      <c r="AK85" s="108" t="n"/>
      <c r="AL85" s="108" t="n"/>
      <c r="AM85" s="108" t="n"/>
      <c r="AN85" s="108" t="n"/>
      <c r="AO85" s="108" t="n"/>
      <c r="AP85" s="108" t="n"/>
      <c r="AQ85" s="108" t="n"/>
      <c r="AR85" s="108" t="n"/>
      <c r="AS85" s="108" t="n"/>
      <c r="AT85" s="108" t="n"/>
      <c r="AU85" s="108" t="n"/>
      <c r="AV85" s="108" t="n"/>
      <c r="AW85" s="108" t="n"/>
      <c r="AX85" s="108" t="n"/>
      <c r="AY85" s="108" t="n"/>
      <c r="AZ85" s="108" t="n"/>
      <c r="BA85" s="108" t="n"/>
      <c r="BB85" s="108" t="n"/>
      <c r="BC85" s="108" t="n"/>
      <c r="BD85" s="108" t="n"/>
      <c r="BE85" s="108" t="n"/>
      <c r="BF85" s="108" t="n"/>
      <c r="BG85" s="108" t="n"/>
      <c r="BH85" s="108" t="n"/>
      <c r="BI85" s="109" t="n"/>
    </row>
    <row r="86" ht="14.1" customHeight="1" s="2">
      <c r="A86" s="692" t="n"/>
      <c r="B86" s="758" t="n"/>
      <c r="C86" s="692" t="n"/>
      <c r="D86" s="692" t="n"/>
      <c r="E86" s="692" t="n"/>
      <c r="F86" s="692" t="n"/>
      <c r="G86" s="692" t="n"/>
      <c r="H86" s="692" t="n"/>
      <c r="I86" s="692" t="n"/>
      <c r="J86" s="692" t="n"/>
      <c r="K86" s="692" t="n"/>
      <c r="L86" s="692" t="n"/>
      <c r="M86" s="692" t="n"/>
      <c r="N86" s="692" t="n"/>
      <c r="O86" s="692" t="n"/>
      <c r="P86" s="692" t="n"/>
      <c r="Q86" s="692" t="n"/>
      <c r="R86" s="692" t="n"/>
      <c r="S86" s="692" t="n"/>
      <c r="T86" s="692" t="n"/>
      <c r="U86" s="692" t="n"/>
      <c r="V86" s="692" t="n"/>
      <c r="W86" s="692" t="n"/>
      <c r="X86" s="692" t="n"/>
      <c r="Y86" s="692" t="n"/>
      <c r="Z86" s="692" t="n"/>
      <c r="AA86" s="692" t="n"/>
      <c r="AB86" s="692" t="n"/>
      <c r="AC86" s="692" t="n"/>
      <c r="AD86" s="692" t="n"/>
      <c r="AE86" s="692" t="n"/>
      <c r="AF86" s="692" t="n"/>
      <c r="AG86" s="692" t="n"/>
      <c r="AH86" s="760" t="n"/>
      <c r="AI86" s="108" t="n"/>
      <c r="AJ86" s="108" t="n"/>
      <c r="AK86" s="108" t="n"/>
      <c r="AL86" s="108" t="n"/>
      <c r="AM86" s="108" t="n"/>
      <c r="AN86" s="108" t="n"/>
      <c r="AO86" s="108" t="n"/>
      <c r="AP86" s="108" t="n"/>
      <c r="AQ86" s="108" t="n"/>
      <c r="AR86" s="108" t="n"/>
      <c r="AS86" s="108" t="n"/>
      <c r="AT86" s="108" t="n"/>
      <c r="AU86" s="108" t="n"/>
      <c r="AV86" s="108" t="n"/>
      <c r="AW86" s="108" t="n"/>
      <c r="AX86" s="108" t="n"/>
      <c r="AY86" s="108" t="n"/>
      <c r="AZ86" s="108" t="n"/>
      <c r="BA86" s="108" t="n"/>
      <c r="BB86" s="108" t="n"/>
      <c r="BC86" s="108" t="n"/>
      <c r="BD86" s="108" t="n"/>
      <c r="BE86" s="108" t="n"/>
      <c r="BF86" s="108" t="n"/>
      <c r="BG86" s="108" t="n"/>
      <c r="BH86" s="108" t="n"/>
      <c r="BI86" s="109" t="n"/>
    </row>
    <row r="87" ht="14.1" customHeight="1" s="2">
      <c r="A87" s="692" t="n"/>
      <c r="B87" s="758" t="n"/>
      <c r="C87" s="692" t="n"/>
      <c r="D87" s="692" t="n"/>
      <c r="E87" s="692" t="n"/>
      <c r="F87" s="692" t="n"/>
      <c r="G87" s="692" t="n"/>
      <c r="H87" s="692" t="n"/>
      <c r="I87" s="692" t="n"/>
      <c r="J87" s="692" t="n"/>
      <c r="K87" s="692" t="n"/>
      <c r="L87" s="692" t="n"/>
      <c r="M87" s="692" t="n"/>
      <c r="N87" s="692" t="n"/>
      <c r="O87" s="692" t="n"/>
      <c r="P87" s="692" t="n"/>
      <c r="Q87" s="692" t="n"/>
      <c r="R87" s="692" t="n"/>
      <c r="S87" s="692" t="n"/>
      <c r="T87" s="692" t="n"/>
      <c r="U87" s="692" t="n"/>
      <c r="V87" s="692" t="n"/>
      <c r="W87" s="692" t="n"/>
      <c r="X87" s="692" t="n"/>
      <c r="Y87" s="692" t="n"/>
      <c r="Z87" s="692" t="n"/>
      <c r="AA87" s="692" t="n"/>
      <c r="AB87" s="692" t="n"/>
      <c r="AC87" s="692" t="n"/>
      <c r="AD87" s="692" t="n"/>
      <c r="AE87" s="692" t="n"/>
      <c r="AF87" s="692" t="n"/>
      <c r="AG87" s="692" t="n"/>
      <c r="AH87" s="760" t="n"/>
      <c r="AI87" s="108" t="n"/>
      <c r="AJ87" s="108" t="n"/>
      <c r="AK87" s="108" t="n"/>
      <c r="AL87" s="108" t="n"/>
      <c r="AM87" s="108" t="n"/>
      <c r="AN87" s="108" t="n"/>
      <c r="AO87" s="108" t="n"/>
      <c r="AP87" s="108" t="n"/>
      <c r="AQ87" s="108" t="n"/>
      <c r="AR87" s="108" t="n"/>
      <c r="AS87" s="108" t="n"/>
      <c r="AT87" s="108" t="n"/>
      <c r="AU87" s="108" t="n"/>
      <c r="AV87" s="108" t="n"/>
      <c r="AW87" s="108" t="n"/>
      <c r="AX87" s="108" t="n"/>
      <c r="AY87" s="108" t="n"/>
      <c r="AZ87" s="108" t="n"/>
      <c r="BA87" s="108" t="n"/>
      <c r="BB87" s="108" t="n"/>
      <c r="BC87" s="108" t="n"/>
      <c r="BD87" s="108" t="n"/>
      <c r="BE87" s="108" t="n"/>
      <c r="BF87" s="108" t="n"/>
      <c r="BG87" s="108" t="n"/>
      <c r="BH87" s="108" t="n"/>
      <c r="BI87" s="109" t="n"/>
    </row>
    <row r="88" ht="14.1" customHeight="1" s="2">
      <c r="A88" s="692" t="n"/>
      <c r="B88" s="758" t="n"/>
      <c r="C88" s="692" t="n"/>
      <c r="D88" s="692" t="n"/>
      <c r="E88" s="692" t="n"/>
      <c r="F88" s="692" t="n"/>
      <c r="G88" s="692" t="n"/>
      <c r="H88" s="692" t="n"/>
      <c r="I88" s="692" t="n"/>
      <c r="J88" s="692" t="n"/>
      <c r="K88" s="692" t="n"/>
      <c r="L88" s="692" t="n"/>
      <c r="M88" s="692" t="n"/>
      <c r="N88" s="692" t="n"/>
      <c r="O88" s="692" t="n"/>
      <c r="P88" s="692" t="n"/>
      <c r="Q88" s="692" t="n"/>
      <c r="R88" s="692" t="n"/>
      <c r="S88" s="692" t="n"/>
      <c r="T88" s="692" t="n"/>
      <c r="U88" s="692" t="n"/>
      <c r="V88" s="692" t="n"/>
      <c r="W88" s="692" t="n"/>
      <c r="X88" s="692" t="n"/>
      <c r="Y88" s="692" t="n"/>
      <c r="Z88" s="692" t="n"/>
      <c r="AA88" s="692" t="n"/>
      <c r="AB88" s="692" t="n"/>
      <c r="AC88" s="692" t="n"/>
      <c r="AD88" s="692" t="n"/>
      <c r="AE88" s="692" t="n"/>
      <c r="AF88" s="692" t="n"/>
      <c r="AG88" s="692" t="n"/>
      <c r="AH88" s="760" t="n"/>
      <c r="AI88" s="108" t="n"/>
      <c r="AJ88" s="108" t="n"/>
      <c r="AK88" s="108" t="n"/>
      <c r="AL88" s="108" t="n"/>
      <c r="AM88" s="108" t="n"/>
      <c r="AN88" s="108" t="n"/>
      <c r="AO88" s="108" t="n"/>
      <c r="AP88" s="108" t="n"/>
      <c r="AQ88" s="108" t="n"/>
      <c r="AR88" s="108" t="n"/>
      <c r="AS88" s="108" t="n"/>
      <c r="AT88" s="108" t="n"/>
      <c r="AU88" s="108" t="n"/>
      <c r="AV88" s="108" t="n"/>
      <c r="AW88" s="108" t="n"/>
      <c r="AX88" s="108" t="n"/>
      <c r="AY88" s="108" t="n"/>
      <c r="AZ88" s="108" t="n"/>
      <c r="BA88" s="108" t="n"/>
      <c r="BB88" s="108" t="n"/>
      <c r="BC88" s="108" t="n"/>
      <c r="BD88" s="108" t="n"/>
      <c r="BE88" s="108" t="n"/>
      <c r="BF88" s="108" t="n"/>
      <c r="BG88" s="108" t="n"/>
      <c r="BH88" s="108" t="n"/>
      <c r="BI88" s="109" t="n"/>
    </row>
    <row r="89" ht="14.1" customHeight="1" s="2">
      <c r="A89" s="692" t="n"/>
      <c r="B89" s="758" t="n"/>
      <c r="C89" s="692" t="n"/>
      <c r="D89" s="692" t="n"/>
      <c r="E89" s="692" t="n"/>
      <c r="F89" s="692" t="n"/>
      <c r="G89" s="692" t="n"/>
      <c r="H89" s="692" t="n"/>
      <c r="I89" s="692" t="n"/>
      <c r="J89" s="692" t="n"/>
      <c r="K89" s="692" t="n"/>
      <c r="L89" s="692" t="n"/>
      <c r="M89" s="692" t="n"/>
      <c r="N89" s="692" t="n"/>
      <c r="O89" s="692" t="n"/>
      <c r="P89" s="692" t="n"/>
      <c r="Q89" s="692" t="n"/>
      <c r="R89" s="692" t="n"/>
      <c r="S89" s="692" t="n"/>
      <c r="T89" s="692" t="n"/>
      <c r="U89" s="692" t="n"/>
      <c r="V89" s="692" t="n"/>
      <c r="W89" s="692" t="n"/>
      <c r="X89" s="692" t="n"/>
      <c r="Y89" s="692" t="n"/>
      <c r="Z89" s="692" t="n"/>
      <c r="AA89" s="692" t="n"/>
      <c r="AB89" s="692" t="n"/>
      <c r="AC89" s="692" t="n"/>
      <c r="AD89" s="692" t="n"/>
      <c r="AE89" s="692" t="n"/>
      <c r="AF89" s="692" t="n"/>
      <c r="AG89" s="692" t="n"/>
      <c r="AH89" s="760" t="n"/>
      <c r="AI89" s="108" t="n"/>
      <c r="AJ89" s="108" t="n"/>
      <c r="AK89" s="108" t="n"/>
      <c r="AL89" s="108" t="n"/>
      <c r="AM89" s="108" t="n"/>
      <c r="AN89" s="108" t="n"/>
      <c r="AO89" s="108" t="n"/>
      <c r="AP89" s="108" t="n"/>
      <c r="AQ89" s="108" t="n"/>
      <c r="AR89" s="108" t="n"/>
      <c r="AS89" s="108" t="n"/>
      <c r="AT89" s="108" t="n"/>
      <c r="AU89" s="108" t="n"/>
      <c r="AV89" s="108" t="n"/>
      <c r="AW89" s="108" t="n"/>
      <c r="AX89" s="108" t="n"/>
      <c r="AY89" s="108" t="n"/>
      <c r="AZ89" s="108" t="n"/>
      <c r="BA89" s="108" t="n"/>
      <c r="BB89" s="108" t="n"/>
      <c r="BC89" s="108" t="n"/>
      <c r="BD89" s="108" t="n"/>
      <c r="BE89" s="108" t="n"/>
      <c r="BF89" s="108" t="n"/>
      <c r="BG89" s="108" t="n"/>
      <c r="BH89" s="108" t="n"/>
      <c r="BI89" s="109" t="n"/>
    </row>
    <row r="90" ht="14.1" customHeight="1" s="2">
      <c r="A90" s="692" t="n"/>
      <c r="B90" s="758" t="n"/>
      <c r="C90" s="692" t="n"/>
      <c r="D90" s="692" t="n"/>
      <c r="E90" s="692" t="n"/>
      <c r="F90" s="692" t="n"/>
      <c r="G90" s="692" t="n"/>
      <c r="H90" s="692" t="n"/>
      <c r="I90" s="692" t="n"/>
      <c r="J90" s="692" t="n"/>
      <c r="K90" s="692" t="n"/>
      <c r="L90" s="692" t="n"/>
      <c r="M90" s="692" t="n"/>
      <c r="N90" s="692" t="n"/>
      <c r="O90" s="692" t="n"/>
      <c r="P90" s="692" t="n"/>
      <c r="Q90" s="692" t="n"/>
      <c r="R90" s="692" t="n"/>
      <c r="S90" s="692" t="n"/>
      <c r="T90" s="692" t="n"/>
      <c r="U90" s="692" t="n"/>
      <c r="V90" s="692" t="n"/>
      <c r="W90" s="692" t="n"/>
      <c r="X90" s="692" t="n"/>
      <c r="Y90" s="692" t="n"/>
      <c r="Z90" s="692" t="n"/>
      <c r="AA90" s="692" t="n"/>
      <c r="AB90" s="692" t="n"/>
      <c r="AC90" s="692" t="n"/>
      <c r="AD90" s="692" t="n"/>
      <c r="AE90" s="692" t="n"/>
      <c r="AF90" s="692" t="n"/>
      <c r="AG90" s="692" t="n"/>
      <c r="AH90" s="760" t="n"/>
      <c r="AI90" s="108" t="n"/>
      <c r="AJ90" s="108" t="n"/>
      <c r="AK90" s="108" t="n"/>
      <c r="AL90" s="108" t="n"/>
      <c r="AM90" s="108" t="n"/>
      <c r="AN90" s="108" t="n"/>
      <c r="AO90" s="108" t="n"/>
      <c r="AP90" s="108" t="n"/>
      <c r="AQ90" s="108" t="n"/>
      <c r="AR90" s="108" t="n"/>
      <c r="AS90" s="108" t="n"/>
      <c r="AT90" s="108" t="n"/>
      <c r="AU90" s="108" t="n"/>
      <c r="AV90" s="108" t="n"/>
      <c r="AW90" s="108" t="n"/>
      <c r="AX90" s="108" t="n"/>
      <c r="AY90" s="108" t="n"/>
      <c r="AZ90" s="108" t="n"/>
      <c r="BA90" s="108" t="n"/>
      <c r="BB90" s="108" t="n"/>
      <c r="BC90" s="108" t="n"/>
      <c r="BD90" s="108" t="n"/>
      <c r="BE90" s="108" t="n"/>
      <c r="BF90" s="108" t="n"/>
      <c r="BG90" s="108" t="n"/>
      <c r="BH90" s="108" t="n"/>
      <c r="BI90" s="109" t="n"/>
    </row>
    <row r="91" ht="14.1" customHeight="1" s="2">
      <c r="A91" s="692" t="n"/>
      <c r="B91" s="758" t="n"/>
      <c r="C91" s="692" t="n"/>
      <c r="D91" s="692" t="n"/>
      <c r="E91" s="692" t="n"/>
      <c r="F91" s="692" t="n"/>
      <c r="G91" s="692" t="n"/>
      <c r="H91" s="692" t="n"/>
      <c r="I91" s="692" t="n"/>
      <c r="J91" s="692" t="n"/>
      <c r="K91" s="692" t="n"/>
      <c r="L91" s="692" t="n"/>
      <c r="M91" s="692" t="n"/>
      <c r="N91" s="692" t="n"/>
      <c r="O91" s="692" t="n"/>
      <c r="P91" s="692" t="n"/>
      <c r="Q91" s="692" t="n"/>
      <c r="R91" s="692" t="n"/>
      <c r="S91" s="692" t="n"/>
      <c r="T91" s="692" t="n"/>
      <c r="U91" s="692" t="n"/>
      <c r="V91" s="692" t="n"/>
      <c r="W91" s="692" t="n"/>
      <c r="X91" s="692" t="n"/>
      <c r="Y91" s="692" t="n"/>
      <c r="Z91" s="692" t="n"/>
      <c r="AA91" s="692" t="n"/>
      <c r="AB91" s="692" t="n"/>
      <c r="AC91" s="692" t="n"/>
      <c r="AD91" s="692" t="n"/>
      <c r="AE91" s="692" t="n"/>
      <c r="AF91" s="692" t="n"/>
      <c r="AG91" s="692" t="n"/>
      <c r="AH91" s="760" t="n"/>
      <c r="AI91" s="108" t="n"/>
      <c r="AJ91" s="108" t="n"/>
      <c r="AK91" s="108" t="n"/>
      <c r="AL91" s="108" t="n"/>
      <c r="AM91" s="108" t="n"/>
      <c r="AN91" s="108" t="n"/>
      <c r="AO91" s="108" t="n"/>
      <c r="AP91" s="108" t="n"/>
      <c r="AQ91" s="108" t="n"/>
      <c r="AR91" s="108" t="n"/>
      <c r="AS91" s="108" t="n"/>
      <c r="AT91" s="108" t="n"/>
      <c r="AU91" s="108" t="n"/>
      <c r="AV91" s="108" t="n"/>
      <c r="AW91" s="108" t="n"/>
      <c r="AX91" s="108" t="n"/>
      <c r="AY91" s="108" t="n"/>
      <c r="AZ91" s="108" t="n"/>
      <c r="BA91" s="108" t="n"/>
      <c r="BB91" s="108" t="n"/>
      <c r="BC91" s="108" t="n"/>
      <c r="BD91" s="108" t="n"/>
      <c r="BE91" s="108" t="n"/>
      <c r="BF91" s="108" t="n"/>
      <c r="BG91" s="108" t="n"/>
      <c r="BH91" s="108" t="n"/>
      <c r="BI91" s="109" t="n"/>
    </row>
    <row r="92" ht="14.1" customHeight="1" s="2">
      <c r="A92" s="692" t="n"/>
      <c r="B92" s="758" t="n"/>
      <c r="C92" s="692" t="n"/>
      <c r="D92" s="692" t="n"/>
      <c r="E92" s="692" t="n"/>
      <c r="F92" s="692" t="n"/>
      <c r="G92" s="692" t="n"/>
      <c r="H92" s="692" t="n"/>
      <c r="I92" s="692" t="n"/>
      <c r="J92" s="692" t="n"/>
      <c r="K92" s="692" t="n"/>
      <c r="L92" s="692" t="n"/>
      <c r="M92" s="692" t="n"/>
      <c r="N92" s="692" t="n"/>
      <c r="O92" s="692" t="n"/>
      <c r="P92" s="692" t="n"/>
      <c r="Q92" s="692" t="n"/>
      <c r="R92" s="692" t="n"/>
      <c r="S92" s="692" t="n"/>
      <c r="T92" s="692" t="n"/>
      <c r="U92" s="692" t="n"/>
      <c r="V92" s="692" t="n"/>
      <c r="W92" s="692" t="n"/>
      <c r="X92" s="692" t="n"/>
      <c r="Y92" s="692" t="n"/>
      <c r="Z92" s="692" t="n"/>
      <c r="AA92" s="692" t="n"/>
      <c r="AB92" s="692" t="n"/>
      <c r="AC92" s="692" t="n"/>
      <c r="AD92" s="692" t="n"/>
      <c r="AE92" s="692" t="n"/>
      <c r="AF92" s="692" t="n"/>
      <c r="AG92" s="692" t="n"/>
      <c r="AH92" s="760" t="n"/>
      <c r="AI92" s="108" t="n"/>
      <c r="AJ92" s="108" t="n"/>
      <c r="AK92" s="108" t="n"/>
      <c r="AL92" s="108" t="n"/>
      <c r="AM92" s="108" t="n"/>
      <c r="AN92" s="108" t="n"/>
      <c r="AO92" s="108" t="n"/>
      <c r="AP92" s="108" t="n"/>
      <c r="AQ92" s="108" t="n"/>
      <c r="AR92" s="108" t="n"/>
      <c r="AS92" s="108" t="n"/>
      <c r="AT92" s="108" t="n"/>
      <c r="AU92" s="108" t="n"/>
      <c r="AV92" s="108" t="n"/>
      <c r="AW92" s="108" t="n"/>
      <c r="AX92" s="108" t="n"/>
      <c r="AY92" s="108" t="n"/>
      <c r="AZ92" s="108" t="n"/>
      <c r="BA92" s="108" t="n"/>
      <c r="BB92" s="108" t="n"/>
      <c r="BC92" s="108" t="n"/>
      <c r="BD92" s="108" t="n"/>
      <c r="BE92" s="108" t="n"/>
      <c r="BF92" s="108" t="n"/>
      <c r="BG92" s="108" t="n"/>
      <c r="BH92" s="108" t="n"/>
      <c r="BI92" s="109" t="n"/>
    </row>
    <row r="93" ht="14.1" customHeight="1" s="2">
      <c r="A93" s="692" t="n"/>
      <c r="B93" s="758" t="n"/>
      <c r="C93" s="692" t="n"/>
      <c r="D93" s="692" t="n"/>
      <c r="E93" s="692" t="n"/>
      <c r="F93" s="692" t="n"/>
      <c r="G93" s="692" t="n"/>
      <c r="H93" s="692" t="n"/>
      <c r="I93" s="692" t="n"/>
      <c r="J93" s="692" t="n"/>
      <c r="K93" s="692" t="n"/>
      <c r="L93" s="692" t="n"/>
      <c r="M93" s="692" t="n"/>
      <c r="N93" s="692" t="n"/>
      <c r="O93" s="692" t="n"/>
      <c r="P93" s="692" t="n"/>
      <c r="Q93" s="692" t="n"/>
      <c r="R93" s="692" t="n"/>
      <c r="S93" s="692" t="n"/>
      <c r="T93" s="692" t="n"/>
      <c r="U93" s="692" t="n"/>
      <c r="V93" s="692" t="n"/>
      <c r="W93" s="692" t="n"/>
      <c r="X93" s="692" t="n"/>
      <c r="Y93" s="692" t="n"/>
      <c r="Z93" s="692" t="n"/>
      <c r="AA93" s="692" t="n"/>
      <c r="AB93" s="692" t="n"/>
      <c r="AC93" s="692" t="n"/>
      <c r="AD93" s="692" t="n"/>
      <c r="AE93" s="692" t="n"/>
      <c r="AF93" s="692" t="n"/>
      <c r="AG93" s="692" t="n"/>
      <c r="AH93" s="760" t="n"/>
      <c r="AI93" s="108" t="n"/>
      <c r="AJ93" s="108" t="n"/>
      <c r="AK93" s="108" t="n"/>
      <c r="AL93" s="108" t="n"/>
      <c r="AM93" s="108" t="n"/>
      <c r="AN93" s="108" t="n"/>
      <c r="AO93" s="108" t="n"/>
      <c r="AP93" s="108" t="n"/>
      <c r="AQ93" s="108" t="n"/>
      <c r="AR93" s="108" t="n"/>
      <c r="AS93" s="108" t="n"/>
      <c r="AT93" s="108" t="n"/>
      <c r="AU93" s="108" t="n"/>
      <c r="AV93" s="108" t="n"/>
      <c r="AW93" s="108" t="n"/>
      <c r="AX93" s="108" t="n"/>
      <c r="AY93" s="108" t="n"/>
      <c r="AZ93" s="108" t="n"/>
      <c r="BA93" s="108" t="n"/>
      <c r="BB93" s="108" t="n"/>
      <c r="BC93" s="108" t="n"/>
      <c r="BD93" s="108" t="n"/>
      <c r="BE93" s="108" t="n"/>
      <c r="BF93" s="108" t="n"/>
      <c r="BG93" s="108" t="n"/>
      <c r="BH93" s="108" t="n"/>
      <c r="BI93" s="109" t="n"/>
    </row>
    <row r="94" ht="14.1" customHeight="1" s="2">
      <c r="A94" s="692" t="n"/>
      <c r="B94" s="758" t="n"/>
      <c r="C94" s="692" t="n"/>
      <c r="D94" s="692" t="n"/>
      <c r="E94" s="692" t="n"/>
      <c r="F94" s="692" t="n"/>
      <c r="G94" s="692" t="n"/>
      <c r="H94" s="692" t="n"/>
      <c r="I94" s="692" t="n"/>
      <c r="J94" s="692" t="n"/>
      <c r="K94" s="692" t="n"/>
      <c r="L94" s="692" t="n"/>
      <c r="M94" s="692" t="n"/>
      <c r="N94" s="692" t="n"/>
      <c r="O94" s="692" t="n"/>
      <c r="P94" s="692" t="n"/>
      <c r="Q94" s="692" t="n"/>
      <c r="R94" s="692" t="n"/>
      <c r="S94" s="692" t="n"/>
      <c r="T94" s="692" t="n"/>
      <c r="U94" s="692" t="n"/>
      <c r="V94" s="692" t="n"/>
      <c r="W94" s="692" t="n"/>
      <c r="X94" s="692" t="n"/>
      <c r="Y94" s="692" t="n"/>
      <c r="Z94" s="692" t="n"/>
      <c r="AA94" s="692" t="n"/>
      <c r="AB94" s="692" t="n"/>
      <c r="AC94" s="692" t="n"/>
      <c r="AD94" s="692" t="n"/>
      <c r="AE94" s="692" t="n"/>
      <c r="AF94" s="692" t="n"/>
      <c r="AG94" s="692" t="n"/>
      <c r="AH94" s="760" t="n"/>
      <c r="AI94" s="108" t="n"/>
      <c r="AJ94" s="108" t="n"/>
      <c r="AK94" s="108" t="n"/>
      <c r="AL94" s="108" t="n"/>
      <c r="AM94" s="108" t="n"/>
      <c r="AN94" s="108" t="n"/>
      <c r="AO94" s="108" t="n"/>
      <c r="AP94" s="108" t="n"/>
      <c r="AQ94" s="108" t="n"/>
      <c r="AR94" s="108" t="n"/>
      <c r="AS94" s="108" t="n"/>
      <c r="AT94" s="108" t="n"/>
      <c r="AU94" s="108" t="n"/>
      <c r="AV94" s="108" t="n"/>
      <c r="AW94" s="108" t="n"/>
      <c r="AX94" s="108" t="n"/>
      <c r="AY94" s="108" t="n"/>
      <c r="AZ94" s="108" t="n"/>
      <c r="BA94" s="108" t="n"/>
      <c r="BB94" s="108" t="n"/>
      <c r="BC94" s="108" t="n"/>
      <c r="BD94" s="108" t="n"/>
      <c r="BE94" s="108" t="n"/>
      <c r="BF94" s="108" t="n"/>
      <c r="BG94" s="108" t="n"/>
      <c r="BH94" s="108" t="n"/>
      <c r="BI94" s="109" t="n"/>
    </row>
    <row r="95" ht="14.1" customHeight="1" s="2">
      <c r="A95" s="692" t="n"/>
      <c r="B95" s="758" t="n"/>
      <c r="C95" s="692" t="n"/>
      <c r="D95" s="692" t="n"/>
      <c r="E95" s="692" t="n"/>
      <c r="F95" s="692" t="n"/>
      <c r="G95" s="692" t="n"/>
      <c r="H95" s="692" t="n"/>
      <c r="I95" s="692" t="n"/>
      <c r="J95" s="692" t="n"/>
      <c r="K95" s="692" t="n"/>
      <c r="L95" s="692" t="n"/>
      <c r="M95" s="692" t="n"/>
      <c r="N95" s="692" t="n"/>
      <c r="O95" s="692" t="n"/>
      <c r="P95" s="692" t="n"/>
      <c r="Q95" s="692" t="n"/>
      <c r="R95" s="692" t="n"/>
      <c r="S95" s="692" t="n"/>
      <c r="T95" s="692" t="n"/>
      <c r="U95" s="692" t="n"/>
      <c r="V95" s="692" t="n"/>
      <c r="W95" s="692" t="n"/>
      <c r="X95" s="692" t="n"/>
      <c r="Y95" s="692" t="n"/>
      <c r="Z95" s="692" t="n"/>
      <c r="AA95" s="692" t="n"/>
      <c r="AB95" s="692" t="n"/>
      <c r="AC95" s="692" t="n"/>
      <c r="AD95" s="692" t="n"/>
      <c r="AE95" s="692" t="n"/>
      <c r="AF95" s="692" t="n"/>
      <c r="AG95" s="692" t="n"/>
      <c r="AH95" s="760" t="n"/>
      <c r="AI95" s="108" t="n"/>
      <c r="AJ95" s="108" t="n"/>
      <c r="AK95" s="108" t="n"/>
      <c r="AL95" s="108" t="n"/>
      <c r="AM95" s="108" t="n"/>
      <c r="AN95" s="108" t="n"/>
      <c r="AO95" s="108" t="n"/>
      <c r="AP95" s="108" t="n"/>
      <c r="AQ95" s="108" t="n"/>
      <c r="AR95" s="108" t="n"/>
      <c r="AS95" s="108" t="n"/>
      <c r="AT95" s="108" t="n"/>
      <c r="AU95" s="108" t="n"/>
      <c r="AV95" s="108" t="n"/>
      <c r="AW95" s="108" t="n"/>
      <c r="AX95" s="108" t="n"/>
      <c r="AY95" s="108" t="n"/>
      <c r="AZ95" s="108" t="n"/>
      <c r="BA95" s="108" t="n"/>
      <c r="BB95" s="108" t="n"/>
      <c r="BC95" s="108" t="n"/>
      <c r="BD95" s="108" t="n"/>
      <c r="BE95" s="108" t="n"/>
      <c r="BF95" s="108" t="n"/>
      <c r="BG95" s="108" t="n"/>
      <c r="BH95" s="108" t="n"/>
      <c r="BI95" s="109" t="n"/>
    </row>
    <row r="96" ht="14.1" customHeight="1" s="2">
      <c r="A96" s="692" t="n"/>
      <c r="B96" s="758" t="n"/>
      <c r="C96" s="692" t="n"/>
      <c r="D96" s="692" t="n"/>
      <c r="E96" s="692" t="n"/>
      <c r="F96" s="692" t="n"/>
      <c r="G96" s="692" t="n"/>
      <c r="H96" s="692" t="n"/>
      <c r="I96" s="692" t="n"/>
      <c r="J96" s="692" t="n"/>
      <c r="K96" s="692" t="n"/>
      <c r="L96" s="692" t="n"/>
      <c r="M96" s="692" t="n"/>
      <c r="N96" s="692" t="n"/>
      <c r="O96" s="692" t="n"/>
      <c r="P96" s="692" t="n"/>
      <c r="Q96" s="692" t="n"/>
      <c r="R96" s="692" t="n"/>
      <c r="S96" s="692" t="n"/>
      <c r="T96" s="692" t="n"/>
      <c r="U96" s="692" t="n"/>
      <c r="V96" s="692" t="n"/>
      <c r="W96" s="692" t="n"/>
      <c r="X96" s="692" t="n"/>
      <c r="Y96" s="692" t="n"/>
      <c r="Z96" s="692" t="n"/>
      <c r="AA96" s="692" t="n"/>
      <c r="AB96" s="692" t="n"/>
      <c r="AC96" s="692" t="n"/>
      <c r="AD96" s="692" t="n"/>
      <c r="AE96" s="692" t="n"/>
      <c r="AF96" s="692" t="n"/>
      <c r="AG96" s="692" t="n"/>
      <c r="AH96" s="760" t="n"/>
      <c r="AI96" s="108" t="n"/>
      <c r="AJ96" s="108" t="n"/>
      <c r="AK96" s="108" t="n"/>
      <c r="AL96" s="108" t="n"/>
      <c r="AM96" s="108" t="n"/>
      <c r="AN96" s="108" t="n"/>
      <c r="AO96" s="108" t="n"/>
      <c r="AP96" s="108" t="n"/>
      <c r="AQ96" s="108" t="n"/>
      <c r="AR96" s="108" t="n"/>
      <c r="AS96" s="108" t="n"/>
      <c r="AT96" s="108" t="n"/>
      <c r="AU96" s="108" t="n"/>
      <c r="AV96" s="108" t="n"/>
      <c r="AW96" s="108" t="n"/>
      <c r="AX96" s="108" t="n"/>
      <c r="AY96" s="108" t="n"/>
      <c r="AZ96" s="108" t="n"/>
      <c r="BA96" s="108" t="n"/>
      <c r="BB96" s="108" t="n"/>
      <c r="BC96" s="108" t="n"/>
      <c r="BD96" s="108" t="n"/>
      <c r="BE96" s="108" t="n"/>
      <c r="BF96" s="108" t="n"/>
      <c r="BG96" s="108" t="n"/>
      <c r="BH96" s="108" t="n"/>
      <c r="BI96" s="109" t="n"/>
    </row>
    <row r="97" ht="14.1" customHeight="1" s="2">
      <c r="A97" s="692" t="n"/>
      <c r="B97" s="758" t="n"/>
      <c r="C97" s="692" t="n"/>
      <c r="D97" s="692" t="n"/>
      <c r="E97" s="692" t="n"/>
      <c r="F97" s="692" t="n"/>
      <c r="G97" s="692" t="n"/>
      <c r="H97" s="692" t="n"/>
      <c r="I97" s="692" t="n"/>
      <c r="J97" s="692" t="n"/>
      <c r="K97" s="692" t="n"/>
      <c r="L97" s="692" t="n"/>
      <c r="M97" s="692" t="n"/>
      <c r="N97" s="692" t="n"/>
      <c r="O97" s="692" t="n"/>
      <c r="P97" s="692" t="n"/>
      <c r="Q97" s="692" t="n"/>
      <c r="R97" s="692" t="n"/>
      <c r="S97" s="692" t="n"/>
      <c r="T97" s="692" t="n"/>
      <c r="U97" s="692" t="n"/>
      <c r="V97" s="692" t="n"/>
      <c r="W97" s="692" t="n"/>
      <c r="X97" s="692" t="n"/>
      <c r="Y97" s="692" t="n"/>
      <c r="Z97" s="692" t="n"/>
      <c r="AA97" s="692" t="n"/>
      <c r="AB97" s="692" t="n"/>
      <c r="AC97" s="692" t="n"/>
      <c r="AD97" s="692" t="n"/>
      <c r="AE97" s="692" t="n"/>
      <c r="AF97" s="692" t="n"/>
      <c r="AG97" s="692" t="n"/>
      <c r="AH97" s="760" t="n"/>
      <c r="AI97" s="108" t="n"/>
      <c r="AJ97" s="108" t="n"/>
      <c r="AK97" s="108" t="n"/>
      <c r="AL97" s="108" t="n"/>
      <c r="AM97" s="108" t="n"/>
      <c r="AN97" s="108" t="n"/>
      <c r="AO97" s="108" t="n"/>
      <c r="AP97" s="108" t="n"/>
      <c r="AQ97" s="108" t="n"/>
      <c r="AR97" s="108" t="n"/>
      <c r="AS97" s="108" t="n"/>
      <c r="AT97" s="108" t="n"/>
      <c r="AU97" s="108" t="n"/>
      <c r="AV97" s="108" t="n"/>
      <c r="AW97" s="108" t="n"/>
      <c r="AX97" s="108" t="n"/>
      <c r="AY97" s="108" t="n"/>
      <c r="AZ97" s="108" t="n"/>
      <c r="BA97" s="108" t="n"/>
      <c r="BB97" s="108" t="n"/>
      <c r="BC97" s="108" t="n"/>
      <c r="BD97" s="108" t="n"/>
      <c r="BE97" s="108" t="n"/>
      <c r="BF97" s="108" t="n"/>
      <c r="BG97" s="108" t="n"/>
      <c r="BH97" s="108" t="n"/>
      <c r="BI97" s="109" t="n"/>
    </row>
    <row r="98" ht="14.1" customHeight="1" s="2">
      <c r="A98" s="692" t="n"/>
      <c r="B98" s="758" t="n"/>
      <c r="C98" s="692" t="n"/>
      <c r="D98" s="692" t="n"/>
      <c r="E98" s="692" t="n"/>
      <c r="F98" s="692" t="n"/>
      <c r="G98" s="692" t="n"/>
      <c r="H98" s="692" t="n"/>
      <c r="I98" s="692" t="n"/>
      <c r="J98" s="692" t="n"/>
      <c r="K98" s="692" t="n"/>
      <c r="L98" s="692" t="n"/>
      <c r="M98" s="692" t="n"/>
      <c r="N98" s="692" t="n"/>
      <c r="O98" s="692" t="n"/>
      <c r="P98" s="692" t="n"/>
      <c r="Q98" s="692" t="n"/>
      <c r="R98" s="692" t="n"/>
      <c r="S98" s="692" t="n"/>
      <c r="T98" s="692" t="n"/>
      <c r="U98" s="692" t="n"/>
      <c r="V98" s="692" t="n"/>
      <c r="W98" s="692" t="n"/>
      <c r="X98" s="692" t="n"/>
      <c r="Y98" s="692" t="n"/>
      <c r="Z98" s="692" t="n"/>
      <c r="AA98" s="692" t="n"/>
      <c r="AB98" s="692" t="n"/>
      <c r="AC98" s="692" t="n"/>
      <c r="AD98" s="692" t="n"/>
      <c r="AE98" s="692" t="n"/>
      <c r="AF98" s="692" t="n"/>
      <c r="AG98" s="692" t="n"/>
      <c r="AH98" s="760" t="n"/>
      <c r="AI98" s="108" t="n"/>
      <c r="AJ98" s="108" t="n"/>
      <c r="AK98" s="108" t="n"/>
      <c r="AL98" s="108" t="n"/>
      <c r="AM98" s="108" t="n"/>
      <c r="AN98" s="108" t="n"/>
      <c r="AO98" s="108" t="n"/>
      <c r="AP98" s="108" t="n"/>
      <c r="AQ98" s="108" t="n"/>
      <c r="AR98" s="108" t="n"/>
      <c r="AS98" s="108" t="n"/>
      <c r="AT98" s="108" t="n"/>
      <c r="AU98" s="108" t="n"/>
      <c r="AV98" s="108" t="n"/>
      <c r="AW98" s="108" t="n"/>
      <c r="AX98" s="108" t="n"/>
      <c r="AY98" s="108" t="n"/>
      <c r="AZ98" s="108" t="n"/>
      <c r="BA98" s="108" t="n"/>
      <c r="BB98" s="108" t="n"/>
      <c r="BC98" s="108" t="n"/>
      <c r="BD98" s="108" t="n"/>
      <c r="BE98" s="108" t="n"/>
      <c r="BF98" s="108" t="n"/>
      <c r="BG98" s="108" t="n"/>
      <c r="BH98" s="108" t="n"/>
      <c r="BI98" s="109" t="n"/>
    </row>
    <row r="99" ht="14.1" customHeight="1" s="2">
      <c r="A99" s="692" t="n"/>
      <c r="B99" s="758" t="n"/>
      <c r="C99" s="692" t="n"/>
      <c r="D99" s="692" t="n"/>
      <c r="E99" s="692" t="n"/>
      <c r="F99" s="692" t="n"/>
      <c r="G99" s="692" t="n"/>
      <c r="H99" s="692" t="n"/>
      <c r="I99" s="692" t="n"/>
      <c r="J99" s="692" t="n"/>
      <c r="K99" s="692" t="n"/>
      <c r="L99" s="692" t="n"/>
      <c r="M99" s="692" t="n"/>
      <c r="N99" s="692" t="n"/>
      <c r="O99" s="692" t="n"/>
      <c r="P99" s="692" t="n"/>
      <c r="Q99" s="692" t="n"/>
      <c r="R99" s="692" t="n"/>
      <c r="S99" s="692" t="n"/>
      <c r="T99" s="692" t="n"/>
      <c r="U99" s="692" t="n"/>
      <c r="V99" s="692" t="n"/>
      <c r="W99" s="692" t="n"/>
      <c r="X99" s="692" t="n"/>
      <c r="Y99" s="692" t="n"/>
      <c r="Z99" s="692" t="n"/>
      <c r="AA99" s="692" t="n"/>
      <c r="AB99" s="692" t="n"/>
      <c r="AC99" s="692" t="n"/>
      <c r="AD99" s="692" t="n"/>
      <c r="AE99" s="692" t="n"/>
      <c r="AF99" s="692" t="n"/>
      <c r="AG99" s="692" t="n"/>
      <c r="AH99" s="760" t="n"/>
      <c r="AI99" s="108" t="n"/>
      <c r="AJ99" s="108" t="n"/>
      <c r="AK99" s="108" t="n"/>
      <c r="AL99" s="108" t="n"/>
      <c r="AM99" s="108" t="n"/>
      <c r="AN99" s="108" t="n"/>
      <c r="AO99" s="108" t="n"/>
      <c r="AP99" s="108" t="n"/>
      <c r="AQ99" s="108" t="n"/>
      <c r="AR99" s="108" t="n"/>
      <c r="AS99" s="108" t="n"/>
      <c r="AT99" s="108" t="n"/>
      <c r="AU99" s="108" t="n"/>
      <c r="AV99" s="108" t="n"/>
      <c r="AW99" s="108" t="n"/>
      <c r="AX99" s="108" t="n"/>
      <c r="AY99" s="108" t="n"/>
      <c r="AZ99" s="108" t="n"/>
      <c r="BA99" s="108" t="n"/>
      <c r="BB99" s="108" t="n"/>
      <c r="BC99" s="108" t="n"/>
      <c r="BD99" s="108" t="n"/>
      <c r="BE99" s="108" t="n"/>
      <c r="BF99" s="108" t="n"/>
      <c r="BG99" s="108" t="n"/>
      <c r="BH99" s="108" t="n"/>
      <c r="BI99" s="109" t="n"/>
    </row>
    <row r="100" ht="14.1" customHeight="1" s="2">
      <c r="A100" s="692" t="n"/>
      <c r="B100" s="758" t="n"/>
      <c r="C100" s="692" t="n"/>
      <c r="D100" s="692" t="n"/>
      <c r="E100" s="692" t="n"/>
      <c r="F100" s="692" t="n"/>
      <c r="G100" s="692" t="n"/>
      <c r="H100" s="692" t="n"/>
      <c r="I100" s="692" t="n"/>
      <c r="J100" s="692" t="n"/>
      <c r="K100" s="692" t="n"/>
      <c r="L100" s="692" t="n"/>
      <c r="M100" s="692" t="n"/>
      <c r="N100" s="692" t="n"/>
      <c r="O100" s="692" t="n"/>
      <c r="P100" s="692" t="n"/>
      <c r="Q100" s="692" t="n"/>
      <c r="R100" s="692" t="n"/>
      <c r="S100" s="692" t="n"/>
      <c r="T100" s="692" t="n"/>
      <c r="U100" s="692" t="n"/>
      <c r="V100" s="692" t="n"/>
      <c r="W100" s="692" t="n"/>
      <c r="X100" s="692" t="n"/>
      <c r="Y100" s="692" t="n"/>
      <c r="Z100" s="692" t="n"/>
      <c r="AA100" s="692" t="n"/>
      <c r="AB100" s="692" t="n"/>
      <c r="AC100" s="692" t="n"/>
      <c r="AD100" s="692" t="n"/>
      <c r="AE100" s="692" t="n"/>
      <c r="AF100" s="692" t="n"/>
      <c r="AG100" s="692" t="n"/>
      <c r="AH100" s="760" t="n"/>
      <c r="AI100" s="108" t="n"/>
      <c r="AJ100" s="108" t="n"/>
      <c r="AK100" s="108" t="n"/>
      <c r="AL100" s="108" t="n"/>
      <c r="AM100" s="108" t="n"/>
      <c r="AN100" s="108" t="n"/>
      <c r="AO100" s="108" t="n"/>
      <c r="AP100" s="108" t="n"/>
      <c r="AQ100" s="108" t="n"/>
      <c r="AR100" s="108" t="n"/>
      <c r="AS100" s="108" t="n"/>
      <c r="AT100" s="108" t="n"/>
      <c r="AU100" s="108" t="n"/>
      <c r="AV100" s="108" t="n"/>
      <c r="AW100" s="108" t="n"/>
      <c r="AX100" s="108" t="n"/>
      <c r="AY100" s="108" t="n"/>
      <c r="AZ100" s="108" t="n"/>
      <c r="BA100" s="108" t="n"/>
      <c r="BB100" s="108" t="n"/>
      <c r="BC100" s="108" t="n"/>
      <c r="BD100" s="108" t="n"/>
      <c r="BE100" s="108" t="n"/>
      <c r="BF100" s="108" t="n"/>
      <c r="BG100" s="108" t="n"/>
      <c r="BH100" s="108" t="n"/>
      <c r="BI100" s="109" t="n"/>
    </row>
    <row r="101" ht="14.1" customHeight="1" s="2">
      <c r="A101" s="692" t="n"/>
      <c r="B101" s="758" t="n"/>
      <c r="C101" s="692" t="n"/>
      <c r="D101" s="692" t="n"/>
      <c r="E101" s="692" t="n"/>
      <c r="F101" s="692" t="n"/>
      <c r="G101" s="692" t="n"/>
      <c r="H101" s="692" t="n"/>
      <c r="I101" s="692" t="n"/>
      <c r="J101" s="692" t="n"/>
      <c r="K101" s="692" t="n"/>
      <c r="L101" s="692" t="n"/>
      <c r="M101" s="692" t="n"/>
      <c r="N101" s="692" t="n"/>
      <c r="O101" s="692" t="n"/>
      <c r="P101" s="692" t="n"/>
      <c r="Q101" s="692" t="n"/>
      <c r="R101" s="692" t="n"/>
      <c r="S101" s="692" t="n"/>
      <c r="T101" s="692" t="n"/>
      <c r="U101" s="692" t="n"/>
      <c r="V101" s="692" t="n"/>
      <c r="W101" s="692" t="n"/>
      <c r="X101" s="692" t="n"/>
      <c r="Y101" s="692" t="n"/>
      <c r="Z101" s="692" t="n"/>
      <c r="AA101" s="692" t="n"/>
      <c r="AB101" s="692" t="n"/>
      <c r="AC101" s="692" t="n"/>
      <c r="AD101" s="692" t="n"/>
      <c r="AE101" s="692" t="n"/>
      <c r="AF101" s="692" t="n"/>
      <c r="AG101" s="692" t="n"/>
      <c r="AH101" s="760" t="n"/>
      <c r="AI101" s="108" t="n"/>
      <c r="AJ101" s="108" t="n"/>
      <c r="AK101" s="108" t="n"/>
      <c r="AL101" s="108" t="n"/>
      <c r="AM101" s="108" t="n"/>
      <c r="AN101" s="108" t="n"/>
      <c r="AO101" s="108" t="n"/>
      <c r="AP101" s="108" t="n"/>
      <c r="AQ101" s="108" t="n"/>
      <c r="AR101" s="108" t="n"/>
      <c r="AS101" s="108" t="n"/>
      <c r="AT101" s="108" t="n"/>
      <c r="AU101" s="108" t="n"/>
      <c r="AV101" s="108" t="n"/>
      <c r="AW101" s="108" t="n"/>
      <c r="AX101" s="108" t="n"/>
      <c r="AY101" s="108" t="n"/>
      <c r="AZ101" s="108" t="n"/>
      <c r="BA101" s="108" t="n"/>
      <c r="BB101" s="108" t="n"/>
      <c r="BC101" s="108" t="n"/>
      <c r="BD101" s="108" t="n"/>
      <c r="BE101" s="108" t="n"/>
      <c r="BF101" s="108" t="n"/>
      <c r="BG101" s="108" t="n"/>
      <c r="BH101" s="108" t="n"/>
      <c r="BI101" s="109" t="n"/>
    </row>
    <row r="102" ht="14.1" customHeight="1" s="2">
      <c r="A102" s="692" t="n"/>
      <c r="B102" s="758" t="n"/>
      <c r="C102" s="692" t="n"/>
      <c r="D102" s="692" t="n"/>
      <c r="E102" s="692" t="n"/>
      <c r="F102" s="692" t="n"/>
      <c r="G102" s="692" t="n"/>
      <c r="H102" s="692" t="n"/>
      <c r="I102" s="692" t="n"/>
      <c r="J102" s="692" t="n"/>
      <c r="K102" s="692" t="n"/>
      <c r="L102" s="692" t="n"/>
      <c r="M102" s="692" t="n"/>
      <c r="N102" s="692" t="n"/>
      <c r="O102" s="692" t="n"/>
      <c r="P102" s="692" t="n"/>
      <c r="Q102" s="692" t="n"/>
      <c r="R102" s="692" t="n"/>
      <c r="S102" s="692" t="n"/>
      <c r="T102" s="692" t="n"/>
      <c r="U102" s="692" t="n"/>
      <c r="V102" s="692" t="n"/>
      <c r="W102" s="692" t="n"/>
      <c r="X102" s="692" t="n"/>
      <c r="Y102" s="692" t="n"/>
      <c r="Z102" s="692" t="n"/>
      <c r="AA102" s="692" t="n"/>
      <c r="AB102" s="692" t="n"/>
      <c r="AC102" s="692" t="n"/>
      <c r="AD102" s="692" t="n"/>
      <c r="AE102" s="692" t="n"/>
      <c r="AF102" s="692" t="n"/>
      <c r="AG102" s="692" t="n"/>
      <c r="AH102" s="760" t="n"/>
      <c r="AI102" s="108" t="n"/>
      <c r="AJ102" s="108" t="n"/>
      <c r="AK102" s="108" t="n"/>
      <c r="AL102" s="108" t="n"/>
      <c r="AM102" s="108" t="n"/>
      <c r="AN102" s="108" t="n"/>
      <c r="AO102" s="108" t="n"/>
      <c r="AP102" s="108" t="n"/>
      <c r="AQ102" s="108" t="n"/>
      <c r="AR102" s="108" t="n"/>
      <c r="AS102" s="108" t="n"/>
      <c r="AT102" s="108" t="n"/>
      <c r="AU102" s="108" t="n"/>
      <c r="AV102" s="108" t="n"/>
      <c r="AW102" s="108" t="n"/>
      <c r="AX102" s="108" t="n"/>
      <c r="AY102" s="108" t="n"/>
      <c r="AZ102" s="108" t="n"/>
      <c r="BA102" s="108" t="n"/>
      <c r="BB102" s="108" t="n"/>
      <c r="BC102" s="108" t="n"/>
      <c r="BD102" s="108" t="n"/>
      <c r="BE102" s="108" t="n"/>
      <c r="BF102" s="108" t="n"/>
      <c r="BG102" s="108" t="n"/>
      <c r="BH102" s="108" t="n"/>
      <c r="BI102" s="109" t="n"/>
    </row>
    <row r="103" ht="14.1" customHeight="1" s="2">
      <c r="A103" s="692" t="n"/>
      <c r="B103" s="758" t="n"/>
      <c r="C103" s="692" t="n"/>
      <c r="D103" s="692" t="n"/>
      <c r="E103" s="692" t="n"/>
      <c r="F103" s="692" t="n"/>
      <c r="G103" s="692" t="n"/>
      <c r="H103" s="692" t="n"/>
      <c r="I103" s="692" t="n"/>
      <c r="J103" s="692" t="n"/>
      <c r="K103" s="692" t="n"/>
      <c r="L103" s="692" t="n"/>
      <c r="M103" s="692" t="n"/>
      <c r="N103" s="692" t="n"/>
      <c r="O103" s="692" t="n"/>
      <c r="P103" s="692" t="n"/>
      <c r="Q103" s="692" t="n"/>
      <c r="R103" s="692" t="n"/>
      <c r="S103" s="692" t="n"/>
      <c r="T103" s="692" t="n"/>
      <c r="U103" s="692" t="n"/>
      <c r="V103" s="692" t="n"/>
      <c r="W103" s="692" t="n"/>
      <c r="X103" s="692" t="n"/>
      <c r="Y103" s="692" t="n"/>
      <c r="Z103" s="692" t="n"/>
      <c r="AA103" s="692" t="n"/>
      <c r="AB103" s="692" t="n"/>
      <c r="AC103" s="692" t="n"/>
      <c r="AD103" s="692" t="n"/>
      <c r="AE103" s="692" t="n"/>
      <c r="AF103" s="692" t="n"/>
      <c r="AG103" s="692" t="n"/>
      <c r="AH103" s="760" t="n"/>
      <c r="AI103" s="108" t="n"/>
      <c r="AJ103" s="108" t="n"/>
      <c r="AK103" s="108" t="n"/>
      <c r="AL103" s="108" t="n"/>
      <c r="AM103" s="108" t="n"/>
      <c r="AN103" s="108" t="n"/>
      <c r="AO103" s="108" t="n"/>
      <c r="AP103" s="108" t="n"/>
      <c r="AQ103" s="108" t="n"/>
      <c r="AR103" s="108" t="n"/>
      <c r="AS103" s="108" t="n"/>
      <c r="AT103" s="108" t="n"/>
      <c r="AU103" s="108" t="n"/>
      <c r="AV103" s="108" t="n"/>
      <c r="AW103" s="108" t="n"/>
      <c r="AX103" s="108" t="n"/>
      <c r="AY103" s="108" t="n"/>
      <c r="AZ103" s="108" t="n"/>
      <c r="BA103" s="108" t="n"/>
      <c r="BB103" s="108" t="n"/>
      <c r="BC103" s="108" t="n"/>
      <c r="BD103" s="108" t="n"/>
      <c r="BE103" s="108" t="n"/>
      <c r="BF103" s="108" t="n"/>
      <c r="BG103" s="108" t="n"/>
      <c r="BH103" s="108" t="n"/>
      <c r="BI103" s="109" t="n"/>
    </row>
    <row r="104" ht="14.1" customHeight="1" s="2">
      <c r="A104" s="692" t="n"/>
      <c r="B104" s="758" t="n"/>
      <c r="C104" s="692" t="n"/>
      <c r="D104" s="692" t="n"/>
      <c r="E104" s="692" t="n"/>
      <c r="F104" s="692" t="n"/>
      <c r="G104" s="692" t="n"/>
      <c r="H104" s="692" t="n"/>
      <c r="I104" s="692" t="n"/>
      <c r="J104" s="692" t="n"/>
      <c r="K104" s="692" t="n"/>
      <c r="L104" s="692" t="n"/>
      <c r="M104" s="692" t="n"/>
      <c r="N104" s="692" t="n"/>
      <c r="O104" s="692" t="n"/>
      <c r="P104" s="692" t="n"/>
      <c r="Q104" s="692" t="n"/>
      <c r="R104" s="692" t="n"/>
      <c r="S104" s="692" t="n"/>
      <c r="T104" s="692" t="n"/>
      <c r="U104" s="692" t="n"/>
      <c r="V104" s="692" t="n"/>
      <c r="W104" s="692" t="n"/>
      <c r="X104" s="692" t="n"/>
      <c r="Y104" s="692" t="n"/>
      <c r="Z104" s="692" t="n"/>
      <c r="AA104" s="692" t="n"/>
      <c r="AB104" s="692" t="n"/>
      <c r="AC104" s="692" t="n"/>
      <c r="AD104" s="692" t="n"/>
      <c r="AE104" s="692" t="n"/>
      <c r="AF104" s="692" t="n"/>
      <c r="AG104" s="692" t="n"/>
      <c r="AH104" s="760" t="n"/>
      <c r="AI104" s="108" t="n"/>
      <c r="AJ104" s="108" t="n"/>
      <c r="AK104" s="108" t="n"/>
      <c r="AL104" s="108" t="n"/>
      <c r="AM104" s="108" t="n"/>
      <c r="AN104" s="108" t="n"/>
      <c r="AO104" s="108" t="n"/>
      <c r="AP104" s="108" t="n"/>
      <c r="AQ104" s="108" t="n"/>
      <c r="AR104" s="108" t="n"/>
      <c r="AS104" s="108" t="n"/>
      <c r="AT104" s="108" t="n"/>
      <c r="AU104" s="108" t="n"/>
      <c r="AV104" s="108" t="n"/>
      <c r="AW104" s="108" t="n"/>
      <c r="AX104" s="108" t="n"/>
      <c r="AY104" s="108" t="n"/>
      <c r="AZ104" s="108" t="n"/>
      <c r="BA104" s="108" t="n"/>
      <c r="BB104" s="108" t="n"/>
      <c r="BC104" s="108" t="n"/>
      <c r="BD104" s="108" t="n"/>
      <c r="BE104" s="108" t="n"/>
      <c r="BF104" s="108" t="n"/>
      <c r="BG104" s="108" t="n"/>
      <c r="BH104" s="108" t="n"/>
      <c r="BI104" s="109" t="n"/>
    </row>
    <row r="105" ht="14.1" customHeight="1" s="2">
      <c r="A105" s="692" t="n"/>
      <c r="B105" s="758" t="n"/>
      <c r="C105" s="692" t="n"/>
      <c r="D105" s="692" t="n"/>
      <c r="E105" s="692" t="n"/>
      <c r="F105" s="692" t="n"/>
      <c r="G105" s="692" t="n"/>
      <c r="H105" s="692" t="n"/>
      <c r="I105" s="692" t="n"/>
      <c r="J105" s="692" t="n"/>
      <c r="K105" s="692" t="n"/>
      <c r="L105" s="692" t="n"/>
      <c r="M105" s="692" t="n"/>
      <c r="N105" s="692" t="n"/>
      <c r="O105" s="692" t="n"/>
      <c r="P105" s="692" t="n"/>
      <c r="Q105" s="692" t="n"/>
      <c r="R105" s="692" t="n"/>
      <c r="S105" s="692" t="n"/>
      <c r="T105" s="692" t="n"/>
      <c r="U105" s="692" t="n"/>
      <c r="V105" s="692" t="n"/>
      <c r="W105" s="692" t="n"/>
      <c r="X105" s="692" t="n"/>
      <c r="Y105" s="692" t="n"/>
      <c r="Z105" s="692" t="n"/>
      <c r="AA105" s="692" t="n"/>
      <c r="AB105" s="692" t="n"/>
      <c r="AC105" s="692" t="n"/>
      <c r="AD105" s="692" t="n"/>
      <c r="AE105" s="692" t="n"/>
      <c r="AF105" s="692" t="n"/>
      <c r="AG105" s="692" t="n"/>
      <c r="AH105" s="760" t="n"/>
      <c r="AI105" s="108" t="n"/>
      <c r="AJ105" s="108" t="n"/>
      <c r="AK105" s="108" t="n"/>
      <c r="AL105" s="108" t="n"/>
      <c r="AM105" s="108" t="n"/>
      <c r="AN105" s="108" t="n"/>
      <c r="AO105" s="108" t="n"/>
      <c r="AP105" s="108" t="n"/>
      <c r="AQ105" s="108" t="n"/>
      <c r="AR105" s="108" t="n"/>
      <c r="AS105" s="108" t="n"/>
      <c r="AT105" s="108" t="n"/>
      <c r="AU105" s="108" t="n"/>
      <c r="AV105" s="108" t="n"/>
      <c r="AW105" s="108" t="n"/>
      <c r="AX105" s="108" t="n"/>
      <c r="AY105" s="108" t="n"/>
      <c r="AZ105" s="108" t="n"/>
      <c r="BA105" s="108" t="n"/>
      <c r="BB105" s="108" t="n"/>
      <c r="BC105" s="108" t="n"/>
      <c r="BD105" s="108" t="n"/>
      <c r="BE105" s="108" t="n"/>
      <c r="BF105" s="108" t="n"/>
      <c r="BG105" s="108" t="n"/>
      <c r="BH105" s="108" t="n"/>
      <c r="BI105" s="109" t="n"/>
    </row>
    <row r="106" ht="14.1" customHeight="1" s="2">
      <c r="A106" s="692" t="n"/>
      <c r="B106" s="758" t="n"/>
      <c r="C106" s="692" t="n"/>
      <c r="D106" s="692" t="n"/>
      <c r="E106" s="692" t="n"/>
      <c r="F106" s="692" t="n"/>
      <c r="G106" s="692" t="n"/>
      <c r="H106" s="692" t="n"/>
      <c r="I106" s="692" t="n"/>
      <c r="J106" s="692" t="n"/>
      <c r="K106" s="692" t="n"/>
      <c r="L106" s="692" t="n"/>
      <c r="M106" s="692" t="n"/>
      <c r="N106" s="692" t="n"/>
      <c r="O106" s="692" t="n"/>
      <c r="P106" s="692" t="n"/>
      <c r="Q106" s="692" t="n"/>
      <c r="R106" s="692" t="n"/>
      <c r="S106" s="692" t="n"/>
      <c r="T106" s="692" t="n"/>
      <c r="U106" s="692" t="n"/>
      <c r="V106" s="692" t="n"/>
      <c r="W106" s="692" t="n"/>
      <c r="X106" s="692" t="n"/>
      <c r="Y106" s="692" t="n"/>
      <c r="Z106" s="692" t="n"/>
      <c r="AA106" s="692" t="n"/>
      <c r="AB106" s="692" t="n"/>
      <c r="AC106" s="692" t="n"/>
      <c r="AD106" s="692" t="n"/>
      <c r="AE106" s="692" t="n"/>
      <c r="AF106" s="692" t="n"/>
      <c r="AG106" s="692" t="n"/>
      <c r="AH106" s="760" t="n"/>
      <c r="AI106" s="108" t="n"/>
      <c r="AJ106" s="108" t="n"/>
      <c r="AK106" s="108" t="n"/>
      <c r="AL106" s="108" t="n"/>
      <c r="AM106" s="108" t="n"/>
      <c r="AN106" s="108" t="n"/>
      <c r="AO106" s="108" t="n"/>
      <c r="AP106" s="108" t="n"/>
      <c r="AQ106" s="108" t="n"/>
      <c r="AR106" s="108" t="n"/>
      <c r="AS106" s="108" t="n"/>
      <c r="AT106" s="108" t="n"/>
      <c r="AU106" s="108" t="n"/>
      <c r="AV106" s="108" t="n"/>
      <c r="AW106" s="108" t="n"/>
      <c r="AX106" s="108" t="n"/>
      <c r="AY106" s="108" t="n"/>
      <c r="AZ106" s="108" t="n"/>
      <c r="BA106" s="108" t="n"/>
      <c r="BB106" s="108" t="n"/>
      <c r="BC106" s="108" t="n"/>
      <c r="BD106" s="108" t="n"/>
      <c r="BE106" s="108" t="n"/>
      <c r="BF106" s="108" t="n"/>
      <c r="BG106" s="108" t="n"/>
      <c r="BH106" s="108" t="n"/>
      <c r="BI106" s="109" t="n"/>
    </row>
    <row r="107" ht="14.1" customHeight="1" s="2">
      <c r="A107" s="692" t="n"/>
      <c r="B107" s="758" t="n"/>
      <c r="C107" s="692" t="n"/>
      <c r="D107" s="692" t="n"/>
      <c r="E107" s="692" t="n"/>
      <c r="F107" s="692" t="n"/>
      <c r="G107" s="692" t="n"/>
      <c r="H107" s="692" t="n"/>
      <c r="I107" s="692" t="n"/>
      <c r="J107" s="692" t="n"/>
      <c r="K107" s="692" t="n"/>
      <c r="L107" s="692" t="n"/>
      <c r="M107" s="692" t="n"/>
      <c r="N107" s="692" t="n"/>
      <c r="O107" s="692" t="n"/>
      <c r="P107" s="692" t="n"/>
      <c r="Q107" s="692" t="n"/>
      <c r="R107" s="692" t="n"/>
      <c r="S107" s="692" t="n"/>
      <c r="T107" s="692" t="n"/>
      <c r="U107" s="692" t="n"/>
      <c r="V107" s="692" t="n"/>
      <c r="W107" s="692" t="n"/>
      <c r="X107" s="692" t="n"/>
      <c r="Y107" s="692" t="n"/>
      <c r="Z107" s="692" t="n"/>
      <c r="AA107" s="692" t="n"/>
      <c r="AB107" s="692" t="n"/>
      <c r="AC107" s="692" t="n"/>
      <c r="AD107" s="692" t="n"/>
      <c r="AE107" s="692" t="n"/>
      <c r="AF107" s="692" t="n"/>
      <c r="AG107" s="692" t="n"/>
      <c r="AH107" s="760" t="n"/>
      <c r="AI107" s="108" t="n"/>
      <c r="AJ107" s="108" t="n"/>
      <c r="AK107" s="108" t="n"/>
      <c r="AL107" s="108" t="n"/>
      <c r="AM107" s="108" t="n"/>
      <c r="AN107" s="108" t="n"/>
      <c r="AO107" s="108" t="n"/>
      <c r="AP107" s="108" t="n"/>
      <c r="AQ107" s="108" t="n"/>
      <c r="AR107" s="108" t="n"/>
      <c r="AS107" s="108" t="n"/>
      <c r="AT107" s="108" t="n"/>
      <c r="AU107" s="108" t="n"/>
      <c r="AV107" s="108" t="n"/>
      <c r="AW107" s="108" t="n"/>
      <c r="AX107" s="108" t="n"/>
      <c r="AY107" s="108" t="n"/>
      <c r="AZ107" s="108" t="n"/>
      <c r="BA107" s="108" t="n"/>
      <c r="BB107" s="108" t="n"/>
      <c r="BC107" s="108" t="n"/>
      <c r="BD107" s="108" t="n"/>
      <c r="BE107" s="108" t="n"/>
      <c r="BF107" s="108" t="n"/>
      <c r="BG107" s="108" t="n"/>
      <c r="BH107" s="108" t="n"/>
      <c r="BI107" s="109" t="n"/>
    </row>
    <row r="108" ht="14.1" customHeight="1" s="2">
      <c r="A108" s="692" t="n"/>
      <c r="B108" s="758" t="n"/>
      <c r="C108" s="692" t="n"/>
      <c r="D108" s="692" t="n"/>
      <c r="E108" s="692" t="n"/>
      <c r="F108" s="692" t="n"/>
      <c r="G108" s="692" t="n"/>
      <c r="H108" s="692" t="n"/>
      <c r="I108" s="692" t="n"/>
      <c r="J108" s="692" t="n"/>
      <c r="K108" s="692" t="n"/>
      <c r="L108" s="692" t="n"/>
      <c r="M108" s="692" t="n"/>
      <c r="N108" s="692" t="n"/>
      <c r="O108" s="692" t="n"/>
      <c r="P108" s="692" t="n"/>
      <c r="Q108" s="692" t="n"/>
      <c r="R108" s="692" t="n"/>
      <c r="S108" s="692" t="n"/>
      <c r="T108" s="692" t="n"/>
      <c r="U108" s="692" t="n"/>
      <c r="V108" s="692" t="n"/>
      <c r="W108" s="692" t="n"/>
      <c r="X108" s="692" t="n"/>
      <c r="Y108" s="692" t="n"/>
      <c r="Z108" s="692" t="n"/>
      <c r="AA108" s="692" t="n"/>
      <c r="AB108" s="692" t="n"/>
      <c r="AC108" s="692" t="n"/>
      <c r="AD108" s="692" t="n"/>
      <c r="AE108" s="692" t="n"/>
      <c r="AF108" s="692" t="n"/>
      <c r="AG108" s="692" t="n"/>
      <c r="AH108" s="760" t="n"/>
      <c r="AI108" s="108" t="n"/>
      <c r="AJ108" s="108" t="n"/>
      <c r="AK108" s="108" t="n"/>
      <c r="AL108" s="108" t="n"/>
      <c r="AM108" s="108" t="n"/>
      <c r="AN108" s="108" t="n"/>
      <c r="AO108" s="108" t="n"/>
      <c r="AP108" s="108" t="n"/>
      <c r="AQ108" s="108" t="n"/>
      <c r="AR108" s="108" t="n"/>
      <c r="AS108" s="108" t="n"/>
      <c r="AT108" s="108" t="n"/>
      <c r="AU108" s="108" t="n"/>
      <c r="AV108" s="108" t="n"/>
      <c r="AW108" s="108" t="n"/>
      <c r="AX108" s="108" t="n"/>
      <c r="AY108" s="108" t="n"/>
      <c r="AZ108" s="108" t="n"/>
      <c r="BA108" s="108" t="n"/>
      <c r="BB108" s="108" t="n"/>
      <c r="BC108" s="108" t="n"/>
      <c r="BD108" s="108" t="n"/>
      <c r="BE108" s="108" t="n"/>
      <c r="BF108" s="108" t="n"/>
      <c r="BG108" s="108" t="n"/>
      <c r="BH108" s="108" t="n"/>
      <c r="BI108" s="109" t="n"/>
    </row>
    <row r="109" ht="14.1" customHeight="1" s="2">
      <c r="A109" s="692" t="n"/>
      <c r="B109" s="758" t="n"/>
      <c r="C109" s="692" t="n"/>
      <c r="D109" s="692" t="n"/>
      <c r="E109" s="692" t="n"/>
      <c r="F109" s="692" t="n"/>
      <c r="G109" s="692" t="n"/>
      <c r="H109" s="692" t="n"/>
      <c r="I109" s="692" t="n"/>
      <c r="J109" s="692" t="n"/>
      <c r="K109" s="692" t="n"/>
      <c r="L109" s="692" t="n"/>
      <c r="M109" s="692" t="n"/>
      <c r="N109" s="692" t="n"/>
      <c r="O109" s="692" t="n"/>
      <c r="P109" s="692" t="n"/>
      <c r="Q109" s="692" t="n"/>
      <c r="R109" s="692" t="n"/>
      <c r="S109" s="692" t="n"/>
      <c r="T109" s="692" t="n"/>
      <c r="U109" s="692" t="n"/>
      <c r="V109" s="692" t="n"/>
      <c r="W109" s="692" t="n"/>
      <c r="X109" s="692" t="n"/>
      <c r="Y109" s="692" t="n"/>
      <c r="Z109" s="692" t="n"/>
      <c r="AA109" s="692" t="n"/>
      <c r="AB109" s="692" t="n"/>
      <c r="AC109" s="692" t="n"/>
      <c r="AD109" s="692" t="n"/>
      <c r="AE109" s="692" t="n"/>
      <c r="AF109" s="692" t="n"/>
      <c r="AG109" s="692" t="n"/>
      <c r="AH109" s="760" t="n"/>
      <c r="AI109" s="108" t="n"/>
      <c r="AJ109" s="108" t="n"/>
      <c r="AK109" s="108" t="n"/>
      <c r="AL109" s="108" t="n"/>
      <c r="AM109" s="108" t="n"/>
      <c r="AN109" s="108" t="n"/>
      <c r="AO109" s="108" t="n"/>
      <c r="AP109" s="108" t="n"/>
      <c r="AQ109" s="108" t="n"/>
      <c r="AR109" s="108" t="n"/>
      <c r="AS109" s="108" t="n"/>
      <c r="AT109" s="108" t="n"/>
      <c r="AU109" s="108" t="n"/>
      <c r="AV109" s="108" t="n"/>
      <c r="AW109" s="108" t="n"/>
      <c r="AX109" s="108" t="n"/>
      <c r="AY109" s="108" t="n"/>
      <c r="AZ109" s="108" t="n"/>
      <c r="BA109" s="108" t="n"/>
      <c r="BB109" s="108" t="n"/>
      <c r="BC109" s="108" t="n"/>
      <c r="BD109" s="108" t="n"/>
      <c r="BE109" s="108" t="n"/>
      <c r="BF109" s="108" t="n"/>
      <c r="BG109" s="108" t="n"/>
      <c r="BH109" s="108" t="n"/>
      <c r="BI109" s="109" t="n"/>
    </row>
    <row r="110" ht="14.1" customHeight="1" s="2">
      <c r="A110" s="692" t="n"/>
      <c r="B110" s="758" t="n"/>
      <c r="C110" s="692" t="n"/>
      <c r="D110" s="692" t="n"/>
      <c r="E110" s="692" t="n"/>
      <c r="F110" s="692" t="n"/>
      <c r="G110" s="692" t="n"/>
      <c r="H110" s="692" t="n"/>
      <c r="I110" s="692" t="n"/>
      <c r="J110" s="692" t="n"/>
      <c r="K110" s="692" t="n"/>
      <c r="L110" s="692" t="n"/>
      <c r="M110" s="692" t="n"/>
      <c r="N110" s="692" t="n"/>
      <c r="O110" s="692" t="n"/>
      <c r="P110" s="692" t="n"/>
      <c r="Q110" s="692" t="n"/>
      <c r="R110" s="692" t="n"/>
      <c r="S110" s="692" t="n"/>
      <c r="T110" s="692" t="n"/>
      <c r="U110" s="692" t="n"/>
      <c r="V110" s="692" t="n"/>
      <c r="W110" s="692" t="n"/>
      <c r="X110" s="692" t="n"/>
      <c r="Y110" s="692" t="n"/>
      <c r="Z110" s="692" t="n"/>
      <c r="AA110" s="692" t="n"/>
      <c r="AB110" s="692" t="n"/>
      <c r="AC110" s="692" t="n"/>
      <c r="AD110" s="692" t="n"/>
      <c r="AE110" s="692" t="n"/>
      <c r="AF110" s="692" t="n"/>
      <c r="AG110" s="692" t="n"/>
      <c r="AH110" s="760" t="n"/>
      <c r="AI110" s="108" t="n"/>
      <c r="AJ110" s="108" t="n"/>
      <c r="AK110" s="108" t="n"/>
      <c r="AL110" s="108" t="n"/>
      <c r="AM110" s="108" t="n"/>
      <c r="AN110" s="108" t="n"/>
      <c r="AO110" s="108" t="n"/>
      <c r="AP110" s="108" t="n"/>
      <c r="AQ110" s="108" t="n"/>
      <c r="AR110" s="108" t="n"/>
      <c r="AS110" s="108" t="n"/>
      <c r="AT110" s="108" t="n"/>
      <c r="AU110" s="108" t="n"/>
      <c r="AV110" s="108" t="n"/>
      <c r="AW110" s="108" t="n"/>
      <c r="AX110" s="108" t="n"/>
      <c r="AY110" s="108" t="n"/>
      <c r="AZ110" s="108" t="n"/>
      <c r="BA110" s="108" t="n"/>
      <c r="BB110" s="108" t="n"/>
      <c r="BC110" s="108" t="n"/>
      <c r="BD110" s="108" t="n"/>
      <c r="BE110" s="108" t="n"/>
      <c r="BF110" s="108" t="n"/>
      <c r="BG110" s="108" t="n"/>
      <c r="BH110" s="108" t="n"/>
      <c r="BI110" s="109" t="n"/>
    </row>
    <row r="111" ht="14.1" customHeight="1" s="2">
      <c r="A111" s="692" t="n"/>
      <c r="B111" s="758" t="n"/>
      <c r="C111" s="692" t="n"/>
      <c r="D111" s="692" t="n"/>
      <c r="E111" s="692" t="n"/>
      <c r="F111" s="692" t="n"/>
      <c r="G111" s="692" t="n"/>
      <c r="H111" s="692" t="n"/>
      <c r="I111" s="692" t="n"/>
      <c r="J111" s="692" t="n"/>
      <c r="K111" s="692" t="n"/>
      <c r="L111" s="692" t="n"/>
      <c r="M111" s="692" t="n"/>
      <c r="N111" s="692" t="n"/>
      <c r="O111" s="692" t="n"/>
      <c r="P111" s="692" t="n"/>
      <c r="Q111" s="692" t="n"/>
      <c r="R111" s="692" t="n"/>
      <c r="S111" s="692" t="n"/>
      <c r="T111" s="692" t="n"/>
      <c r="U111" s="692" t="n"/>
      <c r="V111" s="692" t="n"/>
      <c r="W111" s="692" t="n"/>
      <c r="X111" s="692" t="n"/>
      <c r="Y111" s="692" t="n"/>
      <c r="Z111" s="692" t="n"/>
      <c r="AA111" s="692" t="n"/>
      <c r="AB111" s="692" t="n"/>
      <c r="AC111" s="692" t="n"/>
      <c r="AD111" s="692" t="n"/>
      <c r="AE111" s="692" t="n"/>
      <c r="AF111" s="692" t="n"/>
      <c r="AG111" s="692" t="n"/>
      <c r="AH111" s="760" t="n"/>
      <c r="AI111" s="108" t="n"/>
      <c r="AJ111" s="108" t="n"/>
      <c r="AK111" s="108" t="n"/>
      <c r="AL111" s="108" t="n"/>
      <c r="AM111" s="108" t="n"/>
      <c r="AN111" s="108" t="n"/>
      <c r="AO111" s="108" t="n"/>
      <c r="AP111" s="108" t="n"/>
      <c r="AQ111" s="108" t="n"/>
      <c r="AR111" s="108" t="n"/>
      <c r="AS111" s="108" t="n"/>
      <c r="AT111" s="108" t="n"/>
      <c r="AU111" s="108" t="n"/>
      <c r="AV111" s="108" t="n"/>
      <c r="AW111" s="108" t="n"/>
      <c r="AX111" s="108" t="n"/>
      <c r="AY111" s="108" t="n"/>
      <c r="AZ111" s="108" t="n"/>
      <c r="BA111" s="108" t="n"/>
      <c r="BB111" s="108" t="n"/>
      <c r="BC111" s="108" t="n"/>
      <c r="BD111" s="108" t="n"/>
      <c r="BE111" s="108" t="n"/>
      <c r="BF111" s="108" t="n"/>
      <c r="BG111" s="108" t="n"/>
      <c r="BH111" s="108" t="n"/>
      <c r="BI111" s="109" t="n"/>
    </row>
    <row r="112" ht="14.1" customHeight="1" s="2">
      <c r="A112" s="692" t="n"/>
      <c r="B112" s="758" t="n"/>
      <c r="C112" s="692" t="n"/>
      <c r="D112" s="692" t="n"/>
      <c r="E112" s="692" t="n"/>
      <c r="F112" s="692" t="n"/>
      <c r="G112" s="692" t="n"/>
      <c r="H112" s="692" t="n"/>
      <c r="I112" s="692" t="n"/>
      <c r="J112" s="692" t="n"/>
      <c r="K112" s="692" t="n"/>
      <c r="L112" s="692" t="n"/>
      <c r="M112" s="692" t="n"/>
      <c r="N112" s="692" t="n"/>
      <c r="O112" s="692" t="n"/>
      <c r="P112" s="692" t="n"/>
      <c r="Q112" s="692" t="n"/>
      <c r="R112" s="692" t="n"/>
      <c r="S112" s="692" t="n"/>
      <c r="T112" s="692" t="n"/>
      <c r="U112" s="692" t="n"/>
      <c r="V112" s="692" t="n"/>
      <c r="W112" s="692" t="n"/>
      <c r="X112" s="692" t="n"/>
      <c r="Y112" s="692" t="n"/>
      <c r="Z112" s="692" t="n"/>
      <c r="AA112" s="692" t="n"/>
      <c r="AB112" s="692" t="n"/>
      <c r="AC112" s="692" t="n"/>
      <c r="AD112" s="692" t="n"/>
      <c r="AE112" s="692" t="n"/>
      <c r="AF112" s="692" t="n"/>
      <c r="AG112" s="692" t="n"/>
      <c r="AH112" s="760" t="n"/>
      <c r="AI112" s="108" t="n"/>
      <c r="AJ112" s="108" t="n"/>
      <c r="AK112" s="108" t="n"/>
      <c r="AL112" s="108" t="n"/>
      <c r="AM112" s="108" t="n"/>
      <c r="AN112" s="108" t="n"/>
      <c r="AO112" s="108" t="n"/>
      <c r="AP112" s="108" t="n"/>
      <c r="AQ112" s="108" t="n"/>
      <c r="AR112" s="108" t="n"/>
      <c r="AS112" s="108" t="n"/>
      <c r="AT112" s="108" t="n"/>
      <c r="AU112" s="108" t="n"/>
      <c r="AV112" s="108" t="n"/>
      <c r="AW112" s="108" t="n"/>
      <c r="AX112" s="108" t="n"/>
      <c r="AY112" s="108" t="n"/>
      <c r="AZ112" s="108" t="n"/>
      <c r="BA112" s="108" t="n"/>
      <c r="BB112" s="108" t="n"/>
      <c r="BC112" s="108" t="n"/>
      <c r="BD112" s="108" t="n"/>
      <c r="BE112" s="108" t="n"/>
      <c r="BF112" s="108" t="n"/>
      <c r="BG112" s="108" t="n"/>
      <c r="BH112" s="108" t="n"/>
      <c r="BI112" s="109" t="n"/>
    </row>
    <row r="113" ht="14.1" customHeight="1" s="2">
      <c r="A113" s="692" t="n"/>
      <c r="B113" s="758" t="n"/>
      <c r="C113" s="692" t="n"/>
      <c r="D113" s="692" t="n"/>
      <c r="E113" s="692" t="n"/>
      <c r="F113" s="692" t="n"/>
      <c r="G113" s="692" t="n"/>
      <c r="H113" s="692" t="n"/>
      <c r="I113" s="692" t="n"/>
      <c r="J113" s="692" t="n"/>
      <c r="K113" s="692" t="n"/>
      <c r="L113" s="692" t="n"/>
      <c r="M113" s="692" t="n"/>
      <c r="N113" s="692" t="n"/>
      <c r="O113" s="692" t="n"/>
      <c r="P113" s="692" t="n"/>
      <c r="Q113" s="692" t="n"/>
      <c r="R113" s="692" t="n"/>
      <c r="S113" s="692" t="n"/>
      <c r="T113" s="692" t="n"/>
      <c r="U113" s="692" t="n"/>
      <c r="V113" s="692" t="n"/>
      <c r="W113" s="692" t="n"/>
      <c r="X113" s="692" t="n"/>
      <c r="Y113" s="692" t="n"/>
      <c r="Z113" s="692" t="n"/>
      <c r="AA113" s="692" t="n"/>
      <c r="AB113" s="692" t="n"/>
      <c r="AC113" s="692" t="n"/>
      <c r="AD113" s="692" t="n"/>
      <c r="AE113" s="692" t="n"/>
      <c r="AF113" s="692" t="n"/>
      <c r="AG113" s="692" t="n"/>
      <c r="AH113" s="760" t="n"/>
      <c r="AI113" s="108" t="n"/>
      <c r="AJ113" s="108" t="n"/>
      <c r="AK113" s="108" t="n"/>
      <c r="AL113" s="108" t="n"/>
      <c r="AM113" s="108" t="n"/>
      <c r="AN113" s="108" t="n"/>
      <c r="AO113" s="108" t="n"/>
      <c r="AP113" s="108" t="n"/>
      <c r="AQ113" s="108" t="n"/>
      <c r="AR113" s="108" t="n"/>
      <c r="AS113" s="108" t="n"/>
      <c r="AT113" s="108" t="n"/>
      <c r="AU113" s="108" t="n"/>
      <c r="AV113" s="108" t="n"/>
      <c r="AW113" s="108" t="n"/>
      <c r="AX113" s="108" t="n"/>
      <c r="AY113" s="108" t="n"/>
      <c r="AZ113" s="108" t="n"/>
      <c r="BA113" s="108" t="n"/>
      <c r="BB113" s="108" t="n"/>
      <c r="BC113" s="108" t="n"/>
      <c r="BD113" s="108" t="n"/>
      <c r="BE113" s="108" t="n"/>
      <c r="BF113" s="108" t="n"/>
      <c r="BG113" s="108" t="n"/>
      <c r="BH113" s="108" t="n"/>
      <c r="BI113" s="109" t="n"/>
    </row>
    <row r="114" ht="14.1" customHeight="1" s="2">
      <c r="A114" s="692" t="n"/>
      <c r="B114" s="758" t="n"/>
      <c r="C114" s="692" t="n"/>
      <c r="D114" s="692" t="n"/>
      <c r="E114" s="692" t="n"/>
      <c r="F114" s="692" t="n"/>
      <c r="G114" s="692" t="n"/>
      <c r="H114" s="692" t="n"/>
      <c r="I114" s="692" t="n"/>
      <c r="J114" s="692" t="n"/>
      <c r="K114" s="692" t="n"/>
      <c r="L114" s="692" t="n"/>
      <c r="M114" s="692" t="n"/>
      <c r="N114" s="692" t="n"/>
      <c r="O114" s="692" t="n"/>
      <c r="P114" s="692" t="n"/>
      <c r="Q114" s="692" t="n"/>
      <c r="R114" s="692" t="n"/>
      <c r="S114" s="692" t="n"/>
      <c r="T114" s="692" t="n"/>
      <c r="U114" s="692" t="n"/>
      <c r="V114" s="692" t="n"/>
      <c r="W114" s="692" t="n"/>
      <c r="X114" s="692" t="n"/>
      <c r="Y114" s="692" t="n"/>
      <c r="Z114" s="692" t="n"/>
      <c r="AA114" s="692" t="n"/>
      <c r="AB114" s="692" t="n"/>
      <c r="AC114" s="692" t="n"/>
      <c r="AD114" s="692" t="n"/>
      <c r="AE114" s="692" t="n"/>
      <c r="AF114" s="692" t="n"/>
      <c r="AG114" s="692" t="n"/>
      <c r="AH114" s="760" t="n"/>
      <c r="AI114" s="108" t="n"/>
      <c r="AJ114" s="108" t="n"/>
      <c r="AK114" s="108" t="n"/>
      <c r="AL114" s="108" t="n"/>
      <c r="AM114" s="108" t="n"/>
      <c r="AN114" s="108" t="n"/>
      <c r="AO114" s="108" t="n"/>
      <c r="AP114" s="108" t="n"/>
      <c r="AQ114" s="108" t="n"/>
      <c r="AR114" s="108" t="n"/>
      <c r="AS114" s="108" t="n"/>
      <c r="AT114" s="108" t="n"/>
      <c r="AU114" s="108" t="n"/>
      <c r="AV114" s="108" t="n"/>
      <c r="AW114" s="108" t="n"/>
      <c r="AX114" s="108" t="n"/>
      <c r="AY114" s="108" t="n"/>
      <c r="AZ114" s="108" t="n"/>
      <c r="BA114" s="108" t="n"/>
      <c r="BB114" s="108" t="n"/>
      <c r="BC114" s="108" t="n"/>
      <c r="BD114" s="108" t="n"/>
      <c r="BE114" s="108" t="n"/>
      <c r="BF114" s="108" t="n"/>
      <c r="BG114" s="108" t="n"/>
      <c r="BH114" s="108" t="n"/>
      <c r="BI114" s="109" t="n"/>
    </row>
    <row r="115" ht="14.1" customHeight="1" s="2">
      <c r="A115" s="692" t="n"/>
      <c r="B115" s="758" t="n"/>
      <c r="C115" s="692" t="n"/>
      <c r="D115" s="692" t="n"/>
      <c r="E115" s="692" t="n"/>
      <c r="F115" s="692" t="n"/>
      <c r="G115" s="692" t="n"/>
      <c r="H115" s="692" t="n"/>
      <c r="I115" s="692" t="n"/>
      <c r="J115" s="692" t="n"/>
      <c r="K115" s="692" t="n"/>
      <c r="L115" s="692" t="n"/>
      <c r="M115" s="692" t="n"/>
      <c r="N115" s="692" t="n"/>
      <c r="O115" s="692" t="n"/>
      <c r="P115" s="692" t="n"/>
      <c r="Q115" s="692" t="n"/>
      <c r="R115" s="692" t="n"/>
      <c r="S115" s="692" t="n"/>
      <c r="T115" s="692" t="n"/>
      <c r="U115" s="692" t="n"/>
      <c r="V115" s="692" t="n"/>
      <c r="W115" s="692" t="n"/>
      <c r="X115" s="692" t="n"/>
      <c r="Y115" s="692" t="n"/>
      <c r="Z115" s="692" t="n"/>
      <c r="AA115" s="692" t="n"/>
      <c r="AB115" s="692" t="n"/>
      <c r="AC115" s="692" t="n"/>
      <c r="AD115" s="692" t="n"/>
      <c r="AE115" s="692" t="n"/>
      <c r="AF115" s="692" t="n"/>
      <c r="AG115" s="692" t="n"/>
      <c r="AH115" s="760" t="n"/>
      <c r="AI115" s="108" t="n"/>
      <c r="AJ115" s="108" t="n"/>
      <c r="AK115" s="108" t="n"/>
      <c r="AL115" s="108" t="n"/>
      <c r="AM115" s="108" t="n"/>
      <c r="AN115" s="108" t="n"/>
      <c r="AO115" s="108" t="n"/>
      <c r="AP115" s="108" t="n"/>
      <c r="AQ115" s="108" t="n"/>
      <c r="AR115" s="108" t="n"/>
      <c r="AS115" s="108" t="n"/>
      <c r="AT115" s="108" t="n"/>
      <c r="AU115" s="108" t="n"/>
      <c r="AV115" s="108" t="n"/>
      <c r="AW115" s="108" t="n"/>
      <c r="AX115" s="108" t="n"/>
      <c r="AY115" s="108" t="n"/>
      <c r="AZ115" s="108" t="n"/>
      <c r="BA115" s="108" t="n"/>
      <c r="BB115" s="108" t="n"/>
      <c r="BC115" s="108" t="n"/>
      <c r="BD115" s="108" t="n"/>
      <c r="BE115" s="108" t="n"/>
      <c r="BF115" s="108" t="n"/>
      <c r="BG115" s="108" t="n"/>
      <c r="BH115" s="108" t="n"/>
      <c r="BI115" s="109" t="n"/>
    </row>
    <row r="116" ht="14.1" customHeight="1" s="2">
      <c r="A116" s="692" t="n"/>
      <c r="B116" s="758" t="n"/>
      <c r="C116" s="692" t="n"/>
      <c r="D116" s="692" t="n"/>
      <c r="E116" s="692" t="n"/>
      <c r="F116" s="692" t="n"/>
      <c r="G116" s="692" t="n"/>
      <c r="H116" s="692" t="n"/>
      <c r="I116" s="692" t="n"/>
      <c r="J116" s="692" t="n"/>
      <c r="K116" s="692" t="n"/>
      <c r="L116" s="692" t="n"/>
      <c r="M116" s="692" t="n"/>
      <c r="N116" s="692" t="n"/>
      <c r="O116" s="692" t="n"/>
      <c r="P116" s="692" t="n"/>
      <c r="Q116" s="692" t="n"/>
      <c r="R116" s="692" t="n"/>
      <c r="S116" s="692" t="n"/>
      <c r="T116" s="692" t="n"/>
      <c r="U116" s="692" t="n"/>
      <c r="V116" s="692" t="n"/>
      <c r="W116" s="692" t="n"/>
      <c r="X116" s="692" t="n"/>
      <c r="Y116" s="692" t="n"/>
      <c r="Z116" s="692" t="n"/>
      <c r="AA116" s="692" t="n"/>
      <c r="AB116" s="692" t="n"/>
      <c r="AC116" s="692" t="n"/>
      <c r="AD116" s="692" t="n"/>
      <c r="AE116" s="692" t="n"/>
      <c r="AF116" s="692" t="n"/>
      <c r="AG116" s="692" t="n"/>
      <c r="AH116" s="760" t="n"/>
      <c r="AI116" s="108" t="n"/>
      <c r="AJ116" s="108" t="n"/>
      <c r="AK116" s="108" t="n"/>
      <c r="AL116" s="108" t="n"/>
      <c r="AM116" s="108" t="n"/>
      <c r="AN116" s="108" t="n"/>
      <c r="AO116" s="108" t="n"/>
      <c r="AP116" s="108" t="n"/>
      <c r="AQ116" s="108" t="n"/>
      <c r="AR116" s="108" t="n"/>
      <c r="AS116" s="108" t="n"/>
      <c r="AT116" s="108" t="n"/>
      <c r="AU116" s="108" t="n"/>
      <c r="AV116" s="108" t="n"/>
      <c r="AW116" s="108" t="n"/>
      <c r="AX116" s="108" t="n"/>
      <c r="AY116" s="108" t="n"/>
      <c r="AZ116" s="108" t="n"/>
      <c r="BA116" s="108" t="n"/>
      <c r="BB116" s="108" t="n"/>
      <c r="BC116" s="108" t="n"/>
      <c r="BD116" s="108" t="n"/>
      <c r="BE116" s="108" t="n"/>
      <c r="BF116" s="108" t="n"/>
      <c r="BG116" s="108" t="n"/>
      <c r="BH116" s="108" t="n"/>
      <c r="BI116" s="109" t="n"/>
    </row>
    <row r="117" ht="14.1" customHeight="1" s="2">
      <c r="A117" s="692" t="n"/>
      <c r="B117" s="758" t="n"/>
      <c r="C117" s="692" t="n"/>
      <c r="D117" s="692" t="n"/>
      <c r="E117" s="692" t="n"/>
      <c r="F117" s="692" t="n"/>
      <c r="G117" s="692" t="n"/>
      <c r="H117" s="692" t="n"/>
      <c r="I117" s="692" t="n"/>
      <c r="J117" s="692" t="n"/>
      <c r="K117" s="692" t="n"/>
      <c r="L117" s="692" t="n"/>
      <c r="M117" s="692" t="n"/>
      <c r="N117" s="692" t="n"/>
      <c r="O117" s="692" t="n"/>
      <c r="P117" s="692" t="n"/>
      <c r="Q117" s="692" t="n"/>
      <c r="R117" s="692" t="n"/>
      <c r="S117" s="692" t="n"/>
      <c r="T117" s="692" t="n"/>
      <c r="U117" s="692" t="n"/>
      <c r="V117" s="692" t="n"/>
      <c r="W117" s="692" t="n"/>
      <c r="X117" s="692" t="n"/>
      <c r="Y117" s="692" t="n"/>
      <c r="Z117" s="692" t="n"/>
      <c r="AA117" s="692" t="n"/>
      <c r="AB117" s="692" t="n"/>
      <c r="AC117" s="692" t="n"/>
      <c r="AD117" s="692" t="n"/>
      <c r="AE117" s="692" t="n"/>
      <c r="AF117" s="692" t="n"/>
      <c r="AG117" s="692" t="n"/>
      <c r="AH117" s="760" t="n"/>
      <c r="AI117" s="108" t="n"/>
      <c r="AJ117" s="108" t="n"/>
      <c r="AK117" s="108" t="n"/>
      <c r="AL117" s="108" t="n"/>
      <c r="AM117" s="108" t="n"/>
      <c r="AN117" s="108" t="n"/>
      <c r="AO117" s="108" t="n"/>
      <c r="AP117" s="108" t="n"/>
      <c r="AQ117" s="108" t="n"/>
      <c r="AR117" s="108" t="n"/>
      <c r="AS117" s="108" t="n"/>
      <c r="AT117" s="108" t="n"/>
      <c r="AU117" s="108" t="n"/>
      <c r="AV117" s="108" t="n"/>
      <c r="AW117" s="108" t="n"/>
      <c r="AX117" s="108" t="n"/>
      <c r="AY117" s="108" t="n"/>
      <c r="AZ117" s="108" t="n"/>
      <c r="BA117" s="108" t="n"/>
      <c r="BB117" s="108" t="n"/>
      <c r="BC117" s="108" t="n"/>
      <c r="BD117" s="108" t="n"/>
      <c r="BE117" s="108" t="n"/>
      <c r="BF117" s="108" t="n"/>
      <c r="BG117" s="108" t="n"/>
      <c r="BH117" s="108" t="n"/>
      <c r="BI117" s="109" t="n"/>
    </row>
    <row r="118" ht="14.1" customHeight="1" s="2">
      <c r="A118" s="692" t="n"/>
      <c r="B118" s="758" t="n"/>
      <c r="C118" s="692" t="n"/>
      <c r="D118" s="692" t="n"/>
      <c r="E118" s="692" t="n"/>
      <c r="F118" s="692" t="n"/>
      <c r="G118" s="692" t="n"/>
      <c r="H118" s="692" t="n"/>
      <c r="I118" s="692" t="n"/>
      <c r="J118" s="692" t="n"/>
      <c r="K118" s="692" t="n"/>
      <c r="L118" s="692" t="n"/>
      <c r="M118" s="692" t="n"/>
      <c r="N118" s="692" t="n"/>
      <c r="O118" s="692" t="n"/>
      <c r="P118" s="692" t="n"/>
      <c r="Q118" s="692" t="n"/>
      <c r="R118" s="692" t="n"/>
      <c r="S118" s="692" t="n"/>
      <c r="T118" s="692" t="n"/>
      <c r="U118" s="692" t="n"/>
      <c r="V118" s="692" t="n"/>
      <c r="W118" s="692" t="n"/>
      <c r="X118" s="692" t="n"/>
      <c r="Y118" s="692" t="n"/>
      <c r="Z118" s="692" t="n"/>
      <c r="AA118" s="692" t="n"/>
      <c r="AB118" s="692" t="n"/>
      <c r="AC118" s="692" t="n"/>
      <c r="AD118" s="692" t="n"/>
      <c r="AE118" s="692" t="n"/>
      <c r="AF118" s="692" t="n"/>
      <c r="AG118" s="692" t="n"/>
      <c r="AH118" s="760" t="n"/>
      <c r="AI118" s="108" t="n"/>
      <c r="AJ118" s="108" t="n"/>
      <c r="AK118" s="108" t="n"/>
      <c r="AL118" s="108" t="n"/>
      <c r="AM118" s="108" t="n"/>
      <c r="AN118" s="108" t="n"/>
      <c r="AO118" s="108" t="n"/>
      <c r="AP118" s="108" t="n"/>
      <c r="AQ118" s="108" t="n"/>
      <c r="AR118" s="108" t="n"/>
      <c r="AS118" s="108" t="n"/>
      <c r="AT118" s="108" t="n"/>
      <c r="AU118" s="108" t="n"/>
      <c r="AV118" s="108" t="n"/>
      <c r="AW118" s="108" t="n"/>
      <c r="AX118" s="108" t="n"/>
      <c r="AY118" s="108" t="n"/>
      <c r="AZ118" s="108" t="n"/>
      <c r="BA118" s="108" t="n"/>
      <c r="BB118" s="108" t="n"/>
      <c r="BC118" s="108" t="n"/>
      <c r="BD118" s="108" t="n"/>
      <c r="BE118" s="108" t="n"/>
      <c r="BF118" s="108" t="n"/>
      <c r="BG118" s="108" t="n"/>
      <c r="BH118" s="108" t="n"/>
      <c r="BI118" s="109" t="n"/>
    </row>
    <row r="119" ht="14.1" customHeight="1" s="2">
      <c r="A119" s="692" t="n"/>
      <c r="B119" s="758" t="n"/>
      <c r="C119" s="692" t="n"/>
      <c r="D119" s="692" t="n"/>
      <c r="E119" s="692" t="n"/>
      <c r="F119" s="692" t="n"/>
      <c r="G119" s="692" t="n"/>
      <c r="H119" s="692" t="n"/>
      <c r="I119" s="692" t="n"/>
      <c r="J119" s="692" t="n"/>
      <c r="K119" s="692" t="n"/>
      <c r="L119" s="692" t="n"/>
      <c r="M119" s="692" t="n"/>
      <c r="N119" s="692" t="n"/>
      <c r="O119" s="692" t="n"/>
      <c r="P119" s="692" t="n"/>
      <c r="Q119" s="692" t="n"/>
      <c r="R119" s="692" t="n"/>
      <c r="S119" s="692" t="n"/>
      <c r="T119" s="692" t="n"/>
      <c r="U119" s="692" t="n"/>
      <c r="V119" s="692" t="n"/>
      <c r="W119" s="692" t="n"/>
      <c r="X119" s="692" t="n"/>
      <c r="Y119" s="692" t="n"/>
      <c r="Z119" s="692" t="n"/>
      <c r="AA119" s="692" t="n"/>
      <c r="AB119" s="692" t="n"/>
      <c r="AC119" s="692" t="n"/>
      <c r="AD119" s="692" t="n"/>
      <c r="AE119" s="692" t="n"/>
      <c r="AF119" s="692" t="n"/>
      <c r="AG119" s="692" t="n"/>
      <c r="AH119" s="760" t="n"/>
      <c r="AI119" s="108" t="n"/>
      <c r="AJ119" s="108" t="n"/>
      <c r="AK119" s="108" t="n"/>
      <c r="AL119" s="108" t="n"/>
      <c r="AM119" s="108" t="n"/>
      <c r="AN119" s="108" t="n"/>
      <c r="AO119" s="108" t="n"/>
      <c r="AP119" s="108" t="n"/>
      <c r="AQ119" s="108" t="n"/>
      <c r="AR119" s="108" t="n"/>
      <c r="AS119" s="108" t="n"/>
      <c r="AT119" s="108" t="n"/>
      <c r="AU119" s="108" t="n"/>
      <c r="AV119" s="108" t="n"/>
      <c r="AW119" s="108" t="n"/>
      <c r="AX119" s="108" t="n"/>
      <c r="AY119" s="108" t="n"/>
      <c r="AZ119" s="108" t="n"/>
      <c r="BA119" s="108" t="n"/>
      <c r="BB119" s="108" t="n"/>
      <c r="BC119" s="108" t="n"/>
      <c r="BD119" s="108" t="n"/>
      <c r="BE119" s="108" t="n"/>
      <c r="BF119" s="108" t="n"/>
      <c r="BG119" s="108" t="n"/>
      <c r="BH119" s="108" t="n"/>
      <c r="BI119" s="109" t="n"/>
    </row>
    <row r="120" ht="14.1" customHeight="1" s="2">
      <c r="A120" s="692" t="n"/>
      <c r="B120" s="758" t="n"/>
      <c r="C120" s="692" t="n"/>
      <c r="D120" s="692" t="n"/>
      <c r="E120" s="692" t="n"/>
      <c r="F120" s="692" t="n"/>
      <c r="G120" s="692" t="n"/>
      <c r="H120" s="692" t="n"/>
      <c r="I120" s="692" t="n"/>
      <c r="J120" s="692" t="n"/>
      <c r="K120" s="692" t="n"/>
      <c r="L120" s="692" t="n"/>
      <c r="M120" s="692" t="n"/>
      <c r="N120" s="692" t="n"/>
      <c r="O120" s="692" t="n"/>
      <c r="P120" s="692" t="n"/>
      <c r="Q120" s="692" t="n"/>
      <c r="R120" s="692" t="n"/>
      <c r="S120" s="692" t="n"/>
      <c r="T120" s="692" t="n"/>
      <c r="U120" s="692" t="n"/>
      <c r="V120" s="692" t="n"/>
      <c r="W120" s="692" t="n"/>
      <c r="X120" s="692" t="n"/>
      <c r="Y120" s="692" t="n"/>
      <c r="Z120" s="692" t="n"/>
      <c r="AA120" s="692" t="n"/>
      <c r="AB120" s="692" t="n"/>
      <c r="AC120" s="692" t="n"/>
      <c r="AD120" s="692" t="n"/>
      <c r="AE120" s="692" t="n"/>
      <c r="AF120" s="692" t="n"/>
      <c r="AG120" s="692" t="n"/>
      <c r="AH120" s="760" t="n"/>
      <c r="AI120" s="108" t="n"/>
      <c r="AJ120" s="108" t="n"/>
      <c r="AK120" s="108" t="n"/>
      <c r="AL120" s="108" t="n"/>
      <c r="AM120" s="108" t="n"/>
      <c r="AN120" s="108" t="n"/>
      <c r="AO120" s="108" t="n"/>
      <c r="AP120" s="108" t="n"/>
      <c r="AQ120" s="108" t="n"/>
      <c r="AR120" s="108" t="n"/>
      <c r="AS120" s="108" t="n"/>
      <c r="AT120" s="108" t="n"/>
      <c r="AU120" s="108" t="n"/>
      <c r="AV120" s="108" t="n"/>
      <c r="AW120" s="108" t="n"/>
      <c r="AX120" s="108" t="n"/>
      <c r="AY120" s="108" t="n"/>
      <c r="AZ120" s="108" t="n"/>
      <c r="BA120" s="108" t="n"/>
      <c r="BB120" s="108" t="n"/>
      <c r="BC120" s="108" t="n"/>
      <c r="BD120" s="108" t="n"/>
      <c r="BE120" s="108" t="n"/>
      <c r="BF120" s="108" t="n"/>
      <c r="BG120" s="108" t="n"/>
      <c r="BH120" s="108" t="n"/>
      <c r="BI120" s="109" t="n"/>
    </row>
    <row r="121" ht="14.1" customHeight="1" s="2">
      <c r="A121" s="692" t="n"/>
      <c r="B121" s="758" t="n"/>
      <c r="C121" s="692" t="n"/>
      <c r="D121" s="692" t="n"/>
      <c r="E121" s="692" t="n"/>
      <c r="F121" s="692" t="n"/>
      <c r="G121" s="692" t="n"/>
      <c r="H121" s="692" t="n"/>
      <c r="I121" s="692" t="n"/>
      <c r="J121" s="692" t="n"/>
      <c r="K121" s="692" t="n"/>
      <c r="L121" s="692" t="n"/>
      <c r="M121" s="692" t="n"/>
      <c r="N121" s="692" t="n"/>
      <c r="O121" s="692" t="n"/>
      <c r="P121" s="692" t="n"/>
      <c r="Q121" s="692" t="n"/>
      <c r="R121" s="692" t="n"/>
      <c r="S121" s="692" t="n"/>
      <c r="T121" s="692" t="n"/>
      <c r="U121" s="692" t="n"/>
      <c r="V121" s="692" t="n"/>
      <c r="W121" s="692" t="n"/>
      <c r="X121" s="692" t="n"/>
      <c r="Y121" s="692" t="n"/>
      <c r="Z121" s="692" t="n"/>
      <c r="AA121" s="692" t="n"/>
      <c r="AB121" s="692" t="n"/>
      <c r="AC121" s="692" t="n"/>
      <c r="AD121" s="692" t="n"/>
      <c r="AE121" s="692" t="n"/>
      <c r="AF121" s="692" t="n"/>
      <c r="AG121" s="692" t="n"/>
      <c r="AH121" s="760" t="n"/>
      <c r="AI121" s="108" t="n"/>
      <c r="AJ121" s="108" t="n"/>
      <c r="AK121" s="108" t="n"/>
      <c r="AL121" s="108" t="n"/>
      <c r="AM121" s="108" t="n"/>
      <c r="AN121" s="108" t="n"/>
      <c r="AO121" s="108" t="n"/>
      <c r="AP121" s="108" t="n"/>
      <c r="AQ121" s="108" t="n"/>
      <c r="AR121" s="108" t="n"/>
      <c r="AS121" s="108" t="n"/>
      <c r="AT121" s="108" t="n"/>
      <c r="AU121" s="108" t="n"/>
      <c r="AV121" s="108" t="n"/>
      <c r="AW121" s="108" t="n"/>
      <c r="AX121" s="108" t="n"/>
      <c r="AY121" s="108" t="n"/>
      <c r="AZ121" s="108" t="n"/>
      <c r="BA121" s="108" t="n"/>
      <c r="BB121" s="108" t="n"/>
      <c r="BC121" s="108" t="n"/>
      <c r="BD121" s="108" t="n"/>
      <c r="BE121" s="108" t="n"/>
      <c r="BF121" s="108" t="n"/>
      <c r="BG121" s="108" t="n"/>
      <c r="BH121" s="108" t="n"/>
      <c r="BI121" s="109" t="n"/>
    </row>
    <row r="122" ht="14.1" customHeight="1" s="2">
      <c r="A122" s="692" t="n"/>
      <c r="B122" s="758" t="n"/>
      <c r="C122" s="692" t="n"/>
      <c r="D122" s="692" t="n"/>
      <c r="E122" s="692" t="n"/>
      <c r="F122" s="692" t="n"/>
      <c r="G122" s="692" t="n"/>
      <c r="H122" s="692" t="n"/>
      <c r="I122" s="692" t="n"/>
      <c r="J122" s="692" t="n"/>
      <c r="K122" s="692" t="n"/>
      <c r="L122" s="692" t="n"/>
      <c r="M122" s="692" t="n"/>
      <c r="N122" s="692" t="n"/>
      <c r="O122" s="692" t="n"/>
      <c r="P122" s="692" t="n"/>
      <c r="Q122" s="692" t="n"/>
      <c r="R122" s="692" t="n"/>
      <c r="S122" s="692" t="n"/>
      <c r="T122" s="692" t="n"/>
      <c r="U122" s="692" t="n"/>
      <c r="V122" s="692" t="n"/>
      <c r="W122" s="692" t="n"/>
      <c r="X122" s="692" t="n"/>
      <c r="Y122" s="692" t="n"/>
      <c r="Z122" s="692" t="n"/>
      <c r="AA122" s="692" t="n"/>
      <c r="AB122" s="692" t="n"/>
      <c r="AC122" s="692" t="n"/>
      <c r="AD122" s="692" t="n"/>
      <c r="AE122" s="692" t="n"/>
      <c r="AF122" s="692" t="n"/>
      <c r="AG122" s="692" t="n"/>
      <c r="AH122" s="760" t="n"/>
      <c r="AI122" s="108" t="n"/>
      <c r="AJ122" s="108" t="n"/>
      <c r="AK122" s="108" t="n"/>
      <c r="AL122" s="108" t="n"/>
      <c r="AM122" s="108" t="n"/>
      <c r="AN122" s="108" t="n"/>
      <c r="AO122" s="108" t="n"/>
      <c r="AP122" s="108" t="n"/>
      <c r="AQ122" s="108" t="n"/>
      <c r="AR122" s="108" t="n"/>
      <c r="AS122" s="108" t="n"/>
      <c r="AT122" s="108" t="n"/>
      <c r="AU122" s="108" t="n"/>
      <c r="AV122" s="108" t="n"/>
      <c r="AW122" s="108" t="n"/>
      <c r="AX122" s="108" t="n"/>
      <c r="AY122" s="108" t="n"/>
      <c r="AZ122" s="108" t="n"/>
      <c r="BA122" s="108" t="n"/>
      <c r="BB122" s="108" t="n"/>
      <c r="BC122" s="108" t="n"/>
      <c r="BD122" s="108" t="n"/>
      <c r="BE122" s="108" t="n"/>
      <c r="BF122" s="108" t="n"/>
      <c r="BG122" s="108" t="n"/>
      <c r="BH122" s="108" t="n"/>
      <c r="BI122" s="109" t="n"/>
    </row>
    <row r="123" ht="14.1" customHeight="1" s="2">
      <c r="A123" s="692" t="n"/>
      <c r="B123" s="758" t="n"/>
      <c r="C123" s="692" t="n"/>
      <c r="D123" s="692" t="n"/>
      <c r="E123" s="692" t="n"/>
      <c r="F123" s="692" t="n"/>
      <c r="G123" s="692" t="n"/>
      <c r="H123" s="692" t="n"/>
      <c r="I123" s="692" t="n"/>
      <c r="J123" s="692" t="n"/>
      <c r="K123" s="692" t="n"/>
      <c r="L123" s="692" t="n"/>
      <c r="M123" s="692" t="n"/>
      <c r="N123" s="692" t="n"/>
      <c r="O123" s="692" t="n"/>
      <c r="P123" s="692" t="n"/>
      <c r="Q123" s="692" t="n"/>
      <c r="R123" s="692" t="n"/>
      <c r="S123" s="692" t="n"/>
      <c r="T123" s="692" t="n"/>
      <c r="U123" s="692" t="n"/>
      <c r="V123" s="692" t="n"/>
      <c r="W123" s="692" t="n"/>
      <c r="X123" s="692" t="n"/>
      <c r="Y123" s="692" t="n"/>
      <c r="Z123" s="692" t="n"/>
      <c r="AA123" s="692" t="n"/>
      <c r="AB123" s="692" t="n"/>
      <c r="AC123" s="692" t="n"/>
      <c r="AD123" s="692" t="n"/>
      <c r="AE123" s="692" t="n"/>
      <c r="AF123" s="692" t="n"/>
      <c r="AG123" s="692" t="n"/>
      <c r="AH123" s="760" t="n"/>
      <c r="AI123" s="108" t="n"/>
      <c r="AJ123" s="108" t="n"/>
      <c r="AK123" s="108" t="n"/>
      <c r="AL123" s="108" t="n"/>
      <c r="AM123" s="108" t="n"/>
      <c r="AN123" s="108" t="n"/>
      <c r="AO123" s="108" t="n"/>
      <c r="AP123" s="108" t="n"/>
      <c r="AQ123" s="108" t="n"/>
      <c r="AR123" s="108" t="n"/>
      <c r="AS123" s="108" t="n"/>
      <c r="AT123" s="108" t="n"/>
      <c r="AU123" s="108" t="n"/>
      <c r="AV123" s="108" t="n"/>
      <c r="AW123" s="108" t="n"/>
      <c r="AX123" s="108" t="n"/>
      <c r="AY123" s="108" t="n"/>
      <c r="AZ123" s="108" t="n"/>
      <c r="BA123" s="108" t="n"/>
      <c r="BB123" s="108" t="n"/>
      <c r="BC123" s="108" t="n"/>
      <c r="BD123" s="108" t="n"/>
      <c r="BE123" s="108" t="n"/>
      <c r="BF123" s="108" t="n"/>
      <c r="BG123" s="108" t="n"/>
      <c r="BH123" s="108" t="n"/>
      <c r="BI123" s="109" t="n"/>
    </row>
    <row r="124" ht="14.1" customHeight="1" s="2">
      <c r="A124" s="692" t="n"/>
      <c r="B124" s="758" t="n"/>
      <c r="C124" s="692" t="n"/>
      <c r="D124" s="692" t="n"/>
      <c r="E124" s="692" t="n"/>
      <c r="F124" s="692" t="n"/>
      <c r="G124" s="692" t="n"/>
      <c r="H124" s="692" t="n"/>
      <c r="I124" s="692" t="n"/>
      <c r="J124" s="692" t="n"/>
      <c r="K124" s="692" t="n"/>
      <c r="L124" s="692" t="n"/>
      <c r="M124" s="692" t="n"/>
      <c r="N124" s="692" t="n"/>
      <c r="O124" s="692" t="n"/>
      <c r="P124" s="692" t="n"/>
      <c r="Q124" s="692" t="n"/>
      <c r="R124" s="692" t="n"/>
      <c r="S124" s="692" t="n"/>
      <c r="T124" s="692" t="n"/>
      <c r="U124" s="692" t="n"/>
      <c r="V124" s="692" t="n"/>
      <c r="W124" s="692" t="n"/>
      <c r="X124" s="692" t="n"/>
      <c r="Y124" s="692" t="n"/>
      <c r="Z124" s="692" t="n"/>
      <c r="AA124" s="692" t="n"/>
      <c r="AB124" s="692" t="n"/>
      <c r="AC124" s="692" t="n"/>
      <c r="AD124" s="692" t="n"/>
      <c r="AE124" s="692" t="n"/>
      <c r="AF124" s="692" t="n"/>
      <c r="AG124" s="692" t="n"/>
      <c r="AH124" s="760" t="n"/>
      <c r="AI124" s="108" t="n"/>
      <c r="AJ124" s="108" t="n"/>
      <c r="AK124" s="108" t="n"/>
      <c r="AL124" s="108" t="n"/>
      <c r="AM124" s="108" t="n"/>
      <c r="AN124" s="108" t="n"/>
      <c r="AO124" s="108" t="n"/>
      <c r="AP124" s="108" t="n"/>
      <c r="AQ124" s="108" t="n"/>
      <c r="AR124" s="108" t="n"/>
      <c r="AS124" s="108" t="n"/>
      <c r="AT124" s="108" t="n"/>
      <c r="AU124" s="108" t="n"/>
      <c r="AV124" s="108" t="n"/>
      <c r="AW124" s="108" t="n"/>
      <c r="AX124" s="108" t="n"/>
      <c r="AY124" s="108" t="n"/>
      <c r="AZ124" s="108" t="n"/>
      <c r="BA124" s="108" t="n"/>
      <c r="BB124" s="108" t="n"/>
      <c r="BC124" s="108" t="n"/>
      <c r="BD124" s="108" t="n"/>
      <c r="BE124" s="108" t="n"/>
      <c r="BF124" s="108" t="n"/>
      <c r="BG124" s="108" t="n"/>
      <c r="BH124" s="108" t="n"/>
      <c r="BI124" s="109" t="n"/>
    </row>
    <row r="125" ht="14.1" customHeight="1" s="2">
      <c r="A125" s="692" t="n"/>
      <c r="B125" s="758" t="n"/>
      <c r="C125" s="692" t="n"/>
      <c r="D125" s="692" t="n"/>
      <c r="E125" s="692" t="n"/>
      <c r="F125" s="692" t="n"/>
      <c r="G125" s="692" t="n"/>
      <c r="H125" s="692" t="n"/>
      <c r="I125" s="692" t="n"/>
      <c r="J125" s="692" t="n"/>
      <c r="K125" s="692" t="n"/>
      <c r="L125" s="692" t="n"/>
      <c r="M125" s="692" t="n"/>
      <c r="N125" s="692" t="n"/>
      <c r="O125" s="692" t="n"/>
      <c r="P125" s="692" t="n"/>
      <c r="Q125" s="692" t="n"/>
      <c r="R125" s="692" t="n"/>
      <c r="S125" s="692" t="n"/>
      <c r="T125" s="692" t="n"/>
      <c r="U125" s="692" t="n"/>
      <c r="V125" s="692" t="n"/>
      <c r="W125" s="692" t="n"/>
      <c r="X125" s="692" t="n"/>
      <c r="Y125" s="692" t="n"/>
      <c r="Z125" s="692" t="n"/>
      <c r="AA125" s="692" t="n"/>
      <c r="AB125" s="692" t="n"/>
      <c r="AC125" s="692" t="n"/>
      <c r="AD125" s="692" t="n"/>
      <c r="AE125" s="692" t="n"/>
      <c r="AF125" s="692" t="n"/>
      <c r="AG125" s="692" t="n"/>
      <c r="AH125" s="760" t="n"/>
      <c r="AI125" s="108" t="n"/>
      <c r="AJ125" s="108" t="n"/>
      <c r="AK125" s="108" t="n"/>
      <c r="AL125" s="108" t="n"/>
      <c r="AM125" s="108" t="n"/>
      <c r="AN125" s="108" t="n"/>
      <c r="AO125" s="108" t="n"/>
      <c r="AP125" s="108" t="n"/>
      <c r="AQ125" s="108" t="n"/>
      <c r="AR125" s="108" t="n"/>
      <c r="AS125" s="108" t="n"/>
      <c r="AT125" s="108" t="n"/>
      <c r="AU125" s="108" t="n"/>
      <c r="AV125" s="108" t="n"/>
      <c r="AW125" s="108" t="n"/>
      <c r="AX125" s="108" t="n"/>
      <c r="AY125" s="108" t="n"/>
      <c r="AZ125" s="108" t="n"/>
      <c r="BA125" s="108" t="n"/>
      <c r="BB125" s="108" t="n"/>
      <c r="BC125" s="108" t="n"/>
      <c r="BD125" s="108" t="n"/>
      <c r="BE125" s="108" t="n"/>
      <c r="BF125" s="108" t="n"/>
      <c r="BG125" s="108" t="n"/>
      <c r="BH125" s="108" t="n"/>
      <c r="BI125" s="109" t="n"/>
    </row>
    <row r="126" ht="14.1" customHeight="1" s="2">
      <c r="A126" s="692" t="n"/>
      <c r="B126" s="758" t="n"/>
      <c r="C126" s="692" t="n"/>
      <c r="D126" s="692" t="n"/>
      <c r="E126" s="692" t="n"/>
      <c r="F126" s="692" t="n"/>
      <c r="G126" s="692" t="n"/>
      <c r="H126" s="692" t="n"/>
      <c r="I126" s="692" t="n"/>
      <c r="J126" s="692" t="n"/>
      <c r="K126" s="692" t="n"/>
      <c r="L126" s="692" t="n"/>
      <c r="M126" s="692" t="n"/>
      <c r="N126" s="692" t="n"/>
      <c r="O126" s="692" t="n"/>
      <c r="P126" s="692" t="n"/>
      <c r="Q126" s="692" t="n"/>
      <c r="R126" s="692" t="n"/>
      <c r="S126" s="692" t="n"/>
      <c r="T126" s="692" t="n"/>
      <c r="U126" s="692" t="n"/>
      <c r="V126" s="692" t="n"/>
      <c r="W126" s="692" t="n"/>
      <c r="X126" s="692" t="n"/>
      <c r="Y126" s="692" t="n"/>
      <c r="Z126" s="692" t="n"/>
      <c r="AA126" s="692" t="n"/>
      <c r="AB126" s="692" t="n"/>
      <c r="AC126" s="692" t="n"/>
      <c r="AD126" s="692" t="n"/>
      <c r="AE126" s="692" t="n"/>
      <c r="AF126" s="692" t="n"/>
      <c r="AG126" s="692" t="n"/>
      <c r="AH126" s="760" t="n"/>
      <c r="AI126" s="108" t="n"/>
      <c r="AJ126" s="108" t="n"/>
      <c r="AK126" s="108" t="n"/>
      <c r="AL126" s="108" t="n"/>
      <c r="AM126" s="108" t="n"/>
      <c r="AN126" s="108" t="n"/>
      <c r="AO126" s="108" t="n"/>
      <c r="AP126" s="108" t="n"/>
      <c r="AQ126" s="108" t="n"/>
      <c r="AR126" s="108" t="n"/>
      <c r="AS126" s="108" t="n"/>
      <c r="AT126" s="108" t="n"/>
      <c r="AU126" s="108" t="n"/>
      <c r="AV126" s="108" t="n"/>
      <c r="AW126" s="108" t="n"/>
      <c r="AX126" s="108" t="n"/>
      <c r="AY126" s="108" t="n"/>
      <c r="AZ126" s="108" t="n"/>
      <c r="BA126" s="108" t="n"/>
      <c r="BB126" s="108" t="n"/>
      <c r="BC126" s="108" t="n"/>
      <c r="BD126" s="108" t="n"/>
      <c r="BE126" s="108" t="n"/>
      <c r="BF126" s="108" t="n"/>
      <c r="BG126" s="108" t="n"/>
      <c r="BH126" s="108" t="n"/>
      <c r="BI126" s="109" t="n"/>
    </row>
    <row r="127" ht="14.1" customHeight="1" s="2">
      <c r="A127" s="692" t="n"/>
      <c r="B127" s="758" t="n"/>
      <c r="C127" s="692" t="n"/>
      <c r="D127" s="692" t="n"/>
      <c r="E127" s="692" t="n"/>
      <c r="F127" s="692" t="n"/>
      <c r="G127" s="692" t="n"/>
      <c r="H127" s="692" t="n"/>
      <c r="I127" s="692" t="n"/>
      <c r="J127" s="692" t="n"/>
      <c r="K127" s="692" t="n"/>
      <c r="L127" s="692" t="n"/>
      <c r="M127" s="692" t="n"/>
      <c r="N127" s="692" t="n"/>
      <c r="O127" s="692" t="n"/>
      <c r="P127" s="692" t="n"/>
      <c r="Q127" s="692" t="n"/>
      <c r="R127" s="692" t="n"/>
      <c r="S127" s="692" t="n"/>
      <c r="T127" s="692" t="n"/>
      <c r="U127" s="692" t="n"/>
      <c r="V127" s="692" t="n"/>
      <c r="W127" s="692" t="n"/>
      <c r="X127" s="692" t="n"/>
      <c r="Y127" s="692" t="n"/>
      <c r="Z127" s="692" t="n"/>
      <c r="AA127" s="692" t="n"/>
      <c r="AB127" s="692" t="n"/>
      <c r="AC127" s="692" t="n"/>
      <c r="AD127" s="692" t="n"/>
      <c r="AE127" s="692" t="n"/>
      <c r="AF127" s="692" t="n"/>
      <c r="AG127" s="692" t="n"/>
      <c r="AH127" s="760" t="n"/>
      <c r="AI127" s="108" t="n"/>
      <c r="AJ127" s="108" t="n"/>
      <c r="AK127" s="108" t="n"/>
      <c r="AL127" s="108" t="n"/>
      <c r="AM127" s="108" t="n"/>
      <c r="AN127" s="108" t="n"/>
      <c r="AO127" s="108" t="n"/>
      <c r="AP127" s="108" t="n"/>
      <c r="AQ127" s="108" t="n"/>
      <c r="AR127" s="108" t="n"/>
      <c r="AS127" s="108" t="n"/>
      <c r="AT127" s="108" t="n"/>
      <c r="AU127" s="108" t="n"/>
      <c r="AV127" s="108" t="n"/>
      <c r="AW127" s="108" t="n"/>
      <c r="AX127" s="108" t="n"/>
      <c r="AY127" s="108" t="n"/>
      <c r="AZ127" s="108" t="n"/>
      <c r="BA127" s="108" t="n"/>
      <c r="BB127" s="108" t="n"/>
      <c r="BC127" s="108" t="n"/>
      <c r="BD127" s="108" t="n"/>
      <c r="BE127" s="108" t="n"/>
      <c r="BF127" s="108" t="n"/>
      <c r="BG127" s="108" t="n"/>
      <c r="BH127" s="108" t="n"/>
      <c r="BI127" s="109" t="n"/>
    </row>
    <row r="128" ht="14.1" customHeight="1" s="2">
      <c r="A128" s="692" t="n"/>
      <c r="B128" s="758" t="n"/>
      <c r="C128" s="692" t="n"/>
      <c r="D128" s="692" t="n"/>
      <c r="E128" s="692" t="n"/>
      <c r="F128" s="692" t="n"/>
      <c r="G128" s="692" t="n"/>
      <c r="H128" s="692" t="n"/>
      <c r="I128" s="692" t="n"/>
      <c r="J128" s="692" t="n"/>
      <c r="K128" s="692" t="n"/>
      <c r="L128" s="692" t="n"/>
      <c r="M128" s="692" t="n"/>
      <c r="N128" s="692" t="n"/>
      <c r="O128" s="692" t="n"/>
      <c r="P128" s="692" t="n"/>
      <c r="Q128" s="692" t="n"/>
      <c r="R128" s="692" t="n"/>
      <c r="S128" s="692" t="n"/>
      <c r="T128" s="692" t="n"/>
      <c r="U128" s="692" t="n"/>
      <c r="V128" s="692" t="n"/>
      <c r="W128" s="692" t="n"/>
      <c r="X128" s="692" t="n"/>
      <c r="Y128" s="692" t="n"/>
      <c r="Z128" s="692" t="n"/>
      <c r="AA128" s="692" t="n"/>
      <c r="AB128" s="692" t="n"/>
      <c r="AC128" s="692" t="n"/>
      <c r="AD128" s="692" t="n"/>
      <c r="AE128" s="692" t="n"/>
      <c r="AF128" s="692" t="n"/>
      <c r="AG128" s="692" t="n"/>
      <c r="AH128" s="760" t="n"/>
      <c r="AI128" s="108" t="n"/>
      <c r="AJ128" s="108" t="n"/>
      <c r="AK128" s="108" t="n"/>
      <c r="AL128" s="108" t="n"/>
      <c r="AM128" s="108" t="n"/>
      <c r="AN128" s="108" t="n"/>
      <c r="AO128" s="108" t="n"/>
      <c r="AP128" s="108" t="n"/>
      <c r="AQ128" s="108" t="n"/>
      <c r="AR128" s="108" t="n"/>
      <c r="AS128" s="108" t="n"/>
      <c r="AT128" s="108" t="n"/>
      <c r="AU128" s="108" t="n"/>
      <c r="AV128" s="108" t="n"/>
      <c r="AW128" s="108" t="n"/>
      <c r="AX128" s="108" t="n"/>
      <c r="AY128" s="108" t="n"/>
      <c r="AZ128" s="108" t="n"/>
      <c r="BA128" s="108" t="n"/>
      <c r="BB128" s="108" t="n"/>
      <c r="BC128" s="108" t="n"/>
      <c r="BD128" s="108" t="n"/>
      <c r="BE128" s="108" t="n"/>
      <c r="BF128" s="108" t="n"/>
      <c r="BG128" s="108" t="n"/>
      <c r="BH128" s="108" t="n"/>
      <c r="BI128" s="109" t="n"/>
    </row>
    <row r="129" ht="14.1" customHeight="1" s="2">
      <c r="A129" s="692" t="n"/>
      <c r="B129" s="758" t="n"/>
      <c r="C129" s="692" t="n"/>
      <c r="D129" s="692" t="n"/>
      <c r="E129" s="692" t="n"/>
      <c r="F129" s="692" t="n"/>
      <c r="G129" s="692" t="n"/>
      <c r="H129" s="692" t="n"/>
      <c r="I129" s="692" t="n"/>
      <c r="J129" s="692" t="n"/>
      <c r="K129" s="692" t="n"/>
      <c r="L129" s="692" t="n"/>
      <c r="M129" s="692" t="n"/>
      <c r="N129" s="692" t="n"/>
      <c r="O129" s="692" t="n"/>
      <c r="P129" s="692" t="n"/>
      <c r="Q129" s="692" t="n"/>
      <c r="R129" s="692" t="n"/>
      <c r="S129" s="692" t="n"/>
      <c r="T129" s="692" t="n"/>
      <c r="U129" s="692" t="n"/>
      <c r="V129" s="692" t="n"/>
      <c r="W129" s="692" t="n"/>
      <c r="X129" s="692" t="n"/>
      <c r="Y129" s="692" t="n"/>
      <c r="Z129" s="692" t="n"/>
      <c r="AA129" s="692" t="n"/>
      <c r="AB129" s="692" t="n"/>
      <c r="AC129" s="692" t="n"/>
      <c r="AD129" s="692" t="n"/>
      <c r="AE129" s="692" t="n"/>
      <c r="AF129" s="692" t="n"/>
      <c r="AG129" s="692" t="n"/>
      <c r="AH129" s="760" t="n"/>
      <c r="AI129" s="108" t="n"/>
      <c r="AJ129" s="108" t="n"/>
      <c r="AK129" s="108" t="n"/>
      <c r="AL129" s="108" t="n"/>
      <c r="AM129" s="108" t="n"/>
      <c r="AN129" s="108" t="n"/>
      <c r="AO129" s="108" t="n"/>
      <c r="AP129" s="108" t="n"/>
      <c r="AQ129" s="108" t="n"/>
      <c r="AR129" s="108" t="n"/>
      <c r="AS129" s="108" t="n"/>
      <c r="AT129" s="108" t="n"/>
      <c r="AU129" s="108" t="n"/>
      <c r="AV129" s="108" t="n"/>
      <c r="AW129" s="108" t="n"/>
      <c r="AX129" s="108" t="n"/>
      <c r="AY129" s="108" t="n"/>
      <c r="AZ129" s="108" t="n"/>
      <c r="BA129" s="108" t="n"/>
      <c r="BB129" s="108" t="n"/>
      <c r="BC129" s="108" t="n"/>
      <c r="BD129" s="108" t="n"/>
      <c r="BE129" s="108" t="n"/>
      <c r="BF129" s="108" t="n"/>
      <c r="BG129" s="108" t="n"/>
      <c r="BH129" s="108" t="n"/>
      <c r="BI129" s="109" t="n"/>
    </row>
    <row r="130" ht="14.1" customHeight="1" s="2">
      <c r="A130" s="692" t="n"/>
      <c r="B130" s="758" t="n"/>
      <c r="C130" s="692" t="n"/>
      <c r="D130" s="692" t="n"/>
      <c r="E130" s="692" t="n"/>
      <c r="F130" s="692" t="n"/>
      <c r="G130" s="692" t="n"/>
      <c r="H130" s="692" t="n"/>
      <c r="I130" s="692" t="n"/>
      <c r="J130" s="692" t="n"/>
      <c r="K130" s="692" t="n"/>
      <c r="L130" s="692" t="n"/>
      <c r="M130" s="692" t="n"/>
      <c r="N130" s="692" t="n"/>
      <c r="O130" s="692" t="n"/>
      <c r="P130" s="692" t="n"/>
      <c r="Q130" s="692" t="n"/>
      <c r="R130" s="692" t="n"/>
      <c r="S130" s="692" t="n"/>
      <c r="T130" s="692" t="n"/>
      <c r="U130" s="692" t="n"/>
      <c r="V130" s="692" t="n"/>
      <c r="W130" s="692" t="n"/>
      <c r="X130" s="692" t="n"/>
      <c r="Y130" s="692" t="n"/>
      <c r="Z130" s="692" t="n"/>
      <c r="AA130" s="692" t="n"/>
      <c r="AB130" s="692" t="n"/>
      <c r="AC130" s="692" t="n"/>
      <c r="AD130" s="692" t="n"/>
      <c r="AE130" s="692" t="n"/>
      <c r="AF130" s="692" t="n"/>
      <c r="AG130" s="692" t="n"/>
      <c r="AH130" s="760" t="n"/>
      <c r="AI130" s="108" t="n"/>
      <c r="AJ130" s="108" t="n"/>
      <c r="AK130" s="108" t="n"/>
      <c r="AL130" s="108" t="n"/>
      <c r="AM130" s="108" t="n"/>
      <c r="AN130" s="108" t="n"/>
      <c r="AO130" s="108" t="n"/>
      <c r="AP130" s="108" t="n"/>
      <c r="AQ130" s="108" t="n"/>
      <c r="AR130" s="108" t="n"/>
      <c r="AS130" s="108" t="n"/>
      <c r="AT130" s="108" t="n"/>
      <c r="AU130" s="108" t="n"/>
      <c r="AV130" s="108" t="n"/>
      <c r="AW130" s="108" t="n"/>
      <c r="AX130" s="108" t="n"/>
      <c r="AY130" s="108" t="n"/>
      <c r="AZ130" s="108" t="n"/>
      <c r="BA130" s="108" t="n"/>
      <c r="BB130" s="108" t="n"/>
      <c r="BC130" s="108" t="n"/>
      <c r="BD130" s="108" t="n"/>
      <c r="BE130" s="108" t="n"/>
      <c r="BF130" s="108" t="n"/>
      <c r="BG130" s="108" t="n"/>
      <c r="BH130" s="108" t="n"/>
      <c r="BI130" s="109" t="n"/>
    </row>
    <row r="131" ht="14.1" customHeight="1" s="2">
      <c r="A131" s="692" t="n"/>
      <c r="B131" s="758" t="n"/>
      <c r="C131" s="692" t="n"/>
      <c r="D131" s="692" t="n"/>
      <c r="E131" s="692" t="n"/>
      <c r="F131" s="692" t="n"/>
      <c r="G131" s="692" t="n"/>
      <c r="H131" s="692" t="n"/>
      <c r="I131" s="692" t="n"/>
      <c r="J131" s="692" t="n"/>
      <c r="K131" s="692" t="n"/>
      <c r="L131" s="692" t="n"/>
      <c r="M131" s="692" t="n"/>
      <c r="N131" s="692" t="n"/>
      <c r="O131" s="692" t="n"/>
      <c r="P131" s="692" t="n"/>
      <c r="Q131" s="692" t="n"/>
      <c r="R131" s="692" t="n"/>
      <c r="S131" s="692" t="n"/>
      <c r="T131" s="692" t="n"/>
      <c r="U131" s="692" t="n"/>
      <c r="V131" s="692" t="n"/>
      <c r="W131" s="692" t="n"/>
      <c r="X131" s="692" t="n"/>
      <c r="Y131" s="692" t="n"/>
      <c r="Z131" s="692" t="n"/>
      <c r="AA131" s="692" t="n"/>
      <c r="AB131" s="692" t="n"/>
      <c r="AC131" s="692" t="n"/>
      <c r="AD131" s="692" t="n"/>
      <c r="AE131" s="692" t="n"/>
      <c r="AF131" s="692" t="n"/>
      <c r="AG131" s="692" t="n"/>
      <c r="AH131" s="760" t="n"/>
      <c r="AI131" s="108" t="n"/>
      <c r="AJ131" s="108" t="n"/>
      <c r="AK131" s="108" t="n"/>
      <c r="AL131" s="108" t="n"/>
      <c r="AM131" s="108" t="n"/>
      <c r="AN131" s="108" t="n"/>
      <c r="AO131" s="108" t="n"/>
      <c r="AP131" s="108" t="n"/>
      <c r="AQ131" s="108" t="n"/>
      <c r="AR131" s="108" t="n"/>
      <c r="AS131" s="108" t="n"/>
      <c r="AT131" s="108" t="n"/>
      <c r="AU131" s="108" t="n"/>
      <c r="AV131" s="108" t="n"/>
      <c r="AW131" s="108" t="n"/>
      <c r="AX131" s="108" t="n"/>
      <c r="AY131" s="108" t="n"/>
      <c r="AZ131" s="108" t="n"/>
      <c r="BA131" s="108" t="n"/>
      <c r="BB131" s="108" t="n"/>
      <c r="BC131" s="108" t="n"/>
      <c r="BD131" s="108" t="n"/>
      <c r="BE131" s="108" t="n"/>
      <c r="BF131" s="108" t="n"/>
      <c r="BG131" s="108" t="n"/>
      <c r="BH131" s="108" t="n"/>
      <c r="BI131" s="109" t="n"/>
    </row>
    <row r="132" ht="14.1" customHeight="1" s="2">
      <c r="A132" s="692" t="n"/>
      <c r="B132" s="758" t="n"/>
      <c r="C132" s="692" t="n"/>
      <c r="D132" s="692" t="n"/>
      <c r="E132" s="692" t="n"/>
      <c r="F132" s="692" t="n"/>
      <c r="G132" s="692" t="n"/>
      <c r="H132" s="692" t="n"/>
      <c r="I132" s="692" t="n"/>
      <c r="J132" s="692" t="n"/>
      <c r="K132" s="692" t="n"/>
      <c r="L132" s="692" t="n"/>
      <c r="M132" s="692" t="n"/>
      <c r="N132" s="692" t="n"/>
      <c r="O132" s="692" t="n"/>
      <c r="P132" s="692" t="n"/>
      <c r="Q132" s="692" t="n"/>
      <c r="R132" s="692" t="n"/>
      <c r="S132" s="692" t="n"/>
      <c r="T132" s="692" t="n"/>
      <c r="U132" s="692" t="n"/>
      <c r="V132" s="692" t="n"/>
      <c r="W132" s="692" t="n"/>
      <c r="X132" s="692" t="n"/>
      <c r="Y132" s="692" t="n"/>
      <c r="Z132" s="692" t="n"/>
      <c r="AA132" s="692" t="n"/>
      <c r="AB132" s="692" t="n"/>
      <c r="AC132" s="692" t="n"/>
      <c r="AD132" s="692" t="n"/>
      <c r="AE132" s="692" t="n"/>
      <c r="AF132" s="692" t="n"/>
      <c r="AG132" s="692" t="n"/>
      <c r="AH132" s="760" t="n"/>
      <c r="AI132" s="108" t="n"/>
      <c r="AJ132" s="108" t="n"/>
      <c r="AK132" s="108" t="n"/>
      <c r="AL132" s="108" t="n"/>
      <c r="AM132" s="108" t="n"/>
      <c r="AN132" s="108" t="n"/>
      <c r="AO132" s="108" t="n"/>
      <c r="AP132" s="108" t="n"/>
      <c r="AQ132" s="108" t="n"/>
      <c r="AR132" s="108" t="n"/>
      <c r="AS132" s="108" t="n"/>
      <c r="AT132" s="108" t="n"/>
      <c r="AU132" s="108" t="n"/>
      <c r="AV132" s="108" t="n"/>
      <c r="AW132" s="108" t="n"/>
      <c r="AX132" s="108" t="n"/>
      <c r="AY132" s="108" t="n"/>
      <c r="AZ132" s="108" t="n"/>
      <c r="BA132" s="108" t="n"/>
      <c r="BB132" s="108" t="n"/>
      <c r="BC132" s="108" t="n"/>
      <c r="BD132" s="108" t="n"/>
      <c r="BE132" s="108" t="n"/>
      <c r="BF132" s="108" t="n"/>
      <c r="BG132" s="108" t="n"/>
      <c r="BH132" s="108" t="n"/>
      <c r="BI132" s="109" t="n"/>
    </row>
    <row r="133" ht="14.1" customHeight="1" s="2">
      <c r="A133" s="692" t="n"/>
      <c r="B133" s="758" t="n"/>
      <c r="C133" s="692" t="n"/>
      <c r="D133" s="692" t="n"/>
      <c r="E133" s="692" t="n"/>
      <c r="F133" s="692" t="n"/>
      <c r="G133" s="692" t="n"/>
      <c r="H133" s="692" t="n"/>
      <c r="I133" s="692" t="n"/>
      <c r="J133" s="692" t="n"/>
      <c r="K133" s="692" t="n"/>
      <c r="L133" s="692" t="n"/>
      <c r="M133" s="692" t="n"/>
      <c r="N133" s="692" t="n"/>
      <c r="O133" s="692" t="n"/>
      <c r="P133" s="692" t="n"/>
      <c r="Q133" s="692" t="n"/>
      <c r="R133" s="692" t="n"/>
      <c r="S133" s="692" t="n"/>
      <c r="T133" s="692" t="n"/>
      <c r="U133" s="692" t="n"/>
      <c r="V133" s="692" t="n"/>
      <c r="W133" s="692" t="n"/>
      <c r="X133" s="692" t="n"/>
      <c r="Y133" s="692" t="n"/>
      <c r="Z133" s="692" t="n"/>
      <c r="AA133" s="692" t="n"/>
      <c r="AB133" s="692" t="n"/>
      <c r="AC133" s="692" t="n"/>
      <c r="AD133" s="692" t="n"/>
      <c r="AE133" s="692" t="n"/>
      <c r="AF133" s="692" t="n"/>
      <c r="AG133" s="692" t="n"/>
      <c r="AH133" s="760" t="n"/>
      <c r="AI133" s="108" t="n"/>
      <c r="AJ133" s="108" t="n"/>
      <c r="AK133" s="108" t="n"/>
      <c r="AL133" s="108" t="n"/>
      <c r="AM133" s="108" t="n"/>
      <c r="AN133" s="108" t="n"/>
      <c r="AO133" s="108" t="n"/>
      <c r="AP133" s="108" t="n"/>
      <c r="AQ133" s="108" t="n"/>
      <c r="AR133" s="108" t="n"/>
      <c r="AS133" s="108" t="n"/>
      <c r="AT133" s="108" t="n"/>
      <c r="AU133" s="108" t="n"/>
      <c r="AV133" s="108" t="n"/>
      <c r="AW133" s="108" t="n"/>
      <c r="AX133" s="108" t="n"/>
      <c r="AY133" s="108" t="n"/>
      <c r="AZ133" s="108" t="n"/>
      <c r="BA133" s="108" t="n"/>
      <c r="BB133" s="108" t="n"/>
      <c r="BC133" s="108" t="n"/>
      <c r="BD133" s="108" t="n"/>
      <c r="BE133" s="108" t="n"/>
      <c r="BF133" s="108" t="n"/>
      <c r="BG133" s="108" t="n"/>
      <c r="BH133" s="108" t="n"/>
      <c r="BI133" s="109" t="n"/>
    </row>
    <row r="134" ht="14.1" customHeight="1" s="2">
      <c r="A134" s="692" t="n"/>
      <c r="B134" s="758" t="n"/>
      <c r="C134" s="692" t="n"/>
      <c r="D134" s="692" t="n"/>
      <c r="E134" s="692" t="n"/>
      <c r="F134" s="692" t="n"/>
      <c r="G134" s="692" t="n"/>
      <c r="H134" s="692" t="n"/>
      <c r="I134" s="692" t="n"/>
      <c r="J134" s="692" t="n"/>
      <c r="K134" s="692" t="n"/>
      <c r="L134" s="692" t="n"/>
      <c r="M134" s="692" t="n"/>
      <c r="N134" s="692" t="n"/>
      <c r="O134" s="692" t="n"/>
      <c r="P134" s="692" t="n"/>
      <c r="Q134" s="692" t="n"/>
      <c r="R134" s="692" t="n"/>
      <c r="S134" s="692" t="n"/>
      <c r="T134" s="692" t="n"/>
      <c r="U134" s="692" t="n"/>
      <c r="V134" s="692" t="n"/>
      <c r="W134" s="692" t="n"/>
      <c r="X134" s="692" t="n"/>
      <c r="Y134" s="692" t="n"/>
      <c r="Z134" s="692" t="n"/>
      <c r="AA134" s="692" t="n"/>
      <c r="AB134" s="692" t="n"/>
      <c r="AC134" s="692" t="n"/>
      <c r="AD134" s="692" t="n"/>
      <c r="AE134" s="692" t="n"/>
      <c r="AF134" s="692" t="n"/>
      <c r="AG134" s="692" t="n"/>
      <c r="AH134" s="760" t="n"/>
      <c r="AI134" s="108" t="n"/>
      <c r="AJ134" s="108" t="n"/>
      <c r="AK134" s="108" t="n"/>
      <c r="AL134" s="108" t="n"/>
      <c r="AM134" s="108" t="n"/>
      <c r="AN134" s="108" t="n"/>
      <c r="AO134" s="108" t="n"/>
      <c r="AP134" s="108" t="n"/>
      <c r="AQ134" s="108" t="n"/>
      <c r="AR134" s="108" t="n"/>
      <c r="AS134" s="108" t="n"/>
      <c r="AT134" s="108" t="n"/>
      <c r="AU134" s="108" t="n"/>
      <c r="AV134" s="108" t="n"/>
      <c r="AW134" s="108" t="n"/>
      <c r="AX134" s="108" t="n"/>
      <c r="AY134" s="108" t="n"/>
      <c r="AZ134" s="108" t="n"/>
      <c r="BA134" s="108" t="n"/>
      <c r="BB134" s="108" t="n"/>
      <c r="BC134" s="108" t="n"/>
      <c r="BD134" s="108" t="n"/>
      <c r="BE134" s="108" t="n"/>
      <c r="BF134" s="108" t="n"/>
      <c r="BG134" s="108" t="n"/>
      <c r="BH134" s="108" t="n"/>
      <c r="BI134" s="109" t="n"/>
    </row>
    <row r="135" ht="14.1" customHeight="1" s="2">
      <c r="A135" s="692" t="n"/>
      <c r="B135" s="758" t="n"/>
      <c r="C135" s="692" t="n"/>
      <c r="D135" s="692" t="n"/>
      <c r="E135" s="692" t="n"/>
      <c r="F135" s="692" t="n"/>
      <c r="G135" s="692" t="n"/>
      <c r="H135" s="692" t="n"/>
      <c r="I135" s="692" t="n"/>
      <c r="J135" s="692" t="n"/>
      <c r="K135" s="692" t="n"/>
      <c r="L135" s="692" t="n"/>
      <c r="M135" s="692" t="n"/>
      <c r="N135" s="692" t="n"/>
      <c r="O135" s="692" t="n"/>
      <c r="P135" s="692" t="n"/>
      <c r="Q135" s="692" t="n"/>
      <c r="R135" s="692" t="n"/>
      <c r="S135" s="692" t="n"/>
      <c r="T135" s="692" t="n"/>
      <c r="U135" s="692" t="n"/>
      <c r="V135" s="692" t="n"/>
      <c r="W135" s="692" t="n"/>
      <c r="X135" s="692" t="n"/>
      <c r="Y135" s="692" t="n"/>
      <c r="Z135" s="692" t="n"/>
      <c r="AA135" s="692" t="n"/>
      <c r="AB135" s="692" t="n"/>
      <c r="AC135" s="692" t="n"/>
      <c r="AD135" s="692" t="n"/>
      <c r="AE135" s="692" t="n"/>
      <c r="AF135" s="692" t="n"/>
      <c r="AG135" s="692" t="n"/>
      <c r="AH135" s="760" t="n"/>
      <c r="AI135" s="108" t="n"/>
      <c r="AJ135" s="108" t="n"/>
      <c r="AK135" s="108" t="n"/>
      <c r="AL135" s="108" t="n"/>
      <c r="AM135" s="108" t="n"/>
      <c r="AN135" s="108" t="n"/>
      <c r="AO135" s="108" t="n"/>
      <c r="AP135" s="108" t="n"/>
      <c r="AQ135" s="108" t="n"/>
      <c r="AR135" s="108" t="n"/>
      <c r="AS135" s="108" t="n"/>
      <c r="AT135" s="108" t="n"/>
      <c r="AU135" s="108" t="n"/>
      <c r="AV135" s="108" t="n"/>
      <c r="AW135" s="108" t="n"/>
      <c r="AX135" s="108" t="n"/>
      <c r="AY135" s="108" t="n"/>
      <c r="AZ135" s="108" t="n"/>
      <c r="BA135" s="108" t="n"/>
      <c r="BB135" s="108" t="n"/>
      <c r="BC135" s="108" t="n"/>
      <c r="BD135" s="108" t="n"/>
      <c r="BE135" s="108" t="n"/>
      <c r="BF135" s="108" t="n"/>
      <c r="BG135" s="108" t="n"/>
      <c r="BH135" s="108" t="n"/>
      <c r="BI135" s="109" t="n"/>
    </row>
    <row r="136" ht="14.1" customHeight="1" s="2">
      <c r="A136" s="692" t="n"/>
      <c r="B136" s="758" t="n"/>
      <c r="C136" s="692" t="n"/>
      <c r="D136" s="692" t="n"/>
      <c r="E136" s="692" t="n"/>
      <c r="F136" s="692" t="n"/>
      <c r="G136" s="692" t="n"/>
      <c r="H136" s="692" t="n"/>
      <c r="I136" s="692" t="n"/>
      <c r="J136" s="692" t="n"/>
      <c r="K136" s="692" t="n"/>
      <c r="L136" s="692" t="n"/>
      <c r="M136" s="692" t="n"/>
      <c r="N136" s="692" t="n"/>
      <c r="O136" s="692" t="n"/>
      <c r="P136" s="692" t="n"/>
      <c r="Q136" s="692" t="n"/>
      <c r="R136" s="692" t="n"/>
      <c r="S136" s="692" t="n"/>
      <c r="T136" s="692" t="n"/>
      <c r="U136" s="692" t="n"/>
      <c r="V136" s="692" t="n"/>
      <c r="W136" s="692" t="n"/>
      <c r="X136" s="692" t="n"/>
      <c r="Y136" s="692" t="n"/>
      <c r="Z136" s="692" t="n"/>
      <c r="AA136" s="692" t="n"/>
      <c r="AB136" s="692" t="n"/>
      <c r="AC136" s="692" t="n"/>
      <c r="AD136" s="692" t="n"/>
      <c r="AE136" s="692" t="n"/>
      <c r="AF136" s="692" t="n"/>
      <c r="AG136" s="692" t="n"/>
      <c r="AH136" s="760" t="n"/>
      <c r="AI136" s="108" t="n"/>
      <c r="AJ136" s="108" t="n"/>
      <c r="AK136" s="108" t="n"/>
      <c r="AL136" s="108" t="n"/>
      <c r="AM136" s="108" t="n"/>
      <c r="AN136" s="108" t="n"/>
      <c r="AO136" s="108" t="n"/>
      <c r="AP136" s="108" t="n"/>
      <c r="AQ136" s="108" t="n"/>
      <c r="AR136" s="108" t="n"/>
      <c r="AS136" s="108" t="n"/>
      <c r="AT136" s="108" t="n"/>
      <c r="AU136" s="108" t="n"/>
      <c r="AV136" s="108" t="n"/>
      <c r="AW136" s="108" t="n"/>
      <c r="AX136" s="108" t="n"/>
      <c r="AY136" s="108" t="n"/>
      <c r="AZ136" s="108" t="n"/>
      <c r="BA136" s="108" t="n"/>
      <c r="BB136" s="108" t="n"/>
      <c r="BC136" s="108" t="n"/>
      <c r="BD136" s="108" t="n"/>
      <c r="BE136" s="108" t="n"/>
      <c r="BF136" s="108" t="n"/>
      <c r="BG136" s="108" t="n"/>
      <c r="BH136" s="108" t="n"/>
      <c r="BI136" s="109" t="n"/>
    </row>
    <row r="137" ht="14.1" customHeight="1" s="2">
      <c r="A137" s="692" t="n"/>
      <c r="B137" s="758" t="n"/>
      <c r="C137" s="692" t="n"/>
      <c r="D137" s="692" t="n"/>
      <c r="E137" s="692" t="n"/>
      <c r="F137" s="692" t="n"/>
      <c r="G137" s="692" t="n"/>
      <c r="H137" s="692" t="n"/>
      <c r="I137" s="692" t="n"/>
      <c r="J137" s="692" t="n"/>
      <c r="K137" s="692" t="n"/>
      <c r="L137" s="692" t="n"/>
      <c r="M137" s="692" t="n"/>
      <c r="N137" s="692" t="n"/>
      <c r="O137" s="692" t="n"/>
      <c r="P137" s="692" t="n"/>
      <c r="Q137" s="692" t="n"/>
      <c r="R137" s="692" t="n"/>
      <c r="S137" s="692" t="n"/>
      <c r="T137" s="692" t="n"/>
      <c r="U137" s="692" t="n"/>
      <c r="V137" s="692" t="n"/>
      <c r="W137" s="692" t="n"/>
      <c r="X137" s="692" t="n"/>
      <c r="Y137" s="692" t="n"/>
      <c r="Z137" s="692" t="n"/>
      <c r="AA137" s="692" t="n"/>
      <c r="AB137" s="692" t="n"/>
      <c r="AC137" s="692" t="n"/>
      <c r="AD137" s="692" t="n"/>
      <c r="AE137" s="692" t="n"/>
      <c r="AF137" s="692" t="n"/>
      <c r="AG137" s="692" t="n"/>
      <c r="AH137" s="760" t="n"/>
      <c r="AI137" s="108" t="n"/>
      <c r="AJ137" s="108" t="n"/>
      <c r="AK137" s="108" t="n"/>
      <c r="AL137" s="108" t="n"/>
      <c r="AM137" s="108" t="n"/>
      <c r="AN137" s="108" t="n"/>
      <c r="AO137" s="108" t="n"/>
      <c r="AP137" s="108" t="n"/>
      <c r="AQ137" s="108" t="n"/>
      <c r="AR137" s="108" t="n"/>
      <c r="AS137" s="108" t="n"/>
      <c r="AT137" s="108" t="n"/>
      <c r="AU137" s="108" t="n"/>
      <c r="AV137" s="108" t="n"/>
      <c r="AW137" s="108" t="n"/>
      <c r="AX137" s="108" t="n"/>
      <c r="AY137" s="108" t="n"/>
      <c r="AZ137" s="108" t="n"/>
      <c r="BA137" s="108" t="n"/>
      <c r="BB137" s="108" t="n"/>
      <c r="BC137" s="108" t="n"/>
      <c r="BD137" s="108" t="n"/>
      <c r="BE137" s="108" t="n"/>
      <c r="BF137" s="108" t="n"/>
      <c r="BG137" s="108" t="n"/>
      <c r="BH137" s="108" t="n"/>
      <c r="BI137" s="109" t="n"/>
    </row>
    <row r="138" ht="14.1" customHeight="1" s="2">
      <c r="A138" s="692" t="n"/>
      <c r="B138" s="758" t="n"/>
      <c r="C138" s="692" t="n"/>
      <c r="D138" s="692" t="n"/>
      <c r="E138" s="692" t="n"/>
      <c r="F138" s="692" t="n"/>
      <c r="G138" s="692" t="n"/>
      <c r="H138" s="692" t="n"/>
      <c r="I138" s="692" t="n"/>
      <c r="J138" s="692" t="n"/>
      <c r="K138" s="692" t="n"/>
      <c r="L138" s="692" t="n"/>
      <c r="M138" s="692" t="n"/>
      <c r="N138" s="692" t="n"/>
      <c r="O138" s="692" t="n"/>
      <c r="P138" s="692" t="n"/>
      <c r="Q138" s="692" t="n"/>
      <c r="R138" s="692" t="n"/>
      <c r="S138" s="692" t="n"/>
      <c r="T138" s="692" t="n"/>
      <c r="U138" s="692" t="n"/>
      <c r="V138" s="692" t="n"/>
      <c r="W138" s="692" t="n"/>
      <c r="X138" s="692" t="n"/>
      <c r="Y138" s="692" t="n"/>
      <c r="Z138" s="692" t="n"/>
      <c r="AA138" s="692" t="n"/>
      <c r="AB138" s="692" t="n"/>
      <c r="AC138" s="692" t="n"/>
      <c r="AD138" s="692" t="n"/>
      <c r="AE138" s="692" t="n"/>
      <c r="AF138" s="692" t="n"/>
      <c r="AG138" s="692" t="n"/>
      <c r="AH138" s="760" t="n"/>
      <c r="AI138" s="108" t="n"/>
      <c r="AJ138" s="108" t="n"/>
      <c r="AK138" s="108" t="n"/>
      <c r="AL138" s="108" t="n"/>
      <c r="AM138" s="108" t="n"/>
      <c r="AN138" s="108" t="n"/>
      <c r="AO138" s="108" t="n"/>
      <c r="AP138" s="108" t="n"/>
      <c r="AQ138" s="108" t="n"/>
      <c r="AR138" s="108" t="n"/>
      <c r="AS138" s="108" t="n"/>
      <c r="AT138" s="108" t="n"/>
      <c r="AU138" s="108" t="n"/>
      <c r="AV138" s="108" t="n"/>
      <c r="AW138" s="108" t="n"/>
      <c r="AX138" s="108" t="n"/>
      <c r="AY138" s="108" t="n"/>
      <c r="AZ138" s="108" t="n"/>
      <c r="BA138" s="108" t="n"/>
      <c r="BB138" s="108" t="n"/>
      <c r="BC138" s="108" t="n"/>
      <c r="BD138" s="108" t="n"/>
      <c r="BE138" s="108" t="n"/>
      <c r="BF138" s="108" t="n"/>
      <c r="BG138" s="108" t="n"/>
      <c r="BH138" s="108" t="n"/>
      <c r="BI138" s="109" t="n"/>
    </row>
    <row r="139" ht="14.1" customHeight="1" s="2">
      <c r="A139" s="692" t="n"/>
      <c r="B139" s="758" t="n"/>
      <c r="C139" s="692" t="n"/>
      <c r="D139" s="692" t="n"/>
      <c r="E139" s="692" t="n"/>
      <c r="F139" s="692" t="n"/>
      <c r="G139" s="692" t="n"/>
      <c r="H139" s="692" t="n"/>
      <c r="I139" s="692" t="n"/>
      <c r="J139" s="692" t="n"/>
      <c r="K139" s="692" t="n"/>
      <c r="L139" s="692" t="n"/>
      <c r="M139" s="692" t="n"/>
      <c r="N139" s="692" t="n"/>
      <c r="O139" s="692" t="n"/>
      <c r="P139" s="692" t="n"/>
      <c r="Q139" s="692" t="n"/>
      <c r="R139" s="692" t="n"/>
      <c r="S139" s="692" t="n"/>
      <c r="T139" s="692" t="n"/>
      <c r="U139" s="692" t="n"/>
      <c r="V139" s="692" t="n"/>
      <c r="W139" s="692" t="n"/>
      <c r="X139" s="692" t="n"/>
      <c r="Y139" s="692" t="n"/>
      <c r="Z139" s="692" t="n"/>
      <c r="AA139" s="692" t="n"/>
      <c r="AB139" s="692" t="n"/>
      <c r="AC139" s="692" t="n"/>
      <c r="AD139" s="692" t="n"/>
      <c r="AE139" s="692" t="n"/>
      <c r="AF139" s="692" t="n"/>
      <c r="AG139" s="692" t="n"/>
      <c r="AH139" s="760" t="n"/>
      <c r="AI139" s="108" t="n"/>
      <c r="AJ139" s="108" t="n"/>
      <c r="AK139" s="108" t="n"/>
      <c r="AL139" s="108" t="n"/>
      <c r="AM139" s="108" t="n"/>
      <c r="AN139" s="108" t="n"/>
      <c r="AO139" s="108" t="n"/>
      <c r="AP139" s="108" t="n"/>
      <c r="AQ139" s="108" t="n"/>
      <c r="AR139" s="108" t="n"/>
      <c r="AS139" s="108" t="n"/>
      <c r="AT139" s="108" t="n"/>
      <c r="AU139" s="108" t="n"/>
      <c r="AV139" s="108" t="n"/>
      <c r="AW139" s="108" t="n"/>
      <c r="AX139" s="108" t="n"/>
      <c r="AY139" s="108" t="n"/>
      <c r="AZ139" s="108" t="n"/>
      <c r="BA139" s="108" t="n"/>
      <c r="BB139" s="108" t="n"/>
      <c r="BC139" s="108" t="n"/>
      <c r="BD139" s="108" t="n"/>
      <c r="BE139" s="108" t="n"/>
      <c r="BF139" s="108" t="n"/>
      <c r="BG139" s="108" t="n"/>
      <c r="BH139" s="108" t="n"/>
      <c r="BI139" s="109" t="n"/>
    </row>
    <row r="140" ht="14.1" customHeight="1" s="2">
      <c r="A140" s="692" t="n"/>
      <c r="B140" s="758" t="n"/>
      <c r="C140" s="692" t="n"/>
      <c r="D140" s="692" t="n"/>
      <c r="E140" s="692" t="n"/>
      <c r="F140" s="692" t="n"/>
      <c r="G140" s="692" t="n"/>
      <c r="H140" s="692" t="n"/>
      <c r="I140" s="692" t="n"/>
      <c r="J140" s="692" t="n"/>
      <c r="K140" s="692" t="n"/>
      <c r="L140" s="692" t="n"/>
      <c r="M140" s="692" t="n"/>
      <c r="N140" s="692" t="n"/>
      <c r="O140" s="692" t="n"/>
      <c r="P140" s="692" t="n"/>
      <c r="Q140" s="692" t="n"/>
      <c r="R140" s="692" t="n"/>
      <c r="S140" s="692" t="n"/>
      <c r="T140" s="692" t="n"/>
      <c r="U140" s="692" t="n"/>
      <c r="V140" s="692" t="n"/>
      <c r="W140" s="692" t="n"/>
      <c r="X140" s="692" t="n"/>
      <c r="Y140" s="692" t="n"/>
      <c r="Z140" s="692" t="n"/>
      <c r="AA140" s="692" t="n"/>
      <c r="AB140" s="692" t="n"/>
      <c r="AC140" s="692" t="n"/>
      <c r="AD140" s="692" t="n"/>
      <c r="AE140" s="692" t="n"/>
      <c r="AF140" s="692" t="n"/>
      <c r="AG140" s="692" t="n"/>
      <c r="AH140" s="760" t="n"/>
      <c r="AI140" s="108" t="n"/>
      <c r="AJ140" s="108" t="n"/>
      <c r="AK140" s="108" t="n"/>
      <c r="AL140" s="108" t="n"/>
      <c r="AM140" s="108" t="n"/>
      <c r="AN140" s="108" t="n"/>
      <c r="AO140" s="108" t="n"/>
      <c r="AP140" s="108" t="n"/>
      <c r="AQ140" s="108" t="n"/>
      <c r="AR140" s="108" t="n"/>
      <c r="AS140" s="108" t="n"/>
      <c r="AT140" s="108" t="n"/>
      <c r="AU140" s="108" t="n"/>
      <c r="AV140" s="108" t="n"/>
      <c r="AW140" s="108" t="n"/>
      <c r="AX140" s="108" t="n"/>
      <c r="AY140" s="108" t="n"/>
      <c r="AZ140" s="108" t="n"/>
      <c r="BA140" s="108" t="n"/>
      <c r="BB140" s="108" t="n"/>
      <c r="BC140" s="108" t="n"/>
      <c r="BD140" s="108" t="n"/>
      <c r="BE140" s="108" t="n"/>
      <c r="BF140" s="108" t="n"/>
      <c r="BG140" s="108" t="n"/>
      <c r="BH140" s="108" t="n"/>
      <c r="BI140" s="109" t="n"/>
    </row>
    <row r="141" ht="14.1" customHeight="1" s="2">
      <c r="A141" s="692" t="n"/>
      <c r="B141" s="758" t="n"/>
      <c r="C141" s="692" t="n"/>
      <c r="D141" s="692" t="n"/>
      <c r="E141" s="692" t="n"/>
      <c r="F141" s="692" t="n"/>
      <c r="G141" s="692" t="n"/>
      <c r="H141" s="692" t="n"/>
      <c r="I141" s="692" t="n"/>
      <c r="J141" s="692" t="n"/>
      <c r="K141" s="692" t="n"/>
      <c r="L141" s="692" t="n"/>
      <c r="M141" s="692" t="n"/>
      <c r="N141" s="692" t="n"/>
      <c r="O141" s="692" t="n"/>
      <c r="P141" s="692" t="n"/>
      <c r="Q141" s="692" t="n"/>
      <c r="R141" s="692" t="n"/>
      <c r="S141" s="692" t="n"/>
      <c r="T141" s="692" t="n"/>
      <c r="U141" s="692" t="n"/>
      <c r="V141" s="692" t="n"/>
      <c r="W141" s="692" t="n"/>
      <c r="X141" s="692" t="n"/>
      <c r="Y141" s="692" t="n"/>
      <c r="Z141" s="692" t="n"/>
      <c r="AA141" s="692" t="n"/>
      <c r="AB141" s="692" t="n"/>
      <c r="AC141" s="692" t="n"/>
      <c r="AD141" s="692" t="n"/>
      <c r="AE141" s="692" t="n"/>
      <c r="AF141" s="692" t="n"/>
      <c r="AG141" s="692" t="n"/>
      <c r="AH141" s="760" t="n"/>
      <c r="AI141" s="108" t="n"/>
      <c r="AJ141" s="108" t="n"/>
      <c r="AK141" s="108" t="n"/>
      <c r="AL141" s="108" t="n"/>
      <c r="AM141" s="108" t="n"/>
      <c r="AN141" s="108" t="n"/>
      <c r="AO141" s="108" t="n"/>
      <c r="AP141" s="108" t="n"/>
      <c r="AQ141" s="108" t="n"/>
      <c r="AR141" s="108" t="n"/>
      <c r="AS141" s="108" t="n"/>
      <c r="AT141" s="108" t="n"/>
      <c r="AU141" s="108" t="n"/>
      <c r="AV141" s="108" t="n"/>
      <c r="AW141" s="108" t="n"/>
      <c r="AX141" s="108" t="n"/>
      <c r="AY141" s="108" t="n"/>
      <c r="AZ141" s="108" t="n"/>
      <c r="BA141" s="108" t="n"/>
      <c r="BB141" s="108" t="n"/>
      <c r="BC141" s="108" t="n"/>
      <c r="BD141" s="108" t="n"/>
      <c r="BE141" s="108" t="n"/>
      <c r="BF141" s="108" t="n"/>
      <c r="BG141" s="108" t="n"/>
      <c r="BH141" s="108" t="n"/>
      <c r="BI141" s="109" t="n"/>
    </row>
    <row r="142" ht="14.1" customHeight="1" s="2">
      <c r="A142" s="692" t="n"/>
      <c r="B142" s="758" t="n"/>
      <c r="C142" s="692" t="n"/>
      <c r="D142" s="692" t="n"/>
      <c r="E142" s="692" t="n"/>
      <c r="F142" s="692" t="n"/>
      <c r="G142" s="692" t="n"/>
      <c r="H142" s="692" t="n"/>
      <c r="I142" s="692" t="n"/>
      <c r="J142" s="692" t="n"/>
      <c r="K142" s="692" t="n"/>
      <c r="L142" s="692" t="n"/>
      <c r="M142" s="692" t="n"/>
      <c r="N142" s="692" t="n"/>
      <c r="O142" s="692" t="n"/>
      <c r="P142" s="692" t="n"/>
      <c r="Q142" s="692" t="n"/>
      <c r="R142" s="692" t="n"/>
      <c r="S142" s="692" t="n"/>
      <c r="T142" s="692" t="n"/>
      <c r="U142" s="692" t="n"/>
      <c r="V142" s="692" t="n"/>
      <c r="W142" s="692" t="n"/>
      <c r="X142" s="692" t="n"/>
      <c r="Y142" s="692" t="n"/>
      <c r="Z142" s="692" t="n"/>
      <c r="AA142" s="692" t="n"/>
      <c r="AB142" s="692" t="n"/>
      <c r="AC142" s="692" t="n"/>
      <c r="AD142" s="692" t="n"/>
      <c r="AE142" s="692" t="n"/>
      <c r="AF142" s="692" t="n"/>
      <c r="AG142" s="692" t="n"/>
      <c r="AH142" s="760" t="n"/>
      <c r="AI142" s="108" t="n"/>
      <c r="AJ142" s="108" t="n"/>
      <c r="AK142" s="108" t="n"/>
      <c r="AL142" s="108" t="n"/>
      <c r="AM142" s="108" t="n"/>
      <c r="AN142" s="108" t="n"/>
      <c r="AO142" s="108" t="n"/>
      <c r="AP142" s="108" t="n"/>
      <c r="AQ142" s="108" t="n"/>
      <c r="AR142" s="108" t="n"/>
      <c r="AS142" s="108" t="n"/>
      <c r="AT142" s="108" t="n"/>
      <c r="AU142" s="108" t="n"/>
      <c r="AV142" s="108" t="n"/>
      <c r="AW142" s="108" t="n"/>
      <c r="AX142" s="108" t="n"/>
      <c r="AY142" s="108" t="n"/>
      <c r="AZ142" s="108" t="n"/>
      <c r="BA142" s="108" t="n"/>
      <c r="BB142" s="108" t="n"/>
      <c r="BC142" s="108" t="n"/>
      <c r="BD142" s="108" t="n"/>
      <c r="BE142" s="108" t="n"/>
      <c r="BF142" s="108" t="n"/>
      <c r="BG142" s="108" t="n"/>
      <c r="BH142" s="108" t="n"/>
      <c r="BI142" s="109" t="n"/>
    </row>
    <row r="143" ht="14.1" customHeight="1" s="2">
      <c r="A143" s="692" t="n"/>
      <c r="B143" s="758" t="n"/>
      <c r="C143" s="692" t="n"/>
      <c r="D143" s="692" t="n"/>
      <c r="E143" s="692" t="n"/>
      <c r="F143" s="692" t="n"/>
      <c r="G143" s="692" t="n"/>
      <c r="H143" s="692" t="n"/>
      <c r="I143" s="692" t="n"/>
      <c r="J143" s="692" t="n"/>
      <c r="K143" s="692" t="n"/>
      <c r="L143" s="692" t="n"/>
      <c r="M143" s="692" t="n"/>
      <c r="N143" s="692" t="n"/>
      <c r="O143" s="692" t="n"/>
      <c r="P143" s="692" t="n"/>
      <c r="Q143" s="692" t="n"/>
      <c r="R143" s="692" t="n"/>
      <c r="S143" s="692" t="n"/>
      <c r="T143" s="692" t="n"/>
      <c r="U143" s="692" t="n"/>
      <c r="V143" s="692" t="n"/>
      <c r="W143" s="692" t="n"/>
      <c r="X143" s="692" t="n"/>
      <c r="Y143" s="692" t="n"/>
      <c r="Z143" s="692" t="n"/>
      <c r="AA143" s="692" t="n"/>
      <c r="AB143" s="692" t="n"/>
      <c r="AC143" s="692" t="n"/>
      <c r="AD143" s="692" t="n"/>
      <c r="AE143" s="692" t="n"/>
      <c r="AF143" s="692" t="n"/>
      <c r="AG143" s="692" t="n"/>
      <c r="AH143" s="760" t="n"/>
      <c r="AI143" s="108" t="n"/>
      <c r="AJ143" s="108" t="n"/>
      <c r="AK143" s="108" t="n"/>
      <c r="AL143" s="108" t="n"/>
      <c r="AM143" s="108" t="n"/>
      <c r="AN143" s="108" t="n"/>
      <c r="AO143" s="108" t="n"/>
      <c r="AP143" s="108" t="n"/>
      <c r="AQ143" s="108" t="n"/>
      <c r="AR143" s="108" t="n"/>
      <c r="AS143" s="108" t="n"/>
      <c r="AT143" s="108" t="n"/>
      <c r="AU143" s="108" t="n"/>
      <c r="AV143" s="108" t="n"/>
      <c r="AW143" s="108" t="n"/>
      <c r="AX143" s="108" t="n"/>
      <c r="AY143" s="108" t="n"/>
      <c r="AZ143" s="108" t="n"/>
      <c r="BA143" s="108" t="n"/>
      <c r="BB143" s="108" t="n"/>
      <c r="BC143" s="108" t="n"/>
      <c r="BD143" s="108" t="n"/>
      <c r="BE143" s="108" t="n"/>
      <c r="BF143" s="108" t="n"/>
      <c r="BG143" s="108" t="n"/>
      <c r="BH143" s="108" t="n"/>
      <c r="BI143" s="109" t="n"/>
    </row>
    <row r="144" ht="14.1" customHeight="1" s="2">
      <c r="A144" s="692" t="n"/>
      <c r="B144" s="758" t="n"/>
      <c r="C144" s="692" t="n"/>
      <c r="D144" s="692" t="n"/>
      <c r="E144" s="692" t="n"/>
      <c r="F144" s="692" t="n"/>
      <c r="G144" s="692" t="n"/>
      <c r="H144" s="692" t="n"/>
      <c r="I144" s="692" t="n"/>
      <c r="J144" s="692" t="n"/>
      <c r="K144" s="692" t="n"/>
      <c r="L144" s="692" t="n"/>
      <c r="M144" s="692" t="n"/>
      <c r="N144" s="692" t="n"/>
      <c r="O144" s="692" t="n"/>
      <c r="P144" s="692" t="n"/>
      <c r="Q144" s="692" t="n"/>
      <c r="R144" s="692" t="n"/>
      <c r="S144" s="692" t="n"/>
      <c r="T144" s="692" t="n"/>
      <c r="U144" s="692" t="n"/>
      <c r="V144" s="692" t="n"/>
      <c r="W144" s="692" t="n"/>
      <c r="X144" s="692" t="n"/>
      <c r="Y144" s="692" t="n"/>
      <c r="Z144" s="692" t="n"/>
      <c r="AA144" s="692" t="n"/>
      <c r="AB144" s="692" t="n"/>
      <c r="AC144" s="692" t="n"/>
      <c r="AD144" s="692" t="n"/>
      <c r="AE144" s="692" t="n"/>
      <c r="AF144" s="692" t="n"/>
      <c r="AG144" s="692" t="n"/>
      <c r="AH144" s="760" t="n"/>
      <c r="AI144" s="108" t="n"/>
      <c r="AJ144" s="108" t="n"/>
      <c r="AK144" s="108" t="n"/>
      <c r="AL144" s="108" t="n"/>
      <c r="AM144" s="108" t="n"/>
      <c r="AN144" s="108" t="n"/>
      <c r="AO144" s="108" t="n"/>
      <c r="AP144" s="108" t="n"/>
      <c r="AQ144" s="108" t="n"/>
      <c r="AR144" s="108" t="n"/>
      <c r="AS144" s="108" t="n"/>
      <c r="AT144" s="108" t="n"/>
      <c r="AU144" s="108" t="n"/>
      <c r="AV144" s="108" t="n"/>
      <c r="AW144" s="108" t="n"/>
      <c r="AX144" s="108" t="n"/>
      <c r="AY144" s="108" t="n"/>
      <c r="AZ144" s="108" t="n"/>
      <c r="BA144" s="108" t="n"/>
      <c r="BB144" s="108" t="n"/>
      <c r="BC144" s="108" t="n"/>
      <c r="BD144" s="108" t="n"/>
      <c r="BE144" s="108" t="n"/>
      <c r="BF144" s="108" t="n"/>
      <c r="BG144" s="108" t="n"/>
      <c r="BH144" s="108" t="n"/>
      <c r="BI144" s="109" t="n"/>
    </row>
    <row r="145" ht="14.1" customHeight="1" s="2">
      <c r="A145" s="692" t="n"/>
      <c r="B145" s="758" t="n"/>
      <c r="C145" s="692" t="n"/>
      <c r="D145" s="692" t="n"/>
      <c r="E145" s="692" t="n"/>
      <c r="F145" s="692" t="n"/>
      <c r="G145" s="692" t="n"/>
      <c r="H145" s="692" t="n"/>
      <c r="I145" s="692" t="n"/>
      <c r="J145" s="692" t="n"/>
      <c r="K145" s="692" t="n"/>
      <c r="L145" s="692" t="n"/>
      <c r="M145" s="692" t="n"/>
      <c r="N145" s="692" t="n"/>
      <c r="O145" s="692" t="n"/>
      <c r="P145" s="692" t="n"/>
      <c r="Q145" s="692" t="n"/>
      <c r="R145" s="692" t="n"/>
      <c r="S145" s="692" t="n"/>
      <c r="T145" s="692" t="n"/>
      <c r="U145" s="692" t="n"/>
      <c r="V145" s="692" t="n"/>
      <c r="W145" s="692" t="n"/>
      <c r="X145" s="692" t="n"/>
      <c r="Y145" s="692" t="n"/>
      <c r="Z145" s="692" t="n"/>
      <c r="AA145" s="692" t="n"/>
      <c r="AB145" s="692" t="n"/>
      <c r="AC145" s="692" t="n"/>
      <c r="AD145" s="692" t="n"/>
      <c r="AE145" s="692" t="n"/>
      <c r="AF145" s="692" t="n"/>
      <c r="AG145" s="692" t="n"/>
      <c r="AH145" s="760" t="n"/>
      <c r="AI145" s="108" t="n"/>
      <c r="AJ145" s="108" t="n"/>
      <c r="AK145" s="108" t="n"/>
      <c r="AL145" s="108" t="n"/>
      <c r="AM145" s="108" t="n"/>
      <c r="AN145" s="108" t="n"/>
      <c r="AO145" s="108" t="n"/>
      <c r="AP145" s="108" t="n"/>
      <c r="AQ145" s="108" t="n"/>
      <c r="AR145" s="108" t="n"/>
      <c r="AS145" s="108" t="n"/>
      <c r="AT145" s="108" t="n"/>
      <c r="AU145" s="108" t="n"/>
      <c r="AV145" s="108" t="n"/>
      <c r="AW145" s="108" t="n"/>
      <c r="AX145" s="108" t="n"/>
      <c r="AY145" s="108" t="n"/>
      <c r="AZ145" s="108" t="n"/>
      <c r="BA145" s="108" t="n"/>
      <c r="BB145" s="108" t="n"/>
      <c r="BC145" s="108" t="n"/>
      <c r="BD145" s="108" t="n"/>
      <c r="BE145" s="108" t="n"/>
      <c r="BF145" s="108" t="n"/>
      <c r="BG145" s="108" t="n"/>
      <c r="BH145" s="108" t="n"/>
      <c r="BI145" s="109" t="n"/>
    </row>
    <row r="146" ht="14.1" customHeight="1" s="2">
      <c r="A146" s="692" t="n"/>
      <c r="B146" s="758" t="n"/>
      <c r="C146" s="692" t="n"/>
      <c r="D146" s="692" t="n"/>
      <c r="E146" s="692" t="n"/>
      <c r="F146" s="692" t="n"/>
      <c r="G146" s="692" t="n"/>
      <c r="H146" s="692" t="n"/>
      <c r="I146" s="692" t="n"/>
      <c r="J146" s="692" t="n"/>
      <c r="K146" s="692" t="n"/>
      <c r="L146" s="692" t="n"/>
      <c r="M146" s="692" t="n"/>
      <c r="N146" s="692" t="n"/>
      <c r="O146" s="692" t="n"/>
      <c r="P146" s="692" t="n"/>
      <c r="Q146" s="692" t="n"/>
      <c r="R146" s="692" t="n"/>
      <c r="S146" s="692" t="n"/>
      <c r="T146" s="692" t="n"/>
      <c r="U146" s="692" t="n"/>
      <c r="V146" s="692" t="n"/>
      <c r="W146" s="692" t="n"/>
      <c r="X146" s="692" t="n"/>
      <c r="Y146" s="692" t="n"/>
      <c r="Z146" s="692" t="n"/>
      <c r="AA146" s="692" t="n"/>
      <c r="AB146" s="692" t="n"/>
      <c r="AC146" s="692" t="n"/>
      <c r="AD146" s="692" t="n"/>
      <c r="AE146" s="692" t="n"/>
      <c r="AF146" s="692" t="n"/>
      <c r="AG146" s="692" t="n"/>
      <c r="AH146" s="760" t="n"/>
      <c r="AI146" s="108" t="n"/>
      <c r="AJ146" s="108" t="n"/>
      <c r="AK146" s="108" t="n"/>
      <c r="AL146" s="108" t="n"/>
      <c r="AM146" s="108" t="n"/>
      <c r="AN146" s="108" t="n"/>
      <c r="AO146" s="108" t="n"/>
      <c r="AP146" s="108" t="n"/>
      <c r="AQ146" s="108" t="n"/>
      <c r="AR146" s="108" t="n"/>
      <c r="AS146" s="108" t="n"/>
      <c r="AT146" s="108" t="n"/>
      <c r="AU146" s="108" t="n"/>
      <c r="AV146" s="108" t="n"/>
      <c r="AW146" s="108" t="n"/>
      <c r="AX146" s="108" t="n"/>
      <c r="AY146" s="108" t="n"/>
      <c r="AZ146" s="108" t="n"/>
      <c r="BA146" s="108" t="n"/>
      <c r="BB146" s="108" t="n"/>
      <c r="BC146" s="108" t="n"/>
      <c r="BD146" s="108" t="n"/>
      <c r="BE146" s="108" t="n"/>
      <c r="BF146" s="108" t="n"/>
      <c r="BG146" s="108" t="n"/>
      <c r="BH146" s="108" t="n"/>
      <c r="BI146" s="109" t="n"/>
    </row>
    <row r="147" ht="14.1" customHeight="1" s="2">
      <c r="A147" s="692" t="n"/>
      <c r="B147" s="758" t="n"/>
      <c r="C147" s="692" t="n"/>
      <c r="D147" s="692" t="n"/>
      <c r="E147" s="692" t="n"/>
      <c r="F147" s="692" t="n"/>
      <c r="G147" s="692" t="n"/>
      <c r="H147" s="692" t="n"/>
      <c r="I147" s="692" t="n"/>
      <c r="J147" s="692" t="n"/>
      <c r="K147" s="692" t="n"/>
      <c r="L147" s="692" t="n"/>
      <c r="M147" s="692" t="n"/>
      <c r="N147" s="692" t="n"/>
      <c r="O147" s="692" t="n"/>
      <c r="P147" s="692" t="n"/>
      <c r="Q147" s="692" t="n"/>
      <c r="R147" s="692" t="n"/>
      <c r="S147" s="692" t="n"/>
      <c r="T147" s="692" t="n"/>
      <c r="U147" s="692" t="n"/>
      <c r="V147" s="692" t="n"/>
      <c r="W147" s="692" t="n"/>
      <c r="X147" s="692" t="n"/>
      <c r="Y147" s="692" t="n"/>
      <c r="Z147" s="692" t="n"/>
      <c r="AA147" s="692" t="n"/>
      <c r="AB147" s="692" t="n"/>
      <c r="AC147" s="692" t="n"/>
      <c r="AD147" s="692" t="n"/>
      <c r="AE147" s="692" t="n"/>
      <c r="AF147" s="692" t="n"/>
      <c r="AG147" s="692" t="n"/>
      <c r="AH147" s="760" t="n"/>
      <c r="AI147" s="108" t="n"/>
      <c r="AJ147" s="108" t="n"/>
      <c r="AK147" s="108" t="n"/>
      <c r="AL147" s="108" t="n"/>
      <c r="AM147" s="108" t="n"/>
      <c r="AN147" s="108" t="n"/>
      <c r="AO147" s="108" t="n"/>
      <c r="AP147" s="108" t="n"/>
      <c r="AQ147" s="108" t="n"/>
      <c r="AR147" s="108" t="n"/>
      <c r="AS147" s="108" t="n"/>
      <c r="AT147" s="108" t="n"/>
      <c r="AU147" s="108" t="n"/>
      <c r="AV147" s="108" t="n"/>
      <c r="AW147" s="108" t="n"/>
      <c r="AX147" s="108" t="n"/>
      <c r="AY147" s="108" t="n"/>
      <c r="AZ147" s="108" t="n"/>
      <c r="BA147" s="108" t="n"/>
      <c r="BB147" s="108" t="n"/>
      <c r="BC147" s="108" t="n"/>
      <c r="BD147" s="108" t="n"/>
      <c r="BE147" s="108" t="n"/>
      <c r="BF147" s="108" t="n"/>
      <c r="BG147" s="108" t="n"/>
      <c r="BH147" s="108" t="n"/>
      <c r="BI147" s="109" t="n"/>
    </row>
    <row r="148" ht="14.1" customHeight="1" s="2">
      <c r="A148" s="692" t="n"/>
      <c r="B148" s="758" t="n"/>
      <c r="C148" s="692" t="n"/>
      <c r="D148" s="692" t="n"/>
      <c r="E148" s="692" t="n"/>
      <c r="F148" s="692" t="n"/>
      <c r="G148" s="692" t="n"/>
      <c r="H148" s="692" t="n"/>
      <c r="I148" s="692" t="n"/>
      <c r="J148" s="692" t="n"/>
      <c r="K148" s="692" t="n"/>
      <c r="L148" s="692" t="n"/>
      <c r="M148" s="692" t="n"/>
      <c r="N148" s="692" t="n"/>
      <c r="O148" s="692" t="n"/>
      <c r="P148" s="692" t="n"/>
      <c r="Q148" s="692" t="n"/>
      <c r="R148" s="692" t="n"/>
      <c r="S148" s="692" t="n"/>
      <c r="T148" s="692" t="n"/>
      <c r="U148" s="692" t="n"/>
      <c r="V148" s="692" t="n"/>
      <c r="W148" s="692" t="n"/>
      <c r="X148" s="692" t="n"/>
      <c r="Y148" s="692" t="n"/>
      <c r="Z148" s="692" t="n"/>
      <c r="AA148" s="692" t="n"/>
      <c r="AB148" s="692" t="n"/>
      <c r="AC148" s="692" t="n"/>
      <c r="AD148" s="692" t="n"/>
      <c r="AE148" s="692" t="n"/>
      <c r="AF148" s="692" t="n"/>
      <c r="AG148" s="692" t="n"/>
      <c r="AH148" s="760" t="n"/>
      <c r="AI148" s="108" t="n"/>
      <c r="AJ148" s="108" t="n"/>
      <c r="AK148" s="108" t="n"/>
      <c r="AL148" s="108" t="n"/>
      <c r="AM148" s="108" t="n"/>
      <c r="AN148" s="108" t="n"/>
      <c r="AO148" s="108" t="n"/>
      <c r="AP148" s="108" t="n"/>
      <c r="AQ148" s="108" t="n"/>
      <c r="AR148" s="108" t="n"/>
      <c r="AS148" s="108" t="n"/>
      <c r="AT148" s="108" t="n"/>
      <c r="AU148" s="108" t="n"/>
      <c r="AV148" s="108" t="n"/>
      <c r="AW148" s="108" t="n"/>
      <c r="AX148" s="108" t="n"/>
      <c r="AY148" s="108" t="n"/>
      <c r="AZ148" s="108" t="n"/>
      <c r="BA148" s="108" t="n"/>
      <c r="BB148" s="108" t="n"/>
      <c r="BC148" s="108" t="n"/>
      <c r="BD148" s="108" t="n"/>
      <c r="BE148" s="108" t="n"/>
      <c r="BF148" s="108" t="n"/>
      <c r="BG148" s="108" t="n"/>
      <c r="BH148" s="108" t="n"/>
      <c r="BI148" s="109" t="n"/>
    </row>
    <row r="149" ht="14.1" customHeight="1" s="2">
      <c r="A149" s="692" t="n"/>
      <c r="B149" s="758" t="n"/>
      <c r="C149" s="692" t="n"/>
      <c r="D149" s="692" t="n"/>
      <c r="E149" s="692" t="n"/>
      <c r="F149" s="692" t="n"/>
      <c r="G149" s="692" t="n"/>
      <c r="H149" s="692" t="n"/>
      <c r="I149" s="692" t="n"/>
      <c r="J149" s="692" t="n"/>
      <c r="K149" s="692" t="n"/>
      <c r="L149" s="692" t="n"/>
      <c r="M149" s="692" t="n"/>
      <c r="N149" s="692" t="n"/>
      <c r="O149" s="692" t="n"/>
      <c r="P149" s="692" t="n"/>
      <c r="Q149" s="692" t="n"/>
      <c r="R149" s="692" t="n"/>
      <c r="S149" s="692" t="n"/>
      <c r="T149" s="692" t="n"/>
      <c r="U149" s="692" t="n"/>
      <c r="V149" s="692" t="n"/>
      <c r="W149" s="692" t="n"/>
      <c r="X149" s="692" t="n"/>
      <c r="Y149" s="692" t="n"/>
      <c r="Z149" s="692" t="n"/>
      <c r="AA149" s="692" t="n"/>
      <c r="AB149" s="692" t="n"/>
      <c r="AC149" s="692" t="n"/>
      <c r="AD149" s="692" t="n"/>
      <c r="AE149" s="692" t="n"/>
      <c r="AF149" s="692" t="n"/>
      <c r="AG149" s="692" t="n"/>
      <c r="AH149" s="760" t="n"/>
      <c r="AI149" s="108" t="n"/>
      <c r="AJ149" s="108" t="n"/>
      <c r="AK149" s="108" t="n"/>
      <c r="AL149" s="108" t="n"/>
      <c r="AM149" s="108" t="n"/>
      <c r="AN149" s="108" t="n"/>
      <c r="AO149" s="108" t="n"/>
      <c r="AP149" s="108" t="n"/>
      <c r="AQ149" s="108" t="n"/>
      <c r="AR149" s="108" t="n"/>
      <c r="AS149" s="108" t="n"/>
      <c r="AT149" s="108" t="n"/>
      <c r="AU149" s="108" t="n"/>
      <c r="AV149" s="108" t="n"/>
      <c r="AW149" s="108" t="n"/>
      <c r="AX149" s="108" t="n"/>
      <c r="AY149" s="108" t="n"/>
      <c r="AZ149" s="108" t="n"/>
      <c r="BA149" s="108" t="n"/>
      <c r="BB149" s="108" t="n"/>
      <c r="BC149" s="108" t="n"/>
      <c r="BD149" s="108" t="n"/>
      <c r="BE149" s="108" t="n"/>
      <c r="BF149" s="108" t="n"/>
      <c r="BG149" s="108" t="n"/>
      <c r="BH149" s="108" t="n"/>
      <c r="BI149" s="109" t="n"/>
    </row>
    <row r="150" ht="14.1" customHeight="1" s="2">
      <c r="A150" s="692" t="n"/>
      <c r="B150" s="758" t="n"/>
      <c r="C150" s="692" t="n"/>
      <c r="D150" s="692" t="n"/>
      <c r="E150" s="692" t="n"/>
      <c r="F150" s="692" t="n"/>
      <c r="G150" s="692" t="n"/>
      <c r="H150" s="692" t="n"/>
      <c r="I150" s="692" t="n"/>
      <c r="J150" s="692" t="n"/>
      <c r="K150" s="692" t="n"/>
      <c r="L150" s="692" t="n"/>
      <c r="M150" s="692" t="n"/>
      <c r="N150" s="692" t="n"/>
      <c r="O150" s="692" t="n"/>
      <c r="P150" s="692" t="n"/>
      <c r="Q150" s="692" t="n"/>
      <c r="R150" s="692" t="n"/>
      <c r="S150" s="692" t="n"/>
      <c r="T150" s="692" t="n"/>
      <c r="U150" s="692" t="n"/>
      <c r="V150" s="692" t="n"/>
      <c r="W150" s="692" t="n"/>
      <c r="X150" s="692" t="n"/>
      <c r="Y150" s="692" t="n"/>
      <c r="Z150" s="692" t="n"/>
      <c r="AA150" s="692" t="n"/>
      <c r="AB150" s="692" t="n"/>
      <c r="AC150" s="692" t="n"/>
      <c r="AD150" s="692" t="n"/>
      <c r="AE150" s="692" t="n"/>
      <c r="AF150" s="692" t="n"/>
      <c r="AG150" s="692" t="n"/>
      <c r="AH150" s="760" t="n"/>
      <c r="AI150" s="108" t="n"/>
      <c r="AJ150" s="108" t="n"/>
      <c r="AK150" s="108" t="n"/>
      <c r="AL150" s="108" t="n"/>
      <c r="AM150" s="108" t="n"/>
      <c r="AN150" s="108" t="n"/>
      <c r="AO150" s="108" t="n"/>
      <c r="AP150" s="108" t="n"/>
      <c r="AQ150" s="108" t="n"/>
      <c r="AR150" s="108" t="n"/>
      <c r="AS150" s="108" t="n"/>
      <c r="AT150" s="108" t="n"/>
      <c r="AU150" s="108" t="n"/>
      <c r="AV150" s="108" t="n"/>
      <c r="AW150" s="108" t="n"/>
      <c r="AX150" s="108" t="n"/>
      <c r="AY150" s="108" t="n"/>
      <c r="AZ150" s="108" t="n"/>
      <c r="BA150" s="108" t="n"/>
      <c r="BB150" s="108" t="n"/>
      <c r="BC150" s="108" t="n"/>
      <c r="BD150" s="108" t="n"/>
      <c r="BE150" s="108" t="n"/>
      <c r="BF150" s="108" t="n"/>
      <c r="BG150" s="108" t="n"/>
      <c r="BH150" s="108" t="n"/>
      <c r="BI150" s="109" t="n"/>
    </row>
    <row r="151" ht="14.1" customHeight="1" s="2">
      <c r="A151" s="692" t="n"/>
      <c r="B151" s="758" t="n"/>
      <c r="C151" s="692" t="n"/>
      <c r="D151" s="692" t="n"/>
      <c r="E151" s="692" t="n"/>
      <c r="F151" s="692" t="n"/>
      <c r="G151" s="692" t="n"/>
      <c r="H151" s="692" t="n"/>
      <c r="I151" s="692" t="n"/>
      <c r="J151" s="692" t="n"/>
      <c r="K151" s="692" t="n"/>
      <c r="L151" s="692" t="n"/>
      <c r="M151" s="692" t="n"/>
      <c r="N151" s="692" t="n"/>
      <c r="O151" s="692" t="n"/>
      <c r="P151" s="692" t="n"/>
      <c r="Q151" s="692" t="n"/>
      <c r="R151" s="692" t="n"/>
      <c r="S151" s="692" t="n"/>
      <c r="T151" s="692" t="n"/>
      <c r="U151" s="692" t="n"/>
      <c r="V151" s="692" t="n"/>
      <c r="W151" s="692" t="n"/>
      <c r="X151" s="692" t="n"/>
      <c r="Y151" s="692" t="n"/>
      <c r="Z151" s="692" t="n"/>
      <c r="AA151" s="692" t="n"/>
      <c r="AB151" s="692" t="n"/>
      <c r="AC151" s="692" t="n"/>
      <c r="AD151" s="692" t="n"/>
      <c r="AE151" s="692" t="n"/>
      <c r="AF151" s="692" t="n"/>
      <c r="AG151" s="692" t="n"/>
      <c r="AH151" s="760" t="n"/>
      <c r="AI151" s="108" t="n"/>
      <c r="AJ151" s="108" t="n"/>
      <c r="AK151" s="108" t="n"/>
      <c r="AL151" s="108" t="n"/>
      <c r="AM151" s="108" t="n"/>
      <c r="AN151" s="108" t="n"/>
      <c r="AO151" s="108" t="n"/>
      <c r="AP151" s="108" t="n"/>
      <c r="AQ151" s="108" t="n"/>
      <c r="AR151" s="108" t="n"/>
      <c r="AS151" s="108" t="n"/>
      <c r="AT151" s="108" t="n"/>
      <c r="AU151" s="108" t="n"/>
      <c r="AV151" s="108" t="n"/>
      <c r="AW151" s="108" t="n"/>
      <c r="AX151" s="108" t="n"/>
      <c r="AY151" s="108" t="n"/>
      <c r="AZ151" s="108" t="n"/>
      <c r="BA151" s="108" t="n"/>
      <c r="BB151" s="108" t="n"/>
      <c r="BC151" s="108" t="n"/>
      <c r="BD151" s="108" t="n"/>
      <c r="BE151" s="108" t="n"/>
      <c r="BF151" s="108" t="n"/>
      <c r="BG151" s="108" t="n"/>
      <c r="BH151" s="108" t="n"/>
      <c r="BI151" s="109" t="n"/>
    </row>
    <row r="152" ht="14.1" customHeight="1" s="2">
      <c r="A152" s="692" t="n"/>
      <c r="B152" s="758" t="n"/>
      <c r="C152" s="692" t="n"/>
      <c r="D152" s="692" t="n"/>
      <c r="E152" s="692" t="n"/>
      <c r="F152" s="692" t="n"/>
      <c r="G152" s="692" t="n"/>
      <c r="H152" s="692" t="n"/>
      <c r="I152" s="692" t="n"/>
      <c r="J152" s="692" t="n"/>
      <c r="K152" s="692" t="n"/>
      <c r="L152" s="692" t="n"/>
      <c r="M152" s="692" t="n"/>
      <c r="N152" s="692" t="n"/>
      <c r="O152" s="692" t="n"/>
      <c r="P152" s="692" t="n"/>
      <c r="Q152" s="692" t="n"/>
      <c r="R152" s="692" t="n"/>
      <c r="S152" s="692" t="n"/>
      <c r="T152" s="692" t="n"/>
      <c r="U152" s="692" t="n"/>
      <c r="V152" s="692" t="n"/>
      <c r="W152" s="692" t="n"/>
      <c r="X152" s="692" t="n"/>
      <c r="Y152" s="692" t="n"/>
      <c r="Z152" s="692" t="n"/>
      <c r="AA152" s="692" t="n"/>
      <c r="AB152" s="692" t="n"/>
      <c r="AC152" s="692" t="n"/>
      <c r="AD152" s="692" t="n"/>
      <c r="AE152" s="692" t="n"/>
      <c r="AF152" s="692" t="n"/>
      <c r="AG152" s="692" t="n"/>
      <c r="AH152" s="760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  <c r="AS152" s="108" t="n"/>
      <c r="AT152" s="108" t="n"/>
      <c r="AU152" s="108" t="n"/>
      <c r="AV152" s="108" t="n"/>
      <c r="AW152" s="108" t="n"/>
      <c r="AX152" s="108" t="n"/>
      <c r="AY152" s="108" t="n"/>
      <c r="AZ152" s="108" t="n"/>
      <c r="BA152" s="108" t="n"/>
      <c r="BB152" s="108" t="n"/>
      <c r="BC152" s="108" t="n"/>
      <c r="BD152" s="108" t="n"/>
      <c r="BE152" s="108" t="n"/>
      <c r="BF152" s="108" t="n"/>
      <c r="BG152" s="108" t="n"/>
      <c r="BH152" s="108" t="n"/>
      <c r="BI152" s="109" t="n"/>
    </row>
    <row r="153" ht="14.1" customHeight="1" s="2">
      <c r="A153" s="692" t="n"/>
      <c r="B153" s="758" t="n"/>
      <c r="C153" s="692" t="n"/>
      <c r="D153" s="692" t="n"/>
      <c r="E153" s="692" t="n"/>
      <c r="F153" s="692" t="n"/>
      <c r="G153" s="692" t="n"/>
      <c r="H153" s="692" t="n"/>
      <c r="I153" s="692" t="n"/>
      <c r="J153" s="692" t="n"/>
      <c r="K153" s="692" t="n"/>
      <c r="L153" s="692" t="n"/>
      <c r="M153" s="692" t="n"/>
      <c r="N153" s="692" t="n"/>
      <c r="O153" s="692" t="n"/>
      <c r="P153" s="692" t="n"/>
      <c r="Q153" s="692" t="n"/>
      <c r="R153" s="692" t="n"/>
      <c r="S153" s="692" t="n"/>
      <c r="T153" s="692" t="n"/>
      <c r="U153" s="692" t="n"/>
      <c r="V153" s="692" t="n"/>
      <c r="W153" s="692" t="n"/>
      <c r="X153" s="692" t="n"/>
      <c r="Y153" s="692" t="n"/>
      <c r="Z153" s="692" t="n"/>
      <c r="AA153" s="692" t="n"/>
      <c r="AB153" s="692" t="n"/>
      <c r="AC153" s="692" t="n"/>
      <c r="AD153" s="692" t="n"/>
      <c r="AE153" s="692" t="n"/>
      <c r="AF153" s="692" t="n"/>
      <c r="AG153" s="692" t="n"/>
      <c r="AH153" s="760" t="n"/>
      <c r="AI153" s="108" t="n"/>
      <c r="AJ153" s="108" t="n"/>
      <c r="AK153" s="108" t="n"/>
      <c r="AL153" s="108" t="n"/>
      <c r="AM153" s="108" t="n"/>
      <c r="AN153" s="108" t="n"/>
      <c r="AO153" s="108" t="n"/>
      <c r="AP153" s="108" t="n"/>
      <c r="AQ153" s="108" t="n"/>
      <c r="AR153" s="108" t="n"/>
      <c r="AS153" s="108" t="n"/>
      <c r="AT153" s="108" t="n"/>
      <c r="AU153" s="108" t="n"/>
      <c r="AV153" s="108" t="n"/>
      <c r="AW153" s="108" t="n"/>
      <c r="AX153" s="108" t="n"/>
      <c r="AY153" s="108" t="n"/>
      <c r="AZ153" s="108" t="n"/>
      <c r="BA153" s="108" t="n"/>
      <c r="BB153" s="108" t="n"/>
      <c r="BC153" s="108" t="n"/>
      <c r="BD153" s="108" t="n"/>
      <c r="BE153" s="108" t="n"/>
      <c r="BF153" s="108" t="n"/>
      <c r="BG153" s="108" t="n"/>
      <c r="BH153" s="108" t="n"/>
      <c r="BI153" s="109" t="n"/>
    </row>
    <row r="154" ht="14.1" customHeight="1" s="2">
      <c r="A154" s="692" t="n"/>
      <c r="B154" s="758" t="n"/>
      <c r="C154" s="692" t="n"/>
      <c r="D154" s="692" t="n"/>
      <c r="E154" s="692" t="n"/>
      <c r="F154" s="692" t="n"/>
      <c r="G154" s="692" t="n"/>
      <c r="H154" s="692" t="n"/>
      <c r="I154" s="692" t="n"/>
      <c r="J154" s="692" t="n"/>
      <c r="K154" s="692" t="n"/>
      <c r="L154" s="692" t="n"/>
      <c r="M154" s="692" t="n"/>
      <c r="N154" s="692" t="n"/>
      <c r="O154" s="692" t="n"/>
      <c r="P154" s="692" t="n"/>
      <c r="Q154" s="692" t="n"/>
      <c r="R154" s="692" t="n"/>
      <c r="S154" s="692" t="n"/>
      <c r="T154" s="692" t="n"/>
      <c r="U154" s="692" t="n"/>
      <c r="V154" s="692" t="n"/>
      <c r="W154" s="692" t="n"/>
      <c r="X154" s="692" t="n"/>
      <c r="Y154" s="692" t="n"/>
      <c r="Z154" s="692" t="n"/>
      <c r="AA154" s="692" t="n"/>
      <c r="AB154" s="692" t="n"/>
      <c r="AC154" s="692" t="n"/>
      <c r="AD154" s="692" t="n"/>
      <c r="AE154" s="692" t="n"/>
      <c r="AF154" s="692" t="n"/>
      <c r="AG154" s="692" t="n"/>
      <c r="AH154" s="760" t="n"/>
      <c r="AI154" s="108" t="n"/>
      <c r="AJ154" s="108" t="n"/>
      <c r="AK154" s="108" t="n"/>
      <c r="AL154" s="108" t="n"/>
      <c r="AM154" s="108" t="n"/>
      <c r="AN154" s="108" t="n"/>
      <c r="AO154" s="108" t="n"/>
      <c r="AP154" s="108" t="n"/>
      <c r="AQ154" s="108" t="n"/>
      <c r="AR154" s="108" t="n"/>
      <c r="AS154" s="108" t="n"/>
      <c r="AT154" s="108" t="n"/>
      <c r="AU154" s="108" t="n"/>
      <c r="AV154" s="108" t="n"/>
      <c r="AW154" s="108" t="n"/>
      <c r="AX154" s="108" t="n"/>
      <c r="AY154" s="108" t="n"/>
      <c r="AZ154" s="108" t="n"/>
      <c r="BA154" s="108" t="n"/>
      <c r="BB154" s="108" t="n"/>
      <c r="BC154" s="108" t="n"/>
      <c r="BD154" s="108" t="n"/>
      <c r="BE154" s="108" t="n"/>
      <c r="BF154" s="108" t="n"/>
      <c r="BG154" s="108" t="n"/>
      <c r="BH154" s="108" t="n"/>
      <c r="BI154" s="109" t="n"/>
    </row>
    <row r="155" ht="14.1" customHeight="1" s="2">
      <c r="A155" s="692" t="n"/>
      <c r="B155" s="758" t="n"/>
      <c r="C155" s="692" t="n"/>
      <c r="D155" s="692" t="n"/>
      <c r="E155" s="692" t="n"/>
      <c r="F155" s="692" t="n"/>
      <c r="G155" s="692" t="n"/>
      <c r="H155" s="692" t="n"/>
      <c r="I155" s="692" t="n"/>
      <c r="J155" s="692" t="n"/>
      <c r="K155" s="692" t="n"/>
      <c r="L155" s="692" t="n"/>
      <c r="M155" s="692" t="n"/>
      <c r="N155" s="692" t="n"/>
      <c r="O155" s="692" t="n"/>
      <c r="P155" s="692" t="n"/>
      <c r="Q155" s="692" t="n"/>
      <c r="R155" s="692" t="n"/>
      <c r="S155" s="692" t="n"/>
      <c r="T155" s="692" t="n"/>
      <c r="U155" s="692" t="n"/>
      <c r="V155" s="692" t="n"/>
      <c r="W155" s="692" t="n"/>
      <c r="X155" s="692" t="n"/>
      <c r="Y155" s="692" t="n"/>
      <c r="Z155" s="692" t="n"/>
      <c r="AA155" s="692" t="n"/>
      <c r="AB155" s="692" t="n"/>
      <c r="AC155" s="692" t="n"/>
      <c r="AD155" s="692" t="n"/>
      <c r="AE155" s="692" t="n"/>
      <c r="AF155" s="692" t="n"/>
      <c r="AG155" s="692" t="n"/>
      <c r="AH155" s="760" t="n"/>
      <c r="AI155" s="108" t="n"/>
      <c r="AJ155" s="108" t="n"/>
      <c r="AK155" s="108" t="n"/>
      <c r="AL155" s="108" t="n"/>
      <c r="AM155" s="108" t="n"/>
      <c r="AN155" s="108" t="n"/>
      <c r="AO155" s="108" t="n"/>
      <c r="AP155" s="108" t="n"/>
      <c r="AQ155" s="108" t="n"/>
      <c r="AR155" s="108" t="n"/>
      <c r="AS155" s="108" t="n"/>
      <c r="AT155" s="108" t="n"/>
      <c r="AU155" s="108" t="n"/>
      <c r="AV155" s="108" t="n"/>
      <c r="AW155" s="108" t="n"/>
      <c r="AX155" s="108" t="n"/>
      <c r="AY155" s="108" t="n"/>
      <c r="AZ155" s="108" t="n"/>
      <c r="BA155" s="108" t="n"/>
      <c r="BB155" s="108" t="n"/>
      <c r="BC155" s="108" t="n"/>
      <c r="BD155" s="108" t="n"/>
      <c r="BE155" s="108" t="n"/>
      <c r="BF155" s="108" t="n"/>
      <c r="BG155" s="108" t="n"/>
      <c r="BH155" s="108" t="n"/>
      <c r="BI155" s="109" t="n"/>
    </row>
    <row r="156" ht="14.1" customHeight="1" s="2">
      <c r="A156" s="692" t="n"/>
      <c r="B156" s="758" t="n"/>
      <c r="C156" s="692" t="n"/>
      <c r="D156" s="692" t="n"/>
      <c r="E156" s="692" t="n"/>
      <c r="F156" s="692" t="n"/>
      <c r="G156" s="692" t="n"/>
      <c r="H156" s="692" t="n"/>
      <c r="I156" s="692" t="n"/>
      <c r="J156" s="692" t="n"/>
      <c r="K156" s="692" t="n"/>
      <c r="L156" s="692" t="n"/>
      <c r="M156" s="692" t="n"/>
      <c r="N156" s="692" t="n"/>
      <c r="O156" s="692" t="n"/>
      <c r="P156" s="692" t="n"/>
      <c r="Q156" s="692" t="n"/>
      <c r="R156" s="692" t="n"/>
      <c r="S156" s="692" t="n"/>
      <c r="T156" s="692" t="n"/>
      <c r="U156" s="692" t="n"/>
      <c r="V156" s="692" t="n"/>
      <c r="W156" s="692" t="n"/>
      <c r="X156" s="692" t="n"/>
      <c r="Y156" s="692" t="n"/>
      <c r="Z156" s="692" t="n"/>
      <c r="AA156" s="692" t="n"/>
      <c r="AB156" s="692" t="n"/>
      <c r="AC156" s="692" t="n"/>
      <c r="AD156" s="692" t="n"/>
      <c r="AE156" s="692" t="n"/>
      <c r="AF156" s="692" t="n"/>
      <c r="AG156" s="692" t="n"/>
      <c r="AH156" s="760" t="n"/>
      <c r="AI156" s="108" t="n"/>
      <c r="AJ156" s="108" t="n"/>
      <c r="AK156" s="108" t="n"/>
      <c r="AL156" s="108" t="n"/>
      <c r="AM156" s="108" t="n"/>
      <c r="AN156" s="108" t="n"/>
      <c r="AO156" s="108" t="n"/>
      <c r="AP156" s="108" t="n"/>
      <c r="AQ156" s="108" t="n"/>
      <c r="AR156" s="108" t="n"/>
      <c r="AS156" s="108" t="n"/>
      <c r="AT156" s="108" t="n"/>
      <c r="AU156" s="108" t="n"/>
      <c r="AV156" s="108" t="n"/>
      <c r="AW156" s="108" t="n"/>
      <c r="AX156" s="108" t="n"/>
      <c r="AY156" s="108" t="n"/>
      <c r="AZ156" s="108" t="n"/>
      <c r="BA156" s="108" t="n"/>
      <c r="BB156" s="108" t="n"/>
      <c r="BC156" s="108" t="n"/>
      <c r="BD156" s="108" t="n"/>
      <c r="BE156" s="108" t="n"/>
      <c r="BF156" s="108" t="n"/>
      <c r="BG156" s="108" t="n"/>
      <c r="BH156" s="108" t="n"/>
      <c r="BI156" s="109" t="n"/>
    </row>
    <row r="157" ht="14.1" customHeight="1" s="2">
      <c r="A157" s="692" t="n"/>
      <c r="B157" s="758" t="n"/>
      <c r="C157" s="692" t="n"/>
      <c r="D157" s="692" t="n"/>
      <c r="E157" s="692" t="n"/>
      <c r="F157" s="692" t="n"/>
      <c r="G157" s="692" t="n"/>
      <c r="H157" s="692" t="n"/>
      <c r="I157" s="692" t="n"/>
      <c r="J157" s="692" t="n"/>
      <c r="K157" s="692" t="n"/>
      <c r="L157" s="692" t="n"/>
      <c r="M157" s="692" t="n"/>
      <c r="N157" s="692" t="n"/>
      <c r="O157" s="692" t="n"/>
      <c r="P157" s="692" t="n"/>
      <c r="Q157" s="692" t="n"/>
      <c r="R157" s="692" t="n"/>
      <c r="S157" s="692" t="n"/>
      <c r="T157" s="692" t="n"/>
      <c r="U157" s="692" t="n"/>
      <c r="V157" s="692" t="n"/>
      <c r="W157" s="692" t="n"/>
      <c r="X157" s="692" t="n"/>
      <c r="Y157" s="692" t="n"/>
      <c r="Z157" s="692" t="n"/>
      <c r="AA157" s="692" t="n"/>
      <c r="AB157" s="692" t="n"/>
      <c r="AC157" s="692" t="n"/>
      <c r="AD157" s="692" t="n"/>
      <c r="AE157" s="692" t="n"/>
      <c r="AF157" s="692" t="n"/>
      <c r="AG157" s="692" t="n"/>
      <c r="AH157" s="760" t="n"/>
      <c r="AI157" s="108" t="n"/>
      <c r="AJ157" s="108" t="n"/>
      <c r="AK157" s="108" t="n"/>
      <c r="AL157" s="108" t="n"/>
      <c r="AM157" s="108" t="n"/>
      <c r="AN157" s="108" t="n"/>
      <c r="AO157" s="108" t="n"/>
      <c r="AP157" s="108" t="n"/>
      <c r="AQ157" s="108" t="n"/>
      <c r="AR157" s="108" t="n"/>
      <c r="AS157" s="108" t="n"/>
      <c r="AT157" s="108" t="n"/>
      <c r="AU157" s="108" t="n"/>
      <c r="AV157" s="108" t="n"/>
      <c r="AW157" s="108" t="n"/>
      <c r="AX157" s="108" t="n"/>
      <c r="AY157" s="108" t="n"/>
      <c r="AZ157" s="108" t="n"/>
      <c r="BA157" s="108" t="n"/>
      <c r="BB157" s="108" t="n"/>
      <c r="BC157" s="108" t="n"/>
      <c r="BD157" s="108" t="n"/>
      <c r="BE157" s="108" t="n"/>
      <c r="BF157" s="108" t="n"/>
      <c r="BG157" s="108" t="n"/>
      <c r="BH157" s="108" t="n"/>
      <c r="BI157" s="109" t="n"/>
    </row>
    <row r="158" ht="14.1" customHeight="1" s="2">
      <c r="A158" s="692" t="n"/>
      <c r="B158" s="758" t="n"/>
      <c r="C158" s="692" t="n"/>
      <c r="D158" s="692" t="n"/>
      <c r="E158" s="692" t="n"/>
      <c r="F158" s="692" t="n"/>
      <c r="G158" s="692" t="n"/>
      <c r="H158" s="692" t="n"/>
      <c r="I158" s="692" t="n"/>
      <c r="J158" s="692" t="n"/>
      <c r="K158" s="692" t="n"/>
      <c r="L158" s="692" t="n"/>
      <c r="M158" s="692" t="n"/>
      <c r="N158" s="692" t="n"/>
      <c r="O158" s="692" t="n"/>
      <c r="P158" s="692" t="n"/>
      <c r="Q158" s="692" t="n"/>
      <c r="R158" s="692" t="n"/>
      <c r="S158" s="692" t="n"/>
      <c r="T158" s="692" t="n"/>
      <c r="U158" s="692" t="n"/>
      <c r="V158" s="692" t="n"/>
      <c r="W158" s="692" t="n"/>
      <c r="X158" s="692" t="n"/>
      <c r="Y158" s="692" t="n"/>
      <c r="Z158" s="692" t="n"/>
      <c r="AA158" s="692" t="n"/>
      <c r="AB158" s="692" t="n"/>
      <c r="AC158" s="692" t="n"/>
      <c r="AD158" s="692" t="n"/>
      <c r="AE158" s="692" t="n"/>
      <c r="AF158" s="692" t="n"/>
      <c r="AG158" s="692" t="n"/>
      <c r="AH158" s="760" t="n"/>
      <c r="AI158" s="108" t="n"/>
      <c r="AJ158" s="108" t="n"/>
      <c r="AK158" s="108" t="n"/>
      <c r="AL158" s="108" t="n"/>
      <c r="AM158" s="108" t="n"/>
      <c r="AN158" s="108" t="n"/>
      <c r="AO158" s="108" t="n"/>
      <c r="AP158" s="108" t="n"/>
      <c r="AQ158" s="108" t="n"/>
      <c r="AR158" s="108" t="n"/>
      <c r="AS158" s="108" t="n"/>
      <c r="AT158" s="108" t="n"/>
      <c r="AU158" s="108" t="n"/>
      <c r="AV158" s="108" t="n"/>
      <c r="AW158" s="108" t="n"/>
      <c r="AX158" s="108" t="n"/>
      <c r="AY158" s="108" t="n"/>
      <c r="AZ158" s="108" t="n"/>
      <c r="BA158" s="108" t="n"/>
      <c r="BB158" s="108" t="n"/>
      <c r="BC158" s="108" t="n"/>
      <c r="BD158" s="108" t="n"/>
      <c r="BE158" s="108" t="n"/>
      <c r="BF158" s="108" t="n"/>
      <c r="BG158" s="108" t="n"/>
      <c r="BH158" s="108" t="n"/>
      <c r="BI158" s="109" t="n"/>
    </row>
    <row r="159" ht="14.1" customHeight="1" s="2">
      <c r="A159" s="692" t="n"/>
      <c r="B159" s="758" t="n"/>
      <c r="C159" s="692" t="n"/>
      <c r="D159" s="692" t="n"/>
      <c r="E159" s="692" t="n"/>
      <c r="F159" s="692" t="n"/>
      <c r="G159" s="692" t="n"/>
      <c r="H159" s="692" t="n"/>
      <c r="I159" s="692" t="n"/>
      <c r="J159" s="692" t="n"/>
      <c r="K159" s="692" t="n"/>
      <c r="L159" s="692" t="n"/>
      <c r="M159" s="692" t="n"/>
      <c r="N159" s="692" t="n"/>
      <c r="O159" s="692" t="n"/>
      <c r="P159" s="692" t="n"/>
      <c r="Q159" s="692" t="n"/>
      <c r="R159" s="692" t="n"/>
      <c r="S159" s="692" t="n"/>
      <c r="T159" s="692" t="n"/>
      <c r="U159" s="692" t="n"/>
      <c r="V159" s="692" t="n"/>
      <c r="W159" s="692" t="n"/>
      <c r="X159" s="692" t="n"/>
      <c r="Y159" s="692" t="n"/>
      <c r="Z159" s="692" t="n"/>
      <c r="AA159" s="692" t="n"/>
      <c r="AB159" s="692" t="n"/>
      <c r="AC159" s="692" t="n"/>
      <c r="AD159" s="692" t="n"/>
      <c r="AE159" s="692" t="n"/>
      <c r="AF159" s="692" t="n"/>
      <c r="AG159" s="692" t="n"/>
      <c r="AH159" s="760" t="n"/>
      <c r="AI159" s="108" t="n"/>
      <c r="AJ159" s="108" t="n"/>
      <c r="AK159" s="108" t="n"/>
      <c r="AL159" s="108" t="n"/>
      <c r="AM159" s="108" t="n"/>
      <c r="AN159" s="108" t="n"/>
      <c r="AO159" s="108" t="n"/>
      <c r="AP159" s="108" t="n"/>
      <c r="AQ159" s="108" t="n"/>
      <c r="AR159" s="108" t="n"/>
      <c r="AS159" s="108" t="n"/>
      <c r="AT159" s="108" t="n"/>
      <c r="AU159" s="108" t="n"/>
      <c r="AV159" s="108" t="n"/>
      <c r="AW159" s="108" t="n"/>
      <c r="AX159" s="108" t="n"/>
      <c r="AY159" s="108" t="n"/>
      <c r="AZ159" s="108" t="n"/>
      <c r="BA159" s="108" t="n"/>
      <c r="BB159" s="108" t="n"/>
      <c r="BC159" s="108" t="n"/>
      <c r="BD159" s="108" t="n"/>
      <c r="BE159" s="108" t="n"/>
      <c r="BF159" s="108" t="n"/>
      <c r="BG159" s="108" t="n"/>
      <c r="BH159" s="108" t="n"/>
      <c r="BI159" s="109" t="n"/>
    </row>
    <row r="160" ht="14.1" customHeight="1" s="2">
      <c r="A160" s="692" t="n"/>
      <c r="B160" s="758" t="n"/>
      <c r="C160" s="692" t="n"/>
      <c r="D160" s="692" t="n"/>
      <c r="E160" s="692" t="n"/>
      <c r="F160" s="692" t="n"/>
      <c r="G160" s="692" t="n"/>
      <c r="H160" s="692" t="n"/>
      <c r="I160" s="692" t="n"/>
      <c r="J160" s="692" t="n"/>
      <c r="K160" s="692" t="n"/>
      <c r="L160" s="692" t="n"/>
      <c r="M160" s="692" t="n"/>
      <c r="N160" s="692" t="n"/>
      <c r="O160" s="692" t="n"/>
      <c r="P160" s="692" t="n"/>
      <c r="Q160" s="692" t="n"/>
      <c r="R160" s="692" t="n"/>
      <c r="S160" s="692" t="n"/>
      <c r="T160" s="692" t="n"/>
      <c r="U160" s="692" t="n"/>
      <c r="V160" s="692" t="n"/>
      <c r="W160" s="692" t="n"/>
      <c r="X160" s="692" t="n"/>
      <c r="Y160" s="692" t="n"/>
      <c r="Z160" s="692" t="n"/>
      <c r="AA160" s="692" t="n"/>
      <c r="AB160" s="692" t="n"/>
      <c r="AC160" s="692" t="n"/>
      <c r="AD160" s="692" t="n"/>
      <c r="AE160" s="692" t="n"/>
      <c r="AF160" s="692" t="n"/>
      <c r="AG160" s="692" t="n"/>
      <c r="AH160" s="760" t="n"/>
      <c r="AI160" s="108" t="n"/>
      <c r="AJ160" s="108" t="n"/>
      <c r="AK160" s="108" t="n"/>
      <c r="AL160" s="108" t="n"/>
      <c r="AM160" s="108" t="n"/>
      <c r="AN160" s="108" t="n"/>
      <c r="AO160" s="108" t="n"/>
      <c r="AP160" s="108" t="n"/>
      <c r="AQ160" s="108" t="n"/>
      <c r="AR160" s="108" t="n"/>
      <c r="AS160" s="108" t="n"/>
      <c r="AT160" s="108" t="n"/>
      <c r="AU160" s="108" t="n"/>
      <c r="AV160" s="108" t="n"/>
      <c r="AW160" s="108" t="n"/>
      <c r="AX160" s="108" t="n"/>
      <c r="AY160" s="108" t="n"/>
      <c r="AZ160" s="108" t="n"/>
      <c r="BA160" s="108" t="n"/>
      <c r="BB160" s="108" t="n"/>
      <c r="BC160" s="108" t="n"/>
      <c r="BD160" s="108" t="n"/>
      <c r="BE160" s="108" t="n"/>
      <c r="BF160" s="108" t="n"/>
      <c r="BG160" s="108" t="n"/>
      <c r="BH160" s="108" t="n"/>
      <c r="BI160" s="109" t="n"/>
    </row>
    <row r="161" ht="14.1" customHeight="1" s="2">
      <c r="A161" s="692" t="n"/>
      <c r="B161" s="758" t="n"/>
      <c r="C161" s="692" t="n"/>
      <c r="D161" s="692" t="n"/>
      <c r="E161" s="692" t="n"/>
      <c r="F161" s="692" t="n"/>
      <c r="G161" s="692" t="n"/>
      <c r="H161" s="692" t="n"/>
      <c r="I161" s="692" t="n"/>
      <c r="J161" s="692" t="n"/>
      <c r="K161" s="692" t="n"/>
      <c r="L161" s="692" t="n"/>
      <c r="M161" s="692" t="n"/>
      <c r="N161" s="692" t="n"/>
      <c r="O161" s="692" t="n"/>
      <c r="P161" s="692" t="n"/>
      <c r="Q161" s="692" t="n"/>
      <c r="R161" s="692" t="n"/>
      <c r="S161" s="692" t="n"/>
      <c r="T161" s="692" t="n"/>
      <c r="U161" s="692" t="n"/>
      <c r="V161" s="692" t="n"/>
      <c r="W161" s="692" t="n"/>
      <c r="X161" s="692" t="n"/>
      <c r="Y161" s="692" t="n"/>
      <c r="Z161" s="692" t="n"/>
      <c r="AA161" s="692" t="n"/>
      <c r="AB161" s="692" t="n"/>
      <c r="AC161" s="692" t="n"/>
      <c r="AD161" s="692" t="n"/>
      <c r="AE161" s="692" t="n"/>
      <c r="AF161" s="692" t="n"/>
      <c r="AG161" s="692" t="n"/>
      <c r="AH161" s="760" t="n"/>
      <c r="AI161" s="108" t="n"/>
      <c r="AJ161" s="108" t="n"/>
      <c r="AK161" s="108" t="n"/>
      <c r="AL161" s="108" t="n"/>
      <c r="AM161" s="108" t="n"/>
      <c r="AN161" s="108" t="n"/>
      <c r="AO161" s="108" t="n"/>
      <c r="AP161" s="108" t="n"/>
      <c r="AQ161" s="108" t="n"/>
      <c r="AR161" s="108" t="n"/>
      <c r="AS161" s="108" t="n"/>
      <c r="AT161" s="108" t="n"/>
      <c r="AU161" s="108" t="n"/>
      <c r="AV161" s="108" t="n"/>
      <c r="AW161" s="108" t="n"/>
      <c r="AX161" s="108" t="n"/>
      <c r="AY161" s="108" t="n"/>
      <c r="AZ161" s="108" t="n"/>
      <c r="BA161" s="108" t="n"/>
      <c r="BB161" s="108" t="n"/>
      <c r="BC161" s="108" t="n"/>
      <c r="BD161" s="108" t="n"/>
      <c r="BE161" s="108" t="n"/>
      <c r="BF161" s="108" t="n"/>
      <c r="BG161" s="108" t="n"/>
      <c r="BH161" s="108" t="n"/>
      <c r="BI161" s="109" t="n"/>
    </row>
    <row r="162" ht="14.1" customHeight="1" s="2">
      <c r="A162" s="692" t="n"/>
      <c r="B162" s="758" t="n"/>
      <c r="C162" s="692" t="n"/>
      <c r="D162" s="692" t="n"/>
      <c r="E162" s="692" t="n"/>
      <c r="F162" s="692" t="n"/>
      <c r="G162" s="692" t="n"/>
      <c r="H162" s="692" t="n"/>
      <c r="I162" s="692" t="n"/>
      <c r="J162" s="692" t="n"/>
      <c r="K162" s="692" t="n"/>
      <c r="L162" s="692" t="n"/>
      <c r="M162" s="692" t="n"/>
      <c r="N162" s="692" t="n"/>
      <c r="O162" s="692" t="n"/>
      <c r="P162" s="692" t="n"/>
      <c r="Q162" s="692" t="n"/>
      <c r="R162" s="692" t="n"/>
      <c r="S162" s="692" t="n"/>
      <c r="T162" s="692" t="n"/>
      <c r="U162" s="692" t="n"/>
      <c r="V162" s="692" t="n"/>
      <c r="W162" s="692" t="n"/>
      <c r="X162" s="692" t="n"/>
      <c r="Y162" s="692" t="n"/>
      <c r="Z162" s="692" t="n"/>
      <c r="AA162" s="692" t="n"/>
      <c r="AB162" s="692" t="n"/>
      <c r="AC162" s="692" t="n"/>
      <c r="AD162" s="692" t="n"/>
      <c r="AE162" s="692" t="n"/>
      <c r="AF162" s="692" t="n"/>
      <c r="AG162" s="692" t="n"/>
      <c r="AH162" s="760" t="n"/>
      <c r="AI162" s="108" t="n"/>
      <c r="AJ162" s="108" t="n"/>
      <c r="AK162" s="108" t="n"/>
      <c r="AL162" s="108" t="n"/>
      <c r="AM162" s="108" t="n"/>
      <c r="AN162" s="108" t="n"/>
      <c r="AO162" s="108" t="n"/>
      <c r="AP162" s="108" t="n"/>
      <c r="AQ162" s="108" t="n"/>
      <c r="AR162" s="108" t="n"/>
      <c r="AS162" s="108" t="n"/>
      <c r="AT162" s="108" t="n"/>
      <c r="AU162" s="108" t="n"/>
      <c r="AV162" s="108" t="n"/>
      <c r="AW162" s="108" t="n"/>
      <c r="AX162" s="108" t="n"/>
      <c r="AY162" s="108" t="n"/>
      <c r="AZ162" s="108" t="n"/>
      <c r="BA162" s="108" t="n"/>
      <c r="BB162" s="108" t="n"/>
      <c r="BC162" s="108" t="n"/>
      <c r="BD162" s="108" t="n"/>
      <c r="BE162" s="108" t="n"/>
      <c r="BF162" s="108" t="n"/>
      <c r="BG162" s="108" t="n"/>
      <c r="BH162" s="108" t="n"/>
      <c r="BI162" s="109" t="n"/>
    </row>
    <row r="163" ht="14.1" customHeight="1" s="2">
      <c r="A163" s="692" t="n"/>
      <c r="B163" s="758" t="n"/>
      <c r="C163" s="692" t="n"/>
      <c r="D163" s="692" t="n"/>
      <c r="E163" s="692" t="n"/>
      <c r="F163" s="692" t="n"/>
      <c r="G163" s="692" t="n"/>
      <c r="H163" s="692" t="n"/>
      <c r="I163" s="692" t="n"/>
      <c r="J163" s="692" t="n"/>
      <c r="K163" s="692" t="n"/>
      <c r="L163" s="692" t="n"/>
      <c r="M163" s="692" t="n"/>
      <c r="N163" s="692" t="n"/>
      <c r="O163" s="692" t="n"/>
      <c r="P163" s="692" t="n"/>
      <c r="Q163" s="692" t="n"/>
      <c r="R163" s="692" t="n"/>
      <c r="S163" s="692" t="n"/>
      <c r="T163" s="692" t="n"/>
      <c r="U163" s="692" t="n"/>
      <c r="V163" s="692" t="n"/>
      <c r="W163" s="692" t="n"/>
      <c r="X163" s="692" t="n"/>
      <c r="Y163" s="692" t="n"/>
      <c r="Z163" s="692" t="n"/>
      <c r="AA163" s="692" t="n"/>
      <c r="AB163" s="692" t="n"/>
      <c r="AC163" s="692" t="n"/>
      <c r="AD163" s="692" t="n"/>
      <c r="AE163" s="692" t="n"/>
      <c r="AF163" s="692" t="n"/>
      <c r="AG163" s="692" t="n"/>
      <c r="AH163" s="760" t="n"/>
      <c r="AI163" s="108" t="n"/>
      <c r="AJ163" s="108" t="n"/>
      <c r="AK163" s="108" t="n"/>
      <c r="AL163" s="108" t="n"/>
      <c r="AM163" s="108" t="n"/>
      <c r="AN163" s="108" t="n"/>
      <c r="AO163" s="108" t="n"/>
      <c r="AP163" s="108" t="n"/>
      <c r="AQ163" s="108" t="n"/>
      <c r="AR163" s="108" t="n"/>
      <c r="AS163" s="108" t="n"/>
      <c r="AT163" s="108" t="n"/>
      <c r="AU163" s="108" t="n"/>
      <c r="AV163" s="108" t="n"/>
      <c r="AW163" s="108" t="n"/>
      <c r="AX163" s="108" t="n"/>
      <c r="AY163" s="108" t="n"/>
      <c r="AZ163" s="108" t="n"/>
      <c r="BA163" s="108" t="n"/>
      <c r="BB163" s="108" t="n"/>
      <c r="BC163" s="108" t="n"/>
      <c r="BD163" s="108" t="n"/>
      <c r="BE163" s="108" t="n"/>
      <c r="BF163" s="108" t="n"/>
      <c r="BG163" s="108" t="n"/>
      <c r="BH163" s="108" t="n"/>
      <c r="BI163" s="109" t="n"/>
    </row>
    <row r="164" ht="14.1" customHeight="1" s="2">
      <c r="A164" s="692" t="n"/>
      <c r="B164" s="758" t="n"/>
      <c r="C164" s="692" t="n"/>
      <c r="D164" s="692" t="n"/>
      <c r="E164" s="692" t="n"/>
      <c r="F164" s="692" t="n"/>
      <c r="G164" s="692" t="n"/>
      <c r="H164" s="692" t="n"/>
      <c r="I164" s="692" t="n"/>
      <c r="J164" s="692" t="n"/>
      <c r="K164" s="692" t="n"/>
      <c r="L164" s="692" t="n"/>
      <c r="M164" s="692" t="n"/>
      <c r="N164" s="692" t="n"/>
      <c r="O164" s="692" t="n"/>
      <c r="P164" s="692" t="n"/>
      <c r="Q164" s="692" t="n"/>
      <c r="R164" s="692" t="n"/>
      <c r="S164" s="692" t="n"/>
      <c r="T164" s="692" t="n"/>
      <c r="U164" s="692" t="n"/>
      <c r="V164" s="692" t="n"/>
      <c r="W164" s="692" t="n"/>
      <c r="X164" s="692" t="n"/>
      <c r="Y164" s="692" t="n"/>
      <c r="Z164" s="692" t="n"/>
      <c r="AA164" s="692" t="n"/>
      <c r="AB164" s="692" t="n"/>
      <c r="AC164" s="692" t="n"/>
      <c r="AD164" s="692" t="n"/>
      <c r="AE164" s="692" t="n"/>
      <c r="AF164" s="692" t="n"/>
      <c r="AG164" s="692" t="n"/>
      <c r="AH164" s="760" t="n"/>
      <c r="AI164" s="108" t="n"/>
      <c r="AJ164" s="108" t="n"/>
      <c r="AK164" s="108" t="n"/>
      <c r="AL164" s="108" t="n"/>
      <c r="AM164" s="108" t="n"/>
      <c r="AN164" s="108" t="n"/>
      <c r="AO164" s="108" t="n"/>
      <c r="AP164" s="108" t="n"/>
      <c r="AQ164" s="108" t="n"/>
      <c r="AR164" s="108" t="n"/>
      <c r="AS164" s="108" t="n"/>
      <c r="AT164" s="108" t="n"/>
      <c r="AU164" s="108" t="n"/>
      <c r="AV164" s="108" t="n"/>
      <c r="AW164" s="108" t="n"/>
      <c r="AX164" s="108" t="n"/>
      <c r="AY164" s="108" t="n"/>
      <c r="AZ164" s="108" t="n"/>
      <c r="BA164" s="108" t="n"/>
      <c r="BB164" s="108" t="n"/>
      <c r="BC164" s="108" t="n"/>
      <c r="BD164" s="108" t="n"/>
      <c r="BE164" s="108" t="n"/>
      <c r="BF164" s="108" t="n"/>
      <c r="BG164" s="108" t="n"/>
      <c r="BH164" s="108" t="n"/>
      <c r="BI164" s="109" t="n"/>
    </row>
    <row r="165" ht="14.1" customHeight="1" s="2">
      <c r="A165" s="692" t="n"/>
      <c r="B165" s="758" t="n"/>
      <c r="C165" s="692" t="n"/>
      <c r="D165" s="692" t="n"/>
      <c r="E165" s="692" t="n"/>
      <c r="F165" s="692" t="n"/>
      <c r="G165" s="692" t="n"/>
      <c r="H165" s="692" t="n"/>
      <c r="I165" s="692" t="n"/>
      <c r="J165" s="692" t="n"/>
      <c r="K165" s="692" t="n"/>
      <c r="L165" s="692" t="n"/>
      <c r="M165" s="692" t="n"/>
      <c r="N165" s="692" t="n"/>
      <c r="O165" s="692" t="n"/>
      <c r="P165" s="692" t="n"/>
      <c r="Q165" s="692" t="n"/>
      <c r="R165" s="692" t="n"/>
      <c r="S165" s="692" t="n"/>
      <c r="T165" s="692" t="n"/>
      <c r="U165" s="692" t="n"/>
      <c r="V165" s="692" t="n"/>
      <c r="W165" s="692" t="n"/>
      <c r="X165" s="692" t="n"/>
      <c r="Y165" s="692" t="n"/>
      <c r="Z165" s="692" t="n"/>
      <c r="AA165" s="692" t="n"/>
      <c r="AB165" s="692" t="n"/>
      <c r="AC165" s="692" t="n"/>
      <c r="AD165" s="692" t="n"/>
      <c r="AE165" s="692" t="n"/>
      <c r="AF165" s="692" t="n"/>
      <c r="AG165" s="692" t="n"/>
      <c r="AH165" s="760" t="n"/>
      <c r="AI165" s="108" t="n"/>
      <c r="AJ165" s="108" t="n"/>
      <c r="AK165" s="108" t="n"/>
      <c r="AL165" s="108" t="n"/>
      <c r="AM165" s="108" t="n"/>
      <c r="AN165" s="108" t="n"/>
      <c r="AO165" s="108" t="n"/>
      <c r="AP165" s="108" t="n"/>
      <c r="AQ165" s="108" t="n"/>
      <c r="AR165" s="108" t="n"/>
      <c r="AS165" s="108" t="n"/>
      <c r="AT165" s="108" t="n"/>
      <c r="AU165" s="108" t="n"/>
      <c r="AV165" s="108" t="n"/>
      <c r="AW165" s="108" t="n"/>
      <c r="AX165" s="108" t="n"/>
      <c r="AY165" s="108" t="n"/>
      <c r="AZ165" s="108" t="n"/>
      <c r="BA165" s="108" t="n"/>
      <c r="BB165" s="108" t="n"/>
      <c r="BC165" s="108" t="n"/>
      <c r="BD165" s="108" t="n"/>
      <c r="BE165" s="108" t="n"/>
      <c r="BF165" s="108" t="n"/>
      <c r="BG165" s="108" t="n"/>
      <c r="BH165" s="108" t="n"/>
      <c r="BI165" s="109" t="n"/>
    </row>
    <row r="166" ht="14.1" customHeight="1" s="2">
      <c r="A166" s="692" t="n"/>
      <c r="B166" s="758" t="n"/>
      <c r="C166" s="692" t="n"/>
      <c r="D166" s="692" t="n"/>
      <c r="E166" s="692" t="n"/>
      <c r="F166" s="692" t="n"/>
      <c r="G166" s="692" t="n"/>
      <c r="H166" s="692" t="n"/>
      <c r="I166" s="692" t="n"/>
      <c r="J166" s="692" t="n"/>
      <c r="K166" s="692" t="n"/>
      <c r="L166" s="692" t="n"/>
      <c r="M166" s="692" t="n"/>
      <c r="N166" s="692" t="n"/>
      <c r="O166" s="692" t="n"/>
      <c r="P166" s="692" t="n"/>
      <c r="Q166" s="692" t="n"/>
      <c r="R166" s="692" t="n"/>
      <c r="S166" s="692" t="n"/>
      <c r="T166" s="692" t="n"/>
      <c r="U166" s="692" t="n"/>
      <c r="V166" s="692" t="n"/>
      <c r="W166" s="692" t="n"/>
      <c r="X166" s="692" t="n"/>
      <c r="Y166" s="692" t="n"/>
      <c r="Z166" s="692" t="n"/>
      <c r="AA166" s="692" t="n"/>
      <c r="AB166" s="692" t="n"/>
      <c r="AC166" s="692" t="n"/>
      <c r="AD166" s="692" t="n"/>
      <c r="AE166" s="692" t="n"/>
      <c r="AF166" s="692" t="n"/>
      <c r="AG166" s="692" t="n"/>
      <c r="AH166" s="760" t="n"/>
      <c r="AI166" s="108" t="n"/>
      <c r="AJ166" s="108" t="n"/>
      <c r="AK166" s="108" t="n"/>
      <c r="AL166" s="108" t="n"/>
      <c r="AM166" s="108" t="n"/>
      <c r="AN166" s="108" t="n"/>
      <c r="AO166" s="108" t="n"/>
      <c r="AP166" s="108" t="n"/>
      <c r="AQ166" s="108" t="n"/>
      <c r="AR166" s="108" t="n"/>
      <c r="AS166" s="108" t="n"/>
      <c r="AT166" s="108" t="n"/>
      <c r="AU166" s="108" t="n"/>
      <c r="AV166" s="108" t="n"/>
      <c r="AW166" s="108" t="n"/>
      <c r="AX166" s="108" t="n"/>
      <c r="AY166" s="108" t="n"/>
      <c r="AZ166" s="108" t="n"/>
      <c r="BA166" s="108" t="n"/>
      <c r="BB166" s="108" t="n"/>
      <c r="BC166" s="108" t="n"/>
      <c r="BD166" s="108" t="n"/>
      <c r="BE166" s="108" t="n"/>
      <c r="BF166" s="108" t="n"/>
      <c r="BG166" s="108" t="n"/>
      <c r="BH166" s="108" t="n"/>
      <c r="BI166" s="109" t="n"/>
    </row>
    <row r="167" ht="14.1" customHeight="1" s="2">
      <c r="A167" s="692" t="n"/>
      <c r="B167" s="758" t="n"/>
      <c r="C167" s="692" t="n"/>
      <c r="D167" s="692" t="n"/>
      <c r="E167" s="692" t="n"/>
      <c r="F167" s="692" t="n"/>
      <c r="G167" s="692" t="n"/>
      <c r="H167" s="692" t="n"/>
      <c r="I167" s="692" t="n"/>
      <c r="J167" s="692" t="n"/>
      <c r="K167" s="692" t="n"/>
      <c r="L167" s="692" t="n"/>
      <c r="M167" s="692" t="n"/>
      <c r="N167" s="692" t="n"/>
      <c r="O167" s="692" t="n"/>
      <c r="P167" s="692" t="n"/>
      <c r="Q167" s="692" t="n"/>
      <c r="R167" s="692" t="n"/>
      <c r="S167" s="692" t="n"/>
      <c r="T167" s="692" t="n"/>
      <c r="U167" s="692" t="n"/>
      <c r="V167" s="692" t="n"/>
      <c r="W167" s="692" t="n"/>
      <c r="X167" s="692" t="n"/>
      <c r="Y167" s="692" t="n"/>
      <c r="Z167" s="692" t="n"/>
      <c r="AA167" s="692" t="n"/>
      <c r="AB167" s="692" t="n"/>
      <c r="AC167" s="692" t="n"/>
      <c r="AD167" s="692" t="n"/>
      <c r="AE167" s="692" t="n"/>
      <c r="AF167" s="692" t="n"/>
      <c r="AG167" s="692" t="n"/>
      <c r="AH167" s="760" t="n"/>
      <c r="AI167" s="108" t="n"/>
      <c r="AJ167" s="108" t="n"/>
      <c r="AK167" s="108" t="n"/>
      <c r="AL167" s="108" t="n"/>
      <c r="AM167" s="108" t="n"/>
      <c r="AN167" s="108" t="n"/>
      <c r="AO167" s="108" t="n"/>
      <c r="AP167" s="108" t="n"/>
      <c r="AQ167" s="108" t="n"/>
      <c r="AR167" s="108" t="n"/>
      <c r="AS167" s="108" t="n"/>
      <c r="AT167" s="108" t="n"/>
      <c r="AU167" s="108" t="n"/>
      <c r="AV167" s="108" t="n"/>
      <c r="AW167" s="108" t="n"/>
      <c r="AX167" s="108" t="n"/>
      <c r="AY167" s="108" t="n"/>
      <c r="AZ167" s="108" t="n"/>
      <c r="BA167" s="108" t="n"/>
      <c r="BB167" s="108" t="n"/>
      <c r="BC167" s="108" t="n"/>
      <c r="BD167" s="108" t="n"/>
      <c r="BE167" s="108" t="n"/>
      <c r="BF167" s="108" t="n"/>
      <c r="BG167" s="108" t="n"/>
      <c r="BH167" s="108" t="n"/>
      <c r="BI167" s="109" t="n"/>
    </row>
    <row r="168" ht="14.1" customHeight="1" s="2">
      <c r="A168" s="692" t="n"/>
      <c r="B168" s="758" t="n"/>
      <c r="C168" s="692" t="n"/>
      <c r="D168" s="692" t="n"/>
      <c r="E168" s="692" t="n"/>
      <c r="F168" s="692" t="n"/>
      <c r="G168" s="692" t="n"/>
      <c r="H168" s="692" t="n"/>
      <c r="I168" s="692" t="n"/>
      <c r="J168" s="692" t="n"/>
      <c r="K168" s="692" t="n"/>
      <c r="L168" s="692" t="n"/>
      <c r="M168" s="692" t="n"/>
      <c r="N168" s="692" t="n"/>
      <c r="O168" s="692" t="n"/>
      <c r="P168" s="692" t="n"/>
      <c r="Q168" s="692" t="n"/>
      <c r="R168" s="692" t="n"/>
      <c r="S168" s="692" t="n"/>
      <c r="T168" s="692" t="n"/>
      <c r="U168" s="692" t="n"/>
      <c r="V168" s="692" t="n"/>
      <c r="W168" s="692" t="n"/>
      <c r="X168" s="692" t="n"/>
      <c r="Y168" s="692" t="n"/>
      <c r="Z168" s="692" t="n"/>
      <c r="AA168" s="692" t="n"/>
      <c r="AB168" s="692" t="n"/>
      <c r="AC168" s="692" t="n"/>
      <c r="AD168" s="692" t="n"/>
      <c r="AE168" s="692" t="n"/>
      <c r="AF168" s="692" t="n"/>
      <c r="AG168" s="692" t="n"/>
      <c r="AH168" s="760" t="n"/>
      <c r="AI168" s="108" t="n"/>
      <c r="AJ168" s="108" t="n"/>
      <c r="AK168" s="108" t="n"/>
      <c r="AL168" s="108" t="n"/>
      <c r="AM168" s="108" t="n"/>
      <c r="AN168" s="108" t="n"/>
      <c r="AO168" s="108" t="n"/>
      <c r="AP168" s="108" t="n"/>
      <c r="AQ168" s="108" t="n"/>
      <c r="AR168" s="108" t="n"/>
      <c r="AS168" s="108" t="n"/>
      <c r="AT168" s="108" t="n"/>
      <c r="AU168" s="108" t="n"/>
      <c r="AV168" s="108" t="n"/>
      <c r="AW168" s="108" t="n"/>
      <c r="AX168" s="108" t="n"/>
      <c r="AY168" s="108" t="n"/>
      <c r="AZ168" s="108" t="n"/>
      <c r="BA168" s="108" t="n"/>
      <c r="BB168" s="108" t="n"/>
      <c r="BC168" s="108" t="n"/>
      <c r="BD168" s="108" t="n"/>
      <c r="BE168" s="108" t="n"/>
      <c r="BF168" s="108" t="n"/>
      <c r="BG168" s="108" t="n"/>
      <c r="BH168" s="108" t="n"/>
      <c r="BI168" s="109" t="n"/>
    </row>
    <row r="169" ht="14.1" customHeight="1" s="2">
      <c r="A169" s="692" t="n"/>
      <c r="B169" s="758" t="n"/>
      <c r="C169" s="692" t="n"/>
      <c r="D169" s="692" t="n"/>
      <c r="E169" s="692" t="n"/>
      <c r="F169" s="692" t="n"/>
      <c r="G169" s="692" t="n"/>
      <c r="H169" s="692" t="n"/>
      <c r="I169" s="692" t="n"/>
      <c r="J169" s="692" t="n"/>
      <c r="K169" s="692" t="n"/>
      <c r="L169" s="692" t="n"/>
      <c r="M169" s="692" t="n"/>
      <c r="N169" s="692" t="n"/>
      <c r="O169" s="692" t="n"/>
      <c r="P169" s="692" t="n"/>
      <c r="Q169" s="692" t="n"/>
      <c r="R169" s="692" t="n"/>
      <c r="S169" s="692" t="n"/>
      <c r="T169" s="692" t="n"/>
      <c r="U169" s="692" t="n"/>
      <c r="V169" s="692" t="n"/>
      <c r="W169" s="692" t="n"/>
      <c r="X169" s="692" t="n"/>
      <c r="Y169" s="692" t="n"/>
      <c r="Z169" s="692" t="n"/>
      <c r="AA169" s="692" t="n"/>
      <c r="AB169" s="692" t="n"/>
      <c r="AC169" s="692" t="n"/>
      <c r="AD169" s="692" t="n"/>
      <c r="AE169" s="692" t="n"/>
      <c r="AF169" s="692" t="n"/>
      <c r="AG169" s="692" t="n"/>
      <c r="AH169" s="760" t="n"/>
      <c r="AI169" s="108" t="n"/>
      <c r="AJ169" s="108" t="n"/>
      <c r="AK169" s="108" t="n"/>
      <c r="AL169" s="108" t="n"/>
      <c r="AM169" s="108" t="n"/>
      <c r="AN169" s="108" t="n"/>
      <c r="AO169" s="108" t="n"/>
      <c r="AP169" s="108" t="n"/>
      <c r="AQ169" s="108" t="n"/>
      <c r="AR169" s="108" t="n"/>
      <c r="AS169" s="108" t="n"/>
      <c r="AT169" s="108" t="n"/>
      <c r="AU169" s="108" t="n"/>
      <c r="AV169" s="108" t="n"/>
      <c r="AW169" s="108" t="n"/>
      <c r="AX169" s="108" t="n"/>
      <c r="AY169" s="108" t="n"/>
      <c r="AZ169" s="108" t="n"/>
      <c r="BA169" s="108" t="n"/>
      <c r="BB169" s="108" t="n"/>
      <c r="BC169" s="108" t="n"/>
      <c r="BD169" s="108" t="n"/>
      <c r="BE169" s="108" t="n"/>
      <c r="BF169" s="108" t="n"/>
      <c r="BG169" s="108" t="n"/>
      <c r="BH169" s="108" t="n"/>
      <c r="BI169" s="109" t="n"/>
    </row>
    <row r="170" ht="14.1" customHeight="1" s="2">
      <c r="A170" s="692" t="n"/>
      <c r="B170" s="758" t="n"/>
      <c r="C170" s="692" t="n"/>
      <c r="D170" s="692" t="n"/>
      <c r="E170" s="692" t="n"/>
      <c r="F170" s="692" t="n"/>
      <c r="G170" s="692" t="n"/>
      <c r="H170" s="692" t="n"/>
      <c r="I170" s="692" t="n"/>
      <c r="J170" s="692" t="n"/>
      <c r="K170" s="692" t="n"/>
      <c r="L170" s="692" t="n"/>
      <c r="M170" s="692" t="n"/>
      <c r="N170" s="692" t="n"/>
      <c r="O170" s="692" t="n"/>
      <c r="P170" s="692" t="n"/>
      <c r="Q170" s="692" t="n"/>
      <c r="R170" s="692" t="n"/>
      <c r="S170" s="692" t="n"/>
      <c r="T170" s="692" t="n"/>
      <c r="U170" s="692" t="n"/>
      <c r="V170" s="692" t="n"/>
      <c r="W170" s="692" t="n"/>
      <c r="X170" s="692" t="n"/>
      <c r="Y170" s="692" t="n"/>
      <c r="Z170" s="692" t="n"/>
      <c r="AA170" s="692" t="n"/>
      <c r="AB170" s="692" t="n"/>
      <c r="AC170" s="692" t="n"/>
      <c r="AD170" s="692" t="n"/>
      <c r="AE170" s="692" t="n"/>
      <c r="AF170" s="692" t="n"/>
      <c r="AG170" s="692" t="n"/>
      <c r="AH170" s="760" t="n"/>
      <c r="AI170" s="108" t="n"/>
      <c r="AJ170" s="108" t="n"/>
      <c r="AK170" s="108" t="n"/>
      <c r="AL170" s="108" t="n"/>
      <c r="AM170" s="108" t="n"/>
      <c r="AN170" s="108" t="n"/>
      <c r="AO170" s="108" t="n"/>
      <c r="AP170" s="108" t="n"/>
      <c r="AQ170" s="108" t="n"/>
      <c r="AR170" s="108" t="n"/>
      <c r="AS170" s="108" t="n"/>
      <c r="AT170" s="108" t="n"/>
      <c r="AU170" s="108" t="n"/>
      <c r="AV170" s="108" t="n"/>
      <c r="AW170" s="108" t="n"/>
      <c r="AX170" s="108" t="n"/>
      <c r="AY170" s="108" t="n"/>
      <c r="AZ170" s="108" t="n"/>
      <c r="BA170" s="108" t="n"/>
      <c r="BB170" s="108" t="n"/>
      <c r="BC170" s="108" t="n"/>
      <c r="BD170" s="108" t="n"/>
      <c r="BE170" s="108" t="n"/>
      <c r="BF170" s="108" t="n"/>
      <c r="BG170" s="108" t="n"/>
      <c r="BH170" s="108" t="n"/>
      <c r="BI170" s="109" t="n"/>
    </row>
    <row r="171" ht="14.1" customHeight="1" s="2">
      <c r="A171" s="692" t="n"/>
      <c r="B171" s="758" t="n"/>
      <c r="C171" s="692" t="n"/>
      <c r="D171" s="692" t="n"/>
      <c r="E171" s="692" t="n"/>
      <c r="F171" s="692" t="n"/>
      <c r="G171" s="692" t="n"/>
      <c r="H171" s="692" t="n"/>
      <c r="I171" s="692" t="n"/>
      <c r="J171" s="692" t="n"/>
      <c r="K171" s="692" t="n"/>
      <c r="L171" s="692" t="n"/>
      <c r="M171" s="692" t="n"/>
      <c r="N171" s="692" t="n"/>
      <c r="O171" s="692" t="n"/>
      <c r="P171" s="692" t="n"/>
      <c r="Q171" s="692" t="n"/>
      <c r="R171" s="692" t="n"/>
      <c r="S171" s="692" t="n"/>
      <c r="T171" s="692" t="n"/>
      <c r="U171" s="692" t="n"/>
      <c r="V171" s="692" t="n"/>
      <c r="W171" s="692" t="n"/>
      <c r="X171" s="692" t="n"/>
      <c r="Y171" s="692" t="n"/>
      <c r="Z171" s="692" t="n"/>
      <c r="AA171" s="692" t="n"/>
      <c r="AB171" s="692" t="n"/>
      <c r="AC171" s="692" t="n"/>
      <c r="AD171" s="692" t="n"/>
      <c r="AE171" s="692" t="n"/>
      <c r="AF171" s="692" t="n"/>
      <c r="AG171" s="692" t="n"/>
      <c r="AH171" s="760" t="n"/>
      <c r="AI171" s="108" t="n"/>
      <c r="AJ171" s="108" t="n"/>
      <c r="AK171" s="108" t="n"/>
      <c r="AL171" s="108" t="n"/>
      <c r="AM171" s="108" t="n"/>
      <c r="AN171" s="108" t="n"/>
      <c r="AO171" s="108" t="n"/>
      <c r="AP171" s="108" t="n"/>
      <c r="AQ171" s="108" t="n"/>
      <c r="AR171" s="108" t="n"/>
      <c r="AS171" s="108" t="n"/>
      <c r="AT171" s="108" t="n"/>
      <c r="AU171" s="108" t="n"/>
      <c r="AV171" s="108" t="n"/>
      <c r="AW171" s="108" t="n"/>
      <c r="AX171" s="108" t="n"/>
      <c r="AY171" s="108" t="n"/>
      <c r="AZ171" s="108" t="n"/>
      <c r="BA171" s="108" t="n"/>
      <c r="BB171" s="108" t="n"/>
      <c r="BC171" s="108" t="n"/>
      <c r="BD171" s="108" t="n"/>
      <c r="BE171" s="108" t="n"/>
      <c r="BF171" s="108" t="n"/>
      <c r="BG171" s="108" t="n"/>
      <c r="BH171" s="108" t="n"/>
      <c r="BI171" s="109" t="n"/>
    </row>
    <row r="172" ht="14.1" customHeight="1" s="2">
      <c r="A172" s="692" t="n"/>
      <c r="B172" s="758" t="n"/>
      <c r="C172" s="692" t="n"/>
      <c r="D172" s="692" t="n"/>
      <c r="E172" s="692" t="n"/>
      <c r="F172" s="692" t="n"/>
      <c r="G172" s="692" t="n"/>
      <c r="H172" s="692" t="n"/>
      <c r="I172" s="692" t="n"/>
      <c r="J172" s="692" t="n"/>
      <c r="K172" s="692" t="n"/>
      <c r="L172" s="692" t="n"/>
      <c r="M172" s="692" t="n"/>
      <c r="N172" s="692" t="n"/>
      <c r="O172" s="692" t="n"/>
      <c r="P172" s="692" t="n"/>
      <c r="Q172" s="692" t="n"/>
      <c r="R172" s="692" t="n"/>
      <c r="S172" s="692" t="n"/>
      <c r="T172" s="692" t="n"/>
      <c r="U172" s="692" t="n"/>
      <c r="V172" s="692" t="n"/>
      <c r="W172" s="692" t="n"/>
      <c r="X172" s="692" t="n"/>
      <c r="Y172" s="692" t="n"/>
      <c r="Z172" s="692" t="n"/>
      <c r="AA172" s="692" t="n"/>
      <c r="AB172" s="692" t="n"/>
      <c r="AC172" s="692" t="n"/>
      <c r="AD172" s="692" t="n"/>
      <c r="AE172" s="692" t="n"/>
      <c r="AF172" s="692" t="n"/>
      <c r="AG172" s="692" t="n"/>
      <c r="AH172" s="760" t="n"/>
      <c r="AI172" s="108" t="n"/>
      <c r="AJ172" s="108" t="n"/>
      <c r="AK172" s="108" t="n"/>
      <c r="AL172" s="108" t="n"/>
      <c r="AM172" s="108" t="n"/>
      <c r="AN172" s="108" t="n"/>
      <c r="AO172" s="108" t="n"/>
      <c r="AP172" s="108" t="n"/>
      <c r="AQ172" s="108" t="n"/>
      <c r="AR172" s="108" t="n"/>
      <c r="AS172" s="108" t="n"/>
      <c r="AT172" s="108" t="n"/>
      <c r="AU172" s="108" t="n"/>
      <c r="AV172" s="108" t="n"/>
      <c r="AW172" s="108" t="n"/>
      <c r="AX172" s="108" t="n"/>
      <c r="AY172" s="108" t="n"/>
      <c r="AZ172" s="108" t="n"/>
      <c r="BA172" s="108" t="n"/>
      <c r="BB172" s="108" t="n"/>
      <c r="BC172" s="108" t="n"/>
      <c r="BD172" s="108" t="n"/>
      <c r="BE172" s="108" t="n"/>
      <c r="BF172" s="108" t="n"/>
      <c r="BG172" s="108" t="n"/>
      <c r="BH172" s="108" t="n"/>
      <c r="BI172" s="109" t="n"/>
    </row>
    <row r="173" ht="14.1" customHeight="1" s="2">
      <c r="A173" s="692" t="n"/>
      <c r="B173" s="758" t="n"/>
      <c r="C173" s="692" t="n"/>
      <c r="D173" s="692" t="n"/>
      <c r="E173" s="692" t="n"/>
      <c r="F173" s="692" t="n"/>
      <c r="G173" s="692" t="n"/>
      <c r="H173" s="692" t="n"/>
      <c r="I173" s="692" t="n"/>
      <c r="J173" s="692" t="n"/>
      <c r="K173" s="692" t="n"/>
      <c r="L173" s="692" t="n"/>
      <c r="M173" s="692" t="n"/>
      <c r="N173" s="692" t="n"/>
      <c r="O173" s="692" t="n"/>
      <c r="P173" s="692" t="n"/>
      <c r="Q173" s="692" t="n"/>
      <c r="R173" s="692" t="n"/>
      <c r="S173" s="692" t="n"/>
      <c r="T173" s="692" t="n"/>
      <c r="U173" s="692" t="n"/>
      <c r="V173" s="692" t="n"/>
      <c r="W173" s="692" t="n"/>
      <c r="X173" s="692" t="n"/>
      <c r="Y173" s="692" t="n"/>
      <c r="Z173" s="692" t="n"/>
      <c r="AA173" s="692" t="n"/>
      <c r="AB173" s="692" t="n"/>
      <c r="AC173" s="692" t="n"/>
      <c r="AD173" s="692" t="n"/>
      <c r="AE173" s="692" t="n"/>
      <c r="AF173" s="692" t="n"/>
      <c r="AG173" s="692" t="n"/>
      <c r="AH173" s="760" t="n"/>
      <c r="AI173" s="108" t="n"/>
      <c r="AJ173" s="108" t="n"/>
      <c r="AK173" s="108" t="n"/>
      <c r="AL173" s="108" t="n"/>
      <c r="AM173" s="108" t="n"/>
      <c r="AN173" s="108" t="n"/>
      <c r="AO173" s="108" t="n"/>
      <c r="AP173" s="108" t="n"/>
      <c r="AQ173" s="108" t="n"/>
      <c r="AR173" s="108" t="n"/>
      <c r="AS173" s="108" t="n"/>
      <c r="AT173" s="108" t="n"/>
      <c r="AU173" s="108" t="n"/>
      <c r="AV173" s="108" t="n"/>
      <c r="AW173" s="108" t="n"/>
      <c r="AX173" s="108" t="n"/>
      <c r="AY173" s="108" t="n"/>
      <c r="AZ173" s="108" t="n"/>
      <c r="BA173" s="108" t="n"/>
      <c r="BB173" s="108" t="n"/>
      <c r="BC173" s="108" t="n"/>
      <c r="BD173" s="108" t="n"/>
      <c r="BE173" s="108" t="n"/>
      <c r="BF173" s="108" t="n"/>
      <c r="BG173" s="108" t="n"/>
      <c r="BH173" s="108" t="n"/>
      <c r="BI173" s="109" t="n"/>
    </row>
    <row r="174" ht="14.1" customHeight="1" s="2">
      <c r="A174" s="692" t="n"/>
      <c r="B174" s="758" t="n"/>
      <c r="C174" s="692" t="n"/>
      <c r="D174" s="692" t="n"/>
      <c r="E174" s="692" t="n"/>
      <c r="F174" s="692" t="n"/>
      <c r="G174" s="692" t="n"/>
      <c r="H174" s="692" t="n"/>
      <c r="I174" s="692" t="n"/>
      <c r="J174" s="692" t="n"/>
      <c r="K174" s="692" t="n"/>
      <c r="L174" s="692" t="n"/>
      <c r="M174" s="692" t="n"/>
      <c r="N174" s="692" t="n"/>
      <c r="O174" s="692" t="n"/>
      <c r="P174" s="692" t="n"/>
      <c r="Q174" s="692" t="n"/>
      <c r="R174" s="692" t="n"/>
      <c r="S174" s="692" t="n"/>
      <c r="T174" s="692" t="n"/>
      <c r="U174" s="692" t="n"/>
      <c r="V174" s="692" t="n"/>
      <c r="W174" s="692" t="n"/>
      <c r="X174" s="692" t="n"/>
      <c r="Y174" s="692" t="n"/>
      <c r="Z174" s="692" t="n"/>
      <c r="AA174" s="692" t="n"/>
      <c r="AB174" s="692" t="n"/>
      <c r="AC174" s="692" t="n"/>
      <c r="AD174" s="692" t="n"/>
      <c r="AE174" s="692" t="n"/>
      <c r="AF174" s="692" t="n"/>
      <c r="AG174" s="692" t="n"/>
      <c r="AH174" s="760" t="n"/>
      <c r="AI174" s="108" t="n"/>
      <c r="AJ174" s="108" t="n"/>
      <c r="AK174" s="108" t="n"/>
      <c r="AL174" s="108" t="n"/>
      <c r="AM174" s="108" t="n"/>
      <c r="AN174" s="108" t="n"/>
      <c r="AO174" s="108" t="n"/>
      <c r="AP174" s="108" t="n"/>
      <c r="AQ174" s="108" t="n"/>
      <c r="AR174" s="108" t="n"/>
      <c r="AS174" s="108" t="n"/>
      <c r="AT174" s="108" t="n"/>
      <c r="AU174" s="108" t="n"/>
      <c r="AV174" s="108" t="n"/>
      <c r="AW174" s="108" t="n"/>
      <c r="AX174" s="108" t="n"/>
      <c r="AY174" s="108" t="n"/>
      <c r="AZ174" s="108" t="n"/>
      <c r="BA174" s="108" t="n"/>
      <c r="BB174" s="108" t="n"/>
      <c r="BC174" s="108" t="n"/>
      <c r="BD174" s="108" t="n"/>
      <c r="BE174" s="108" t="n"/>
      <c r="BF174" s="108" t="n"/>
      <c r="BG174" s="108" t="n"/>
      <c r="BH174" s="108" t="n"/>
      <c r="BI174" s="109" t="n"/>
    </row>
    <row r="175" ht="14.1" customHeight="1" s="2">
      <c r="A175" s="692" t="n"/>
      <c r="B175" s="758" t="n"/>
      <c r="C175" s="692" t="n"/>
      <c r="D175" s="692" t="n"/>
      <c r="E175" s="692" t="n"/>
      <c r="F175" s="692" t="n"/>
      <c r="G175" s="692" t="n"/>
      <c r="H175" s="692" t="n"/>
      <c r="I175" s="692" t="n"/>
      <c r="J175" s="692" t="n"/>
      <c r="K175" s="692" t="n"/>
      <c r="L175" s="692" t="n"/>
      <c r="M175" s="692" t="n"/>
      <c r="N175" s="692" t="n"/>
      <c r="O175" s="692" t="n"/>
      <c r="P175" s="692" t="n"/>
      <c r="Q175" s="692" t="n"/>
      <c r="R175" s="692" t="n"/>
      <c r="S175" s="692" t="n"/>
      <c r="T175" s="692" t="n"/>
      <c r="U175" s="692" t="n"/>
      <c r="V175" s="692" t="n"/>
      <c r="W175" s="692" t="n"/>
      <c r="X175" s="692" t="n"/>
      <c r="Y175" s="692" t="n"/>
      <c r="Z175" s="692" t="n"/>
      <c r="AA175" s="692" t="n"/>
      <c r="AB175" s="692" t="n"/>
      <c r="AC175" s="692" t="n"/>
      <c r="AD175" s="692" t="n"/>
      <c r="AE175" s="692" t="n"/>
      <c r="AF175" s="692" t="n"/>
      <c r="AG175" s="692" t="n"/>
      <c r="AH175" s="760" t="n"/>
      <c r="AI175" s="108" t="n"/>
      <c r="AJ175" s="108" t="n"/>
      <c r="AK175" s="108" t="n"/>
      <c r="AL175" s="108" t="n"/>
      <c r="AM175" s="108" t="n"/>
      <c r="AN175" s="108" t="n"/>
      <c r="AO175" s="108" t="n"/>
      <c r="AP175" s="108" t="n"/>
      <c r="AQ175" s="108" t="n"/>
      <c r="AR175" s="108" t="n"/>
      <c r="AS175" s="108" t="n"/>
      <c r="AT175" s="108" t="n"/>
      <c r="AU175" s="108" t="n"/>
      <c r="AV175" s="108" t="n"/>
      <c r="AW175" s="108" t="n"/>
      <c r="AX175" s="108" t="n"/>
      <c r="AY175" s="108" t="n"/>
      <c r="AZ175" s="108" t="n"/>
      <c r="BA175" s="108" t="n"/>
      <c r="BB175" s="108" t="n"/>
      <c r="BC175" s="108" t="n"/>
      <c r="BD175" s="108" t="n"/>
      <c r="BE175" s="108" t="n"/>
      <c r="BF175" s="108" t="n"/>
      <c r="BG175" s="108" t="n"/>
      <c r="BH175" s="108" t="n"/>
      <c r="BI175" s="109" t="n"/>
    </row>
    <row r="176" ht="14.1" customHeight="1" s="2">
      <c r="A176" s="692" t="n"/>
      <c r="B176" s="758" t="n"/>
      <c r="C176" s="692" t="n"/>
      <c r="D176" s="692" t="n"/>
      <c r="E176" s="692" t="n"/>
      <c r="F176" s="692" t="n"/>
      <c r="G176" s="692" t="n"/>
      <c r="H176" s="692" t="n"/>
      <c r="I176" s="692" t="n"/>
      <c r="J176" s="692" t="n"/>
      <c r="K176" s="692" t="n"/>
      <c r="L176" s="692" t="n"/>
      <c r="M176" s="692" t="n"/>
      <c r="N176" s="692" t="n"/>
      <c r="O176" s="692" t="n"/>
      <c r="P176" s="692" t="n"/>
      <c r="Q176" s="692" t="n"/>
      <c r="R176" s="692" t="n"/>
      <c r="S176" s="692" t="n"/>
      <c r="T176" s="692" t="n"/>
      <c r="U176" s="692" t="n"/>
      <c r="V176" s="692" t="n"/>
      <c r="W176" s="692" t="n"/>
      <c r="X176" s="692" t="n"/>
      <c r="Y176" s="692" t="n"/>
      <c r="Z176" s="692" t="n"/>
      <c r="AA176" s="692" t="n"/>
      <c r="AB176" s="692" t="n"/>
      <c r="AC176" s="692" t="n"/>
      <c r="AD176" s="692" t="n"/>
      <c r="AE176" s="692" t="n"/>
      <c r="AF176" s="692" t="n"/>
      <c r="AG176" s="692" t="n"/>
      <c r="AH176" s="760" t="n"/>
      <c r="AI176" s="108" t="n"/>
      <c r="AJ176" s="108" t="n"/>
      <c r="AK176" s="108" t="n"/>
      <c r="AL176" s="108" t="n"/>
      <c r="AM176" s="108" t="n"/>
      <c r="AN176" s="108" t="n"/>
      <c r="AO176" s="108" t="n"/>
      <c r="AP176" s="108" t="n"/>
      <c r="AQ176" s="108" t="n"/>
      <c r="AR176" s="108" t="n"/>
      <c r="AS176" s="108" t="n"/>
      <c r="AT176" s="108" t="n"/>
      <c r="AU176" s="108" t="n"/>
      <c r="AV176" s="108" t="n"/>
      <c r="AW176" s="108" t="n"/>
      <c r="AX176" s="108" t="n"/>
      <c r="AY176" s="108" t="n"/>
      <c r="AZ176" s="108" t="n"/>
      <c r="BA176" s="108" t="n"/>
      <c r="BB176" s="108" t="n"/>
      <c r="BC176" s="108" t="n"/>
      <c r="BD176" s="108" t="n"/>
      <c r="BE176" s="108" t="n"/>
      <c r="BF176" s="108" t="n"/>
      <c r="BG176" s="108" t="n"/>
      <c r="BH176" s="108" t="n"/>
      <c r="BI176" s="109" t="n"/>
    </row>
    <row r="177" ht="14.1" customHeight="1" s="2">
      <c r="A177" s="692" t="n"/>
      <c r="B177" s="758" t="n"/>
      <c r="C177" s="692" t="n"/>
      <c r="D177" s="692" t="n"/>
      <c r="E177" s="692" t="n"/>
      <c r="F177" s="692" t="n"/>
      <c r="G177" s="692" t="n"/>
      <c r="H177" s="692" t="n"/>
      <c r="I177" s="692" t="n"/>
      <c r="J177" s="692" t="n"/>
      <c r="K177" s="692" t="n"/>
      <c r="L177" s="692" t="n"/>
      <c r="M177" s="692" t="n"/>
      <c r="N177" s="692" t="n"/>
      <c r="O177" s="692" t="n"/>
      <c r="P177" s="692" t="n"/>
      <c r="Q177" s="692" t="n"/>
      <c r="R177" s="692" t="n"/>
      <c r="S177" s="692" t="n"/>
      <c r="T177" s="692" t="n"/>
      <c r="U177" s="692" t="n"/>
      <c r="V177" s="692" t="n"/>
      <c r="W177" s="692" t="n"/>
      <c r="X177" s="692" t="n"/>
      <c r="Y177" s="692" t="n"/>
      <c r="Z177" s="692" t="n"/>
      <c r="AA177" s="692" t="n"/>
      <c r="AB177" s="692" t="n"/>
      <c r="AC177" s="692" t="n"/>
      <c r="AD177" s="692" t="n"/>
      <c r="AE177" s="692" t="n"/>
      <c r="AF177" s="692" t="n"/>
      <c r="AG177" s="692" t="n"/>
      <c r="AH177" s="760" t="n"/>
      <c r="AI177" s="108" t="n"/>
      <c r="AJ177" s="108" t="n"/>
      <c r="AK177" s="108" t="n"/>
      <c r="AL177" s="108" t="n"/>
      <c r="AM177" s="108" t="n"/>
      <c r="AN177" s="108" t="n"/>
      <c r="AO177" s="108" t="n"/>
      <c r="AP177" s="108" t="n"/>
      <c r="AQ177" s="108" t="n"/>
      <c r="AR177" s="108" t="n"/>
      <c r="AS177" s="108" t="n"/>
      <c r="AT177" s="108" t="n"/>
      <c r="AU177" s="108" t="n"/>
      <c r="AV177" s="108" t="n"/>
      <c r="AW177" s="108" t="n"/>
      <c r="AX177" s="108" t="n"/>
      <c r="AY177" s="108" t="n"/>
      <c r="AZ177" s="108" t="n"/>
      <c r="BA177" s="108" t="n"/>
      <c r="BB177" s="108" t="n"/>
      <c r="BC177" s="108" t="n"/>
      <c r="BD177" s="108" t="n"/>
      <c r="BE177" s="108" t="n"/>
      <c r="BF177" s="108" t="n"/>
      <c r="BG177" s="108" t="n"/>
      <c r="BH177" s="108" t="n"/>
      <c r="BI177" s="109" t="n"/>
    </row>
    <row r="178" ht="14.1" customHeight="1" s="2">
      <c r="A178" s="692" t="n"/>
      <c r="B178" s="758" t="n"/>
      <c r="C178" s="692" t="n"/>
      <c r="D178" s="692" t="n"/>
      <c r="E178" s="692" t="n"/>
      <c r="F178" s="692" t="n"/>
      <c r="G178" s="692" t="n"/>
      <c r="H178" s="692" t="n"/>
      <c r="I178" s="692" t="n"/>
      <c r="J178" s="692" t="n"/>
      <c r="K178" s="692" t="n"/>
      <c r="L178" s="692" t="n"/>
      <c r="M178" s="692" t="n"/>
      <c r="N178" s="692" t="n"/>
      <c r="O178" s="692" t="n"/>
      <c r="P178" s="692" t="n"/>
      <c r="Q178" s="692" t="n"/>
      <c r="R178" s="692" t="n"/>
      <c r="S178" s="692" t="n"/>
      <c r="T178" s="692" t="n"/>
      <c r="U178" s="692" t="n"/>
      <c r="V178" s="692" t="n"/>
      <c r="W178" s="692" t="n"/>
      <c r="X178" s="692" t="n"/>
      <c r="Y178" s="692" t="n"/>
      <c r="Z178" s="692" t="n"/>
      <c r="AA178" s="692" t="n"/>
      <c r="AB178" s="692" t="n"/>
      <c r="AC178" s="692" t="n"/>
      <c r="AD178" s="692" t="n"/>
      <c r="AE178" s="692" t="n"/>
      <c r="AF178" s="692" t="n"/>
      <c r="AG178" s="692" t="n"/>
      <c r="AH178" s="760" t="n"/>
      <c r="AI178" s="108" t="n"/>
      <c r="AJ178" s="108" t="n"/>
      <c r="AK178" s="108" t="n"/>
      <c r="AL178" s="108" t="n"/>
      <c r="AM178" s="108" t="n"/>
      <c r="AN178" s="108" t="n"/>
      <c r="AO178" s="108" t="n"/>
      <c r="AP178" s="108" t="n"/>
      <c r="AQ178" s="108" t="n"/>
      <c r="AR178" s="108" t="n"/>
      <c r="AS178" s="108" t="n"/>
      <c r="AT178" s="108" t="n"/>
      <c r="AU178" s="108" t="n"/>
      <c r="AV178" s="108" t="n"/>
      <c r="AW178" s="108" t="n"/>
      <c r="AX178" s="108" t="n"/>
      <c r="AY178" s="108" t="n"/>
      <c r="AZ178" s="108" t="n"/>
      <c r="BA178" s="108" t="n"/>
      <c r="BB178" s="108" t="n"/>
      <c r="BC178" s="108" t="n"/>
      <c r="BD178" s="108" t="n"/>
      <c r="BE178" s="108" t="n"/>
      <c r="BF178" s="108" t="n"/>
      <c r="BG178" s="108" t="n"/>
      <c r="BH178" s="108" t="n"/>
      <c r="BI178" s="109" t="n"/>
    </row>
    <row r="179" ht="14.1" customHeight="1" s="2">
      <c r="A179" s="692" t="n"/>
      <c r="B179" s="758" t="n"/>
      <c r="C179" s="692" t="n"/>
      <c r="D179" s="692" t="n"/>
      <c r="E179" s="692" t="n"/>
      <c r="F179" s="692" t="n"/>
      <c r="G179" s="692" t="n"/>
      <c r="H179" s="692" t="n"/>
      <c r="I179" s="692" t="n"/>
      <c r="J179" s="692" t="n"/>
      <c r="K179" s="692" t="n"/>
      <c r="L179" s="692" t="n"/>
      <c r="M179" s="692" t="n"/>
      <c r="N179" s="692" t="n"/>
      <c r="O179" s="692" t="n"/>
      <c r="P179" s="692" t="n"/>
      <c r="Q179" s="692" t="n"/>
      <c r="R179" s="692" t="n"/>
      <c r="S179" s="692" t="n"/>
      <c r="T179" s="692" t="n"/>
      <c r="U179" s="692" t="n"/>
      <c r="V179" s="692" t="n"/>
      <c r="W179" s="692" t="n"/>
      <c r="X179" s="692" t="n"/>
      <c r="Y179" s="692" t="n"/>
      <c r="Z179" s="692" t="n"/>
      <c r="AA179" s="692" t="n"/>
      <c r="AB179" s="692" t="n"/>
      <c r="AC179" s="692" t="n"/>
      <c r="AD179" s="692" t="n"/>
      <c r="AE179" s="692" t="n"/>
      <c r="AF179" s="692" t="n"/>
      <c r="AG179" s="692" t="n"/>
      <c r="AH179" s="760" t="n"/>
      <c r="AI179" s="108" t="n"/>
      <c r="AJ179" s="108" t="n"/>
      <c r="AK179" s="108" t="n"/>
      <c r="AL179" s="108" t="n"/>
      <c r="AM179" s="108" t="n"/>
      <c r="AN179" s="108" t="n"/>
      <c r="AO179" s="108" t="n"/>
      <c r="AP179" s="108" t="n"/>
      <c r="AQ179" s="108" t="n"/>
      <c r="AR179" s="108" t="n"/>
      <c r="AS179" s="108" t="n"/>
      <c r="AT179" s="108" t="n"/>
      <c r="AU179" s="108" t="n"/>
      <c r="AV179" s="108" t="n"/>
      <c r="AW179" s="108" t="n"/>
      <c r="AX179" s="108" t="n"/>
      <c r="AY179" s="108" t="n"/>
      <c r="AZ179" s="108" t="n"/>
      <c r="BA179" s="108" t="n"/>
      <c r="BB179" s="108" t="n"/>
      <c r="BC179" s="108" t="n"/>
      <c r="BD179" s="108" t="n"/>
      <c r="BE179" s="108" t="n"/>
      <c r="BF179" s="108" t="n"/>
      <c r="BG179" s="108" t="n"/>
      <c r="BH179" s="108" t="n"/>
      <c r="BI179" s="109" t="n"/>
    </row>
    <row r="180" ht="14.1" customHeight="1" s="2">
      <c r="A180" s="692" t="n"/>
      <c r="B180" s="758" t="n"/>
      <c r="C180" s="692" t="n"/>
      <c r="D180" s="692" t="n"/>
      <c r="E180" s="692" t="n"/>
      <c r="F180" s="692" t="n"/>
      <c r="G180" s="692" t="n"/>
      <c r="H180" s="692" t="n"/>
      <c r="I180" s="692" t="n"/>
      <c r="J180" s="692" t="n"/>
      <c r="K180" s="692" t="n"/>
      <c r="L180" s="692" t="n"/>
      <c r="M180" s="692" t="n"/>
      <c r="N180" s="692" t="n"/>
      <c r="O180" s="692" t="n"/>
      <c r="P180" s="692" t="n"/>
      <c r="Q180" s="692" t="n"/>
      <c r="R180" s="692" t="n"/>
      <c r="S180" s="692" t="n"/>
      <c r="T180" s="692" t="n"/>
      <c r="U180" s="692" t="n"/>
      <c r="V180" s="692" t="n"/>
      <c r="W180" s="692" t="n"/>
      <c r="X180" s="692" t="n"/>
      <c r="Y180" s="692" t="n"/>
      <c r="Z180" s="692" t="n"/>
      <c r="AA180" s="692" t="n"/>
      <c r="AB180" s="692" t="n"/>
      <c r="AC180" s="692" t="n"/>
      <c r="AD180" s="692" t="n"/>
      <c r="AE180" s="692" t="n"/>
      <c r="AF180" s="692" t="n"/>
      <c r="AG180" s="692" t="n"/>
      <c r="AH180" s="760" t="n"/>
      <c r="AI180" s="108" t="n"/>
      <c r="AJ180" s="108" t="n"/>
      <c r="AK180" s="108" t="n"/>
      <c r="AL180" s="108" t="n"/>
      <c r="AM180" s="108" t="n"/>
      <c r="AN180" s="108" t="n"/>
      <c r="AO180" s="108" t="n"/>
      <c r="AP180" s="108" t="n"/>
      <c r="AQ180" s="108" t="n"/>
      <c r="AR180" s="108" t="n"/>
      <c r="AS180" s="108" t="n"/>
      <c r="AT180" s="108" t="n"/>
      <c r="AU180" s="108" t="n"/>
      <c r="AV180" s="108" t="n"/>
      <c r="AW180" s="108" t="n"/>
      <c r="AX180" s="108" t="n"/>
      <c r="AY180" s="108" t="n"/>
      <c r="AZ180" s="108" t="n"/>
      <c r="BA180" s="108" t="n"/>
      <c r="BB180" s="108" t="n"/>
      <c r="BC180" s="108" t="n"/>
      <c r="BD180" s="108" t="n"/>
      <c r="BE180" s="108" t="n"/>
      <c r="BF180" s="108" t="n"/>
      <c r="BG180" s="108" t="n"/>
      <c r="BH180" s="108" t="n"/>
      <c r="BI180" s="109" t="n"/>
    </row>
    <row r="181" ht="14.1" customHeight="1" s="2">
      <c r="A181" s="692" t="n"/>
      <c r="B181" s="758" t="n"/>
      <c r="C181" s="692" t="n"/>
      <c r="D181" s="692" t="n"/>
      <c r="E181" s="692" t="n"/>
      <c r="F181" s="692" t="n"/>
      <c r="G181" s="692" t="n"/>
      <c r="H181" s="692" t="n"/>
      <c r="I181" s="692" t="n"/>
      <c r="J181" s="692" t="n"/>
      <c r="K181" s="692" t="n"/>
      <c r="L181" s="692" t="n"/>
      <c r="M181" s="692" t="n"/>
      <c r="N181" s="692" t="n"/>
      <c r="O181" s="692" t="n"/>
      <c r="P181" s="692" t="n"/>
      <c r="Q181" s="692" t="n"/>
      <c r="R181" s="692" t="n"/>
      <c r="S181" s="692" t="n"/>
      <c r="T181" s="692" t="n"/>
      <c r="U181" s="692" t="n"/>
      <c r="V181" s="692" t="n"/>
      <c r="W181" s="692" t="n"/>
      <c r="X181" s="692" t="n"/>
      <c r="Y181" s="692" t="n"/>
      <c r="Z181" s="692" t="n"/>
      <c r="AA181" s="692" t="n"/>
      <c r="AB181" s="692" t="n"/>
      <c r="AC181" s="692" t="n"/>
      <c r="AD181" s="692" t="n"/>
      <c r="AE181" s="692" t="n"/>
      <c r="AF181" s="692" t="n"/>
      <c r="AG181" s="692" t="n"/>
      <c r="AH181" s="760" t="n"/>
      <c r="AI181" s="108" t="n"/>
      <c r="AJ181" s="108" t="n"/>
      <c r="AK181" s="108" t="n"/>
      <c r="AL181" s="108" t="n"/>
      <c r="AM181" s="108" t="n"/>
      <c r="AN181" s="108" t="n"/>
      <c r="AO181" s="108" t="n"/>
      <c r="AP181" s="108" t="n"/>
      <c r="AQ181" s="108" t="n"/>
      <c r="AR181" s="108" t="n"/>
      <c r="AS181" s="108" t="n"/>
      <c r="AT181" s="108" t="n"/>
      <c r="AU181" s="108" t="n"/>
      <c r="AV181" s="108" t="n"/>
      <c r="AW181" s="108" t="n"/>
      <c r="AX181" s="108" t="n"/>
      <c r="AY181" s="108" t="n"/>
      <c r="AZ181" s="108" t="n"/>
      <c r="BA181" s="108" t="n"/>
      <c r="BB181" s="108" t="n"/>
      <c r="BC181" s="108" t="n"/>
      <c r="BD181" s="108" t="n"/>
      <c r="BE181" s="108" t="n"/>
      <c r="BF181" s="108" t="n"/>
      <c r="BG181" s="108" t="n"/>
      <c r="BH181" s="108" t="n"/>
      <c r="BI181" s="109" t="n"/>
    </row>
    <row r="182" ht="14.1" customHeight="1" s="2">
      <c r="A182" s="692" t="n"/>
      <c r="B182" s="758" t="n"/>
      <c r="C182" s="692" t="n"/>
      <c r="D182" s="692" t="n"/>
      <c r="E182" s="692" t="n"/>
      <c r="F182" s="692" t="n"/>
      <c r="G182" s="692" t="n"/>
      <c r="H182" s="692" t="n"/>
      <c r="I182" s="692" t="n"/>
      <c r="J182" s="692" t="n"/>
      <c r="K182" s="692" t="n"/>
      <c r="L182" s="692" t="n"/>
      <c r="M182" s="692" t="n"/>
      <c r="N182" s="692" t="n"/>
      <c r="O182" s="692" t="n"/>
      <c r="P182" s="692" t="n"/>
      <c r="Q182" s="692" t="n"/>
      <c r="R182" s="692" t="n"/>
      <c r="S182" s="692" t="n"/>
      <c r="T182" s="692" t="n"/>
      <c r="U182" s="692" t="n"/>
      <c r="V182" s="692" t="n"/>
      <c r="W182" s="692" t="n"/>
      <c r="X182" s="692" t="n"/>
      <c r="Y182" s="692" t="n"/>
      <c r="Z182" s="692" t="n"/>
      <c r="AA182" s="692" t="n"/>
      <c r="AB182" s="692" t="n"/>
      <c r="AC182" s="692" t="n"/>
      <c r="AD182" s="692" t="n"/>
      <c r="AE182" s="692" t="n"/>
      <c r="AF182" s="692" t="n"/>
      <c r="AG182" s="692" t="n"/>
      <c r="AH182" s="760" t="n"/>
      <c r="AI182" s="108" t="n"/>
      <c r="AJ182" s="108" t="n"/>
      <c r="AK182" s="108" t="n"/>
      <c r="AL182" s="108" t="n"/>
      <c r="AM182" s="108" t="n"/>
      <c r="AN182" s="108" t="n"/>
      <c r="AO182" s="108" t="n"/>
      <c r="AP182" s="108" t="n"/>
      <c r="AQ182" s="108" t="n"/>
      <c r="AR182" s="108" t="n"/>
      <c r="AS182" s="108" t="n"/>
      <c r="AT182" s="108" t="n"/>
      <c r="AU182" s="108" t="n"/>
      <c r="AV182" s="108" t="n"/>
      <c r="AW182" s="108" t="n"/>
      <c r="AX182" s="108" t="n"/>
      <c r="AY182" s="108" t="n"/>
      <c r="AZ182" s="108" t="n"/>
      <c r="BA182" s="108" t="n"/>
      <c r="BB182" s="108" t="n"/>
      <c r="BC182" s="108" t="n"/>
      <c r="BD182" s="108" t="n"/>
      <c r="BE182" s="108" t="n"/>
      <c r="BF182" s="108" t="n"/>
      <c r="BG182" s="108" t="n"/>
      <c r="BH182" s="108" t="n"/>
      <c r="BI182" s="109" t="n"/>
    </row>
    <row r="183" ht="14.1" customHeight="1" s="2">
      <c r="A183" s="692" t="n"/>
      <c r="B183" s="758" t="n"/>
      <c r="C183" s="692" t="n"/>
      <c r="D183" s="692" t="n"/>
      <c r="E183" s="692" t="n"/>
      <c r="F183" s="692" t="n"/>
      <c r="G183" s="692" t="n"/>
      <c r="H183" s="692" t="n"/>
      <c r="I183" s="692" t="n"/>
      <c r="J183" s="692" t="n"/>
      <c r="K183" s="692" t="n"/>
      <c r="L183" s="692" t="n"/>
      <c r="M183" s="692" t="n"/>
      <c r="N183" s="692" t="n"/>
      <c r="O183" s="692" t="n"/>
      <c r="P183" s="692" t="n"/>
      <c r="Q183" s="692" t="n"/>
      <c r="R183" s="692" t="n"/>
      <c r="S183" s="692" t="n"/>
      <c r="T183" s="692" t="n"/>
      <c r="U183" s="692" t="n"/>
      <c r="V183" s="692" t="n"/>
      <c r="W183" s="692" t="n"/>
      <c r="X183" s="692" t="n"/>
      <c r="Y183" s="692" t="n"/>
      <c r="Z183" s="692" t="n"/>
      <c r="AA183" s="692" t="n"/>
      <c r="AB183" s="692" t="n"/>
      <c r="AC183" s="692" t="n"/>
      <c r="AD183" s="692" t="n"/>
      <c r="AE183" s="692" t="n"/>
      <c r="AF183" s="692" t="n"/>
      <c r="AG183" s="692" t="n"/>
      <c r="AH183" s="760" t="n"/>
      <c r="AI183" s="108" t="n"/>
      <c r="AJ183" s="108" t="n"/>
      <c r="AK183" s="108" t="n"/>
      <c r="AL183" s="108" t="n"/>
      <c r="AM183" s="108" t="n"/>
      <c r="AN183" s="108" t="n"/>
      <c r="AO183" s="108" t="n"/>
      <c r="AP183" s="108" t="n"/>
      <c r="AQ183" s="108" t="n"/>
      <c r="AR183" s="108" t="n"/>
      <c r="AS183" s="108" t="n"/>
      <c r="AT183" s="108" t="n"/>
      <c r="AU183" s="108" t="n"/>
      <c r="AV183" s="108" t="n"/>
      <c r="AW183" s="108" t="n"/>
      <c r="AX183" s="108" t="n"/>
      <c r="AY183" s="108" t="n"/>
      <c r="AZ183" s="108" t="n"/>
      <c r="BA183" s="108" t="n"/>
      <c r="BB183" s="108" t="n"/>
      <c r="BC183" s="108" t="n"/>
      <c r="BD183" s="108" t="n"/>
      <c r="BE183" s="108" t="n"/>
      <c r="BF183" s="108" t="n"/>
      <c r="BG183" s="108" t="n"/>
      <c r="BH183" s="108" t="n"/>
      <c r="BI183" s="109" t="n"/>
    </row>
    <row r="184" ht="14.1" customHeight="1" s="2">
      <c r="A184" s="692" t="n"/>
      <c r="B184" s="758" t="n"/>
      <c r="C184" s="692" t="n"/>
      <c r="D184" s="692" t="n"/>
      <c r="E184" s="692" t="n"/>
      <c r="F184" s="692" t="n"/>
      <c r="G184" s="692" t="n"/>
      <c r="H184" s="692" t="n"/>
      <c r="I184" s="692" t="n"/>
      <c r="J184" s="692" t="n"/>
      <c r="K184" s="692" t="n"/>
      <c r="L184" s="692" t="n"/>
      <c r="M184" s="692" t="n"/>
      <c r="N184" s="692" t="n"/>
      <c r="O184" s="692" t="n"/>
      <c r="P184" s="692" t="n"/>
      <c r="Q184" s="692" t="n"/>
      <c r="R184" s="692" t="n"/>
      <c r="S184" s="692" t="n"/>
      <c r="T184" s="692" t="n"/>
      <c r="U184" s="692" t="n"/>
      <c r="V184" s="692" t="n"/>
      <c r="W184" s="692" t="n"/>
      <c r="X184" s="692" t="n"/>
      <c r="Y184" s="692" t="n"/>
      <c r="Z184" s="692" t="n"/>
      <c r="AA184" s="692" t="n"/>
      <c r="AB184" s="692" t="n"/>
      <c r="AC184" s="692" t="n"/>
      <c r="AD184" s="692" t="n"/>
      <c r="AE184" s="692" t="n"/>
      <c r="AF184" s="692" t="n"/>
      <c r="AG184" s="692" t="n"/>
      <c r="AH184" s="760" t="n"/>
      <c r="AI184" s="108" t="n"/>
      <c r="AJ184" s="108" t="n"/>
      <c r="AK184" s="108" t="n"/>
      <c r="AL184" s="108" t="n"/>
      <c r="AM184" s="108" t="n"/>
      <c r="AN184" s="108" t="n"/>
      <c r="AO184" s="108" t="n"/>
      <c r="AP184" s="108" t="n"/>
      <c r="AQ184" s="108" t="n"/>
      <c r="AR184" s="108" t="n"/>
      <c r="AS184" s="108" t="n"/>
      <c r="AT184" s="108" t="n"/>
      <c r="AU184" s="108" t="n"/>
      <c r="AV184" s="108" t="n"/>
      <c r="AW184" s="108" t="n"/>
      <c r="AX184" s="108" t="n"/>
      <c r="AY184" s="108" t="n"/>
      <c r="AZ184" s="108" t="n"/>
      <c r="BA184" s="108" t="n"/>
      <c r="BB184" s="108" t="n"/>
      <c r="BC184" s="108" t="n"/>
      <c r="BD184" s="108" t="n"/>
      <c r="BE184" s="108" t="n"/>
      <c r="BF184" s="108" t="n"/>
      <c r="BG184" s="108" t="n"/>
      <c r="BH184" s="108" t="n"/>
      <c r="BI184" s="109" t="n"/>
    </row>
    <row r="185" ht="14.1" customHeight="1" s="2">
      <c r="A185" s="692" t="n"/>
      <c r="B185" s="758" t="n"/>
      <c r="C185" s="692" t="n"/>
      <c r="D185" s="692" t="n"/>
      <c r="E185" s="692" t="n"/>
      <c r="F185" s="692" t="n"/>
      <c r="G185" s="692" t="n"/>
      <c r="H185" s="692" t="n"/>
      <c r="I185" s="692" t="n"/>
      <c r="J185" s="692" t="n"/>
      <c r="K185" s="692" t="n"/>
      <c r="L185" s="692" t="n"/>
      <c r="M185" s="692" t="n"/>
      <c r="N185" s="692" t="n"/>
      <c r="O185" s="692" t="n"/>
      <c r="P185" s="692" t="n"/>
      <c r="Q185" s="692" t="n"/>
      <c r="R185" s="692" t="n"/>
      <c r="S185" s="692" t="n"/>
      <c r="T185" s="692" t="n"/>
      <c r="U185" s="692" t="n"/>
      <c r="V185" s="692" t="n"/>
      <c r="W185" s="692" t="n"/>
      <c r="X185" s="692" t="n"/>
      <c r="Y185" s="692" t="n"/>
      <c r="Z185" s="692" t="n"/>
      <c r="AA185" s="692" t="n"/>
      <c r="AB185" s="692" t="n"/>
      <c r="AC185" s="692" t="n"/>
      <c r="AD185" s="692" t="n"/>
      <c r="AE185" s="692" t="n"/>
      <c r="AF185" s="692" t="n"/>
      <c r="AG185" s="692" t="n"/>
      <c r="AH185" s="760" t="n"/>
      <c r="AI185" s="108" t="n"/>
      <c r="AJ185" s="108" t="n"/>
      <c r="AK185" s="108" t="n"/>
      <c r="AL185" s="108" t="n"/>
      <c r="AM185" s="108" t="n"/>
      <c r="AN185" s="108" t="n"/>
      <c r="AO185" s="108" t="n"/>
      <c r="AP185" s="108" t="n"/>
      <c r="AQ185" s="108" t="n"/>
      <c r="AR185" s="108" t="n"/>
      <c r="AS185" s="108" t="n"/>
      <c r="AT185" s="108" t="n"/>
      <c r="AU185" s="108" t="n"/>
      <c r="AV185" s="108" t="n"/>
      <c r="AW185" s="108" t="n"/>
      <c r="AX185" s="108" t="n"/>
      <c r="AY185" s="108" t="n"/>
      <c r="AZ185" s="108" t="n"/>
      <c r="BA185" s="108" t="n"/>
      <c r="BB185" s="108" t="n"/>
      <c r="BC185" s="108" t="n"/>
      <c r="BD185" s="108" t="n"/>
      <c r="BE185" s="108" t="n"/>
      <c r="BF185" s="108" t="n"/>
      <c r="BG185" s="108" t="n"/>
      <c r="BH185" s="108" t="n"/>
      <c r="BI185" s="109" t="n"/>
    </row>
    <row r="186" ht="14.1" customHeight="1" s="2">
      <c r="A186" s="692" t="n"/>
      <c r="B186" s="758" t="n"/>
      <c r="C186" s="692" t="n"/>
      <c r="D186" s="692" t="n"/>
      <c r="E186" s="692" t="n"/>
      <c r="F186" s="692" t="n"/>
      <c r="G186" s="692" t="n"/>
      <c r="H186" s="692" t="n"/>
      <c r="I186" s="692" t="n"/>
      <c r="J186" s="692" t="n"/>
      <c r="K186" s="692" t="n"/>
      <c r="L186" s="692" t="n"/>
      <c r="M186" s="692" t="n"/>
      <c r="N186" s="692" t="n"/>
      <c r="O186" s="692" t="n"/>
      <c r="P186" s="692" t="n"/>
      <c r="Q186" s="692" t="n"/>
      <c r="R186" s="692" t="n"/>
      <c r="S186" s="692" t="n"/>
      <c r="T186" s="692" t="n"/>
      <c r="U186" s="692" t="n"/>
      <c r="V186" s="692" t="n"/>
      <c r="W186" s="692" t="n"/>
      <c r="X186" s="692" t="n"/>
      <c r="Y186" s="692" t="n"/>
      <c r="Z186" s="692" t="n"/>
      <c r="AA186" s="692" t="n"/>
      <c r="AB186" s="692" t="n"/>
      <c r="AC186" s="692" t="n"/>
      <c r="AD186" s="692" t="n"/>
      <c r="AE186" s="692" t="n"/>
      <c r="AF186" s="692" t="n"/>
      <c r="AG186" s="692" t="n"/>
      <c r="AH186" s="760" t="n"/>
      <c r="AI186" s="108" t="n"/>
      <c r="AJ186" s="108" t="n"/>
      <c r="AK186" s="108" t="n"/>
      <c r="AL186" s="108" t="n"/>
      <c r="AM186" s="108" t="n"/>
      <c r="AN186" s="108" t="n"/>
      <c r="AO186" s="108" t="n"/>
      <c r="AP186" s="108" t="n"/>
      <c r="AQ186" s="108" t="n"/>
      <c r="AR186" s="108" t="n"/>
      <c r="AS186" s="108" t="n"/>
      <c r="AT186" s="108" t="n"/>
      <c r="AU186" s="108" t="n"/>
      <c r="AV186" s="108" t="n"/>
      <c r="AW186" s="108" t="n"/>
      <c r="AX186" s="108" t="n"/>
      <c r="AY186" s="108" t="n"/>
      <c r="AZ186" s="108" t="n"/>
      <c r="BA186" s="108" t="n"/>
      <c r="BB186" s="108" t="n"/>
      <c r="BC186" s="108" t="n"/>
      <c r="BD186" s="108" t="n"/>
      <c r="BE186" s="108" t="n"/>
      <c r="BF186" s="108" t="n"/>
      <c r="BG186" s="108" t="n"/>
      <c r="BH186" s="108" t="n"/>
      <c r="BI186" s="109" t="n"/>
    </row>
    <row r="187" ht="14.1" customHeight="1" s="2">
      <c r="A187" s="692" t="n"/>
      <c r="B187" s="758" t="n"/>
      <c r="C187" s="692" t="n"/>
      <c r="D187" s="692" t="n"/>
      <c r="E187" s="692" t="n"/>
      <c r="F187" s="692" t="n"/>
      <c r="G187" s="692" t="n"/>
      <c r="H187" s="692" t="n"/>
      <c r="I187" s="692" t="n"/>
      <c r="J187" s="692" t="n"/>
      <c r="K187" s="692" t="n"/>
      <c r="L187" s="692" t="n"/>
      <c r="M187" s="692" t="n"/>
      <c r="N187" s="692" t="n"/>
      <c r="O187" s="692" t="n"/>
      <c r="P187" s="692" t="n"/>
      <c r="Q187" s="692" t="n"/>
      <c r="R187" s="692" t="n"/>
      <c r="S187" s="692" t="n"/>
      <c r="T187" s="692" t="n"/>
      <c r="U187" s="692" t="n"/>
      <c r="V187" s="692" t="n"/>
      <c r="W187" s="692" t="n"/>
      <c r="X187" s="692" t="n"/>
      <c r="Y187" s="692" t="n"/>
      <c r="Z187" s="692" t="n"/>
      <c r="AA187" s="692" t="n"/>
      <c r="AB187" s="692" t="n"/>
      <c r="AC187" s="692" t="n"/>
      <c r="AD187" s="692" t="n"/>
      <c r="AE187" s="692" t="n"/>
      <c r="AF187" s="692" t="n"/>
      <c r="AG187" s="692" t="n"/>
      <c r="AH187" s="760" t="n"/>
      <c r="AI187" s="108" t="n"/>
      <c r="AJ187" s="108" t="n"/>
      <c r="AK187" s="108" t="n"/>
      <c r="AL187" s="108" t="n"/>
      <c r="AM187" s="108" t="n"/>
      <c r="AN187" s="108" t="n"/>
      <c r="AO187" s="108" t="n"/>
      <c r="AP187" s="108" t="n"/>
      <c r="AQ187" s="108" t="n"/>
      <c r="AR187" s="108" t="n"/>
      <c r="AS187" s="108" t="n"/>
      <c r="AT187" s="108" t="n"/>
      <c r="AU187" s="108" t="n"/>
      <c r="AV187" s="108" t="n"/>
      <c r="AW187" s="108" t="n"/>
      <c r="AX187" s="108" t="n"/>
      <c r="AY187" s="108" t="n"/>
      <c r="AZ187" s="108" t="n"/>
      <c r="BA187" s="108" t="n"/>
      <c r="BB187" s="108" t="n"/>
      <c r="BC187" s="108" t="n"/>
      <c r="BD187" s="108" t="n"/>
      <c r="BE187" s="108" t="n"/>
      <c r="BF187" s="108" t="n"/>
      <c r="BG187" s="108" t="n"/>
      <c r="BH187" s="108" t="n"/>
      <c r="BI187" s="109" t="n"/>
    </row>
    <row r="188" ht="14.1" customHeight="1" s="2">
      <c r="A188" s="692" t="n"/>
      <c r="B188" s="758" t="n"/>
      <c r="C188" s="692" t="n"/>
      <c r="D188" s="692" t="n"/>
      <c r="E188" s="692" t="n"/>
      <c r="F188" s="692" t="n"/>
      <c r="G188" s="692" t="n"/>
      <c r="H188" s="692" t="n"/>
      <c r="I188" s="692" t="n"/>
      <c r="J188" s="692" t="n"/>
      <c r="K188" s="692" t="n"/>
      <c r="L188" s="692" t="n"/>
      <c r="M188" s="692" t="n"/>
      <c r="N188" s="692" t="n"/>
      <c r="O188" s="692" t="n"/>
      <c r="P188" s="692" t="n"/>
      <c r="Q188" s="692" t="n"/>
      <c r="R188" s="692" t="n"/>
      <c r="S188" s="692" t="n"/>
      <c r="T188" s="692" t="n"/>
      <c r="U188" s="692" t="n"/>
      <c r="V188" s="692" t="n"/>
      <c r="W188" s="692" t="n"/>
      <c r="X188" s="692" t="n"/>
      <c r="Y188" s="692" t="n"/>
      <c r="Z188" s="692" t="n"/>
      <c r="AA188" s="692" t="n"/>
      <c r="AB188" s="692" t="n"/>
      <c r="AC188" s="692" t="n"/>
      <c r="AD188" s="692" t="n"/>
      <c r="AE188" s="692" t="n"/>
      <c r="AF188" s="692" t="n"/>
      <c r="AG188" s="692" t="n"/>
      <c r="AH188" s="760" t="n"/>
      <c r="AI188" s="108" t="n"/>
      <c r="AJ188" s="108" t="n"/>
      <c r="AK188" s="108" t="n"/>
      <c r="AL188" s="108" t="n"/>
      <c r="AM188" s="108" t="n"/>
      <c r="AN188" s="108" t="n"/>
      <c r="AO188" s="108" t="n"/>
      <c r="AP188" s="108" t="n"/>
      <c r="AQ188" s="108" t="n"/>
      <c r="AR188" s="108" t="n"/>
      <c r="AS188" s="108" t="n"/>
      <c r="AT188" s="108" t="n"/>
      <c r="AU188" s="108" t="n"/>
      <c r="AV188" s="108" t="n"/>
      <c r="AW188" s="108" t="n"/>
      <c r="AX188" s="108" t="n"/>
      <c r="AY188" s="108" t="n"/>
      <c r="AZ188" s="108" t="n"/>
      <c r="BA188" s="108" t="n"/>
      <c r="BB188" s="108" t="n"/>
      <c r="BC188" s="108" t="n"/>
      <c r="BD188" s="108" t="n"/>
      <c r="BE188" s="108" t="n"/>
      <c r="BF188" s="108" t="n"/>
      <c r="BG188" s="108" t="n"/>
      <c r="BH188" s="108" t="n"/>
      <c r="BI188" s="109" t="n"/>
    </row>
    <row r="189" ht="14.1" customHeight="1" s="2">
      <c r="A189" s="692" t="n"/>
      <c r="B189" s="758" t="n"/>
      <c r="C189" s="692" t="n"/>
      <c r="D189" s="692" t="n"/>
      <c r="E189" s="692" t="n"/>
      <c r="F189" s="692" t="n"/>
      <c r="G189" s="692" t="n"/>
      <c r="H189" s="692" t="n"/>
      <c r="I189" s="692" t="n"/>
      <c r="J189" s="692" t="n"/>
      <c r="K189" s="692" t="n"/>
      <c r="L189" s="692" t="n"/>
      <c r="M189" s="692" t="n"/>
      <c r="N189" s="692" t="n"/>
      <c r="O189" s="692" t="n"/>
      <c r="P189" s="692" t="n"/>
      <c r="Q189" s="692" t="n"/>
      <c r="R189" s="692" t="n"/>
      <c r="S189" s="692" t="n"/>
      <c r="T189" s="692" t="n"/>
      <c r="U189" s="692" t="n"/>
      <c r="V189" s="692" t="n"/>
      <c r="W189" s="692" t="n"/>
      <c r="X189" s="692" t="n"/>
      <c r="Y189" s="692" t="n"/>
      <c r="Z189" s="692" t="n"/>
      <c r="AA189" s="692" t="n"/>
      <c r="AB189" s="692" t="n"/>
      <c r="AC189" s="692" t="n"/>
      <c r="AD189" s="692" t="n"/>
      <c r="AE189" s="692" t="n"/>
      <c r="AF189" s="692" t="n"/>
      <c r="AG189" s="692" t="n"/>
      <c r="AH189" s="760" t="n"/>
      <c r="AI189" s="108" t="n"/>
      <c r="AJ189" s="108" t="n"/>
      <c r="AK189" s="108" t="n"/>
      <c r="AL189" s="108" t="n"/>
      <c r="AM189" s="108" t="n"/>
      <c r="AN189" s="108" t="n"/>
      <c r="AO189" s="108" t="n"/>
      <c r="AP189" s="108" t="n"/>
      <c r="AQ189" s="108" t="n"/>
      <c r="AR189" s="108" t="n"/>
      <c r="AS189" s="108" t="n"/>
      <c r="AT189" s="108" t="n"/>
      <c r="AU189" s="108" t="n"/>
      <c r="AV189" s="108" t="n"/>
      <c r="AW189" s="108" t="n"/>
      <c r="AX189" s="108" t="n"/>
      <c r="AY189" s="108" t="n"/>
      <c r="AZ189" s="108" t="n"/>
      <c r="BA189" s="108" t="n"/>
      <c r="BB189" s="108" t="n"/>
      <c r="BC189" s="108" t="n"/>
      <c r="BD189" s="108" t="n"/>
      <c r="BE189" s="108" t="n"/>
      <c r="BF189" s="108" t="n"/>
      <c r="BG189" s="108" t="n"/>
      <c r="BH189" s="108" t="n"/>
      <c r="BI189" s="109" t="n"/>
    </row>
    <row r="190" ht="14.1" customHeight="1" s="2">
      <c r="A190" s="692" t="n"/>
      <c r="B190" s="758" t="n"/>
      <c r="C190" s="692" t="n"/>
      <c r="D190" s="692" t="n"/>
      <c r="E190" s="692" t="n"/>
      <c r="F190" s="692" t="n"/>
      <c r="G190" s="692" t="n"/>
      <c r="H190" s="692" t="n"/>
      <c r="I190" s="692" t="n"/>
      <c r="J190" s="692" t="n"/>
      <c r="K190" s="692" t="n"/>
      <c r="L190" s="692" t="n"/>
      <c r="M190" s="692" t="n"/>
      <c r="N190" s="692" t="n"/>
      <c r="O190" s="692" t="n"/>
      <c r="P190" s="692" t="n"/>
      <c r="Q190" s="692" t="n"/>
      <c r="R190" s="692" t="n"/>
      <c r="S190" s="692" t="n"/>
      <c r="T190" s="692" t="n"/>
      <c r="U190" s="692" t="n"/>
      <c r="V190" s="692" t="n"/>
      <c r="W190" s="692" t="n"/>
      <c r="X190" s="692" t="n"/>
      <c r="Y190" s="692" t="n"/>
      <c r="Z190" s="692" t="n"/>
      <c r="AA190" s="692" t="n"/>
      <c r="AB190" s="692" t="n"/>
      <c r="AC190" s="692" t="n"/>
      <c r="AD190" s="692" t="n"/>
      <c r="AE190" s="692" t="n"/>
      <c r="AF190" s="692" t="n"/>
      <c r="AG190" s="692" t="n"/>
      <c r="AH190" s="760" t="n"/>
      <c r="AI190" s="108" t="n"/>
      <c r="AJ190" s="108" t="n"/>
      <c r="AK190" s="108" t="n"/>
      <c r="AL190" s="108" t="n"/>
      <c r="AM190" s="108" t="n"/>
      <c r="AN190" s="108" t="n"/>
      <c r="AO190" s="108" t="n"/>
      <c r="AP190" s="108" t="n"/>
      <c r="AQ190" s="108" t="n"/>
      <c r="AR190" s="108" t="n"/>
      <c r="AS190" s="108" t="n"/>
      <c r="AT190" s="108" t="n"/>
      <c r="AU190" s="108" t="n"/>
      <c r="AV190" s="108" t="n"/>
      <c r="AW190" s="108" t="n"/>
      <c r="AX190" s="108" t="n"/>
      <c r="AY190" s="108" t="n"/>
      <c r="AZ190" s="108" t="n"/>
      <c r="BA190" s="108" t="n"/>
      <c r="BB190" s="108" t="n"/>
      <c r="BC190" s="108" t="n"/>
      <c r="BD190" s="108" t="n"/>
      <c r="BE190" s="108" t="n"/>
      <c r="BF190" s="108" t="n"/>
      <c r="BG190" s="108" t="n"/>
      <c r="BH190" s="108" t="n"/>
      <c r="BI190" s="109" t="n"/>
    </row>
    <row r="191" ht="14.1" customHeight="1" s="2">
      <c r="A191" s="692" t="n"/>
      <c r="B191" s="758" t="n"/>
      <c r="C191" s="692" t="n"/>
      <c r="D191" s="692" t="n"/>
      <c r="E191" s="692" t="n"/>
      <c r="F191" s="692" t="n"/>
      <c r="G191" s="692" t="n"/>
      <c r="H191" s="692" t="n"/>
      <c r="I191" s="692" t="n"/>
      <c r="J191" s="692" t="n"/>
      <c r="K191" s="692" t="n"/>
      <c r="L191" s="692" t="n"/>
      <c r="M191" s="692" t="n"/>
      <c r="N191" s="692" t="n"/>
      <c r="O191" s="692" t="n"/>
      <c r="P191" s="692" t="n"/>
      <c r="Q191" s="692" t="n"/>
      <c r="R191" s="692" t="n"/>
      <c r="S191" s="692" t="n"/>
      <c r="T191" s="692" t="n"/>
      <c r="U191" s="692" t="n"/>
      <c r="V191" s="692" t="n"/>
      <c r="W191" s="692" t="n"/>
      <c r="X191" s="692" t="n"/>
      <c r="Y191" s="692" t="n"/>
      <c r="Z191" s="692" t="n"/>
      <c r="AA191" s="692" t="n"/>
      <c r="AB191" s="692" t="n"/>
      <c r="AC191" s="692" t="n"/>
      <c r="AD191" s="692" t="n"/>
      <c r="AE191" s="692" t="n"/>
      <c r="AF191" s="692" t="n"/>
      <c r="AG191" s="692" t="n"/>
      <c r="AH191" s="760" t="n"/>
      <c r="AI191" s="108" t="n"/>
      <c r="AJ191" s="108" t="n"/>
      <c r="AK191" s="108" t="n"/>
      <c r="AL191" s="108" t="n"/>
      <c r="AM191" s="108" t="n"/>
      <c r="AN191" s="108" t="n"/>
      <c r="AO191" s="108" t="n"/>
      <c r="AP191" s="108" t="n"/>
      <c r="AQ191" s="108" t="n"/>
      <c r="AR191" s="108" t="n"/>
      <c r="AS191" s="108" t="n"/>
      <c r="AT191" s="108" t="n"/>
      <c r="AU191" s="108" t="n"/>
      <c r="AV191" s="108" t="n"/>
      <c r="AW191" s="108" t="n"/>
      <c r="AX191" s="108" t="n"/>
      <c r="AY191" s="108" t="n"/>
      <c r="AZ191" s="108" t="n"/>
      <c r="BA191" s="108" t="n"/>
      <c r="BB191" s="108" t="n"/>
      <c r="BC191" s="108" t="n"/>
      <c r="BD191" s="108" t="n"/>
      <c r="BE191" s="108" t="n"/>
      <c r="BF191" s="108" t="n"/>
      <c r="BG191" s="108" t="n"/>
      <c r="BH191" s="108" t="n"/>
      <c r="BI191" s="109" t="n"/>
    </row>
    <row r="192" ht="14.1" customHeight="1" s="2">
      <c r="A192" s="692" t="n"/>
      <c r="B192" s="758" t="n"/>
      <c r="C192" s="692" t="n"/>
      <c r="D192" s="692" t="n"/>
      <c r="E192" s="692" t="n"/>
      <c r="F192" s="692" t="n"/>
      <c r="G192" s="692" t="n"/>
      <c r="H192" s="692" t="n"/>
      <c r="I192" s="692" t="n"/>
      <c r="J192" s="692" t="n"/>
      <c r="K192" s="692" t="n"/>
      <c r="L192" s="692" t="n"/>
      <c r="M192" s="692" t="n"/>
      <c r="N192" s="692" t="n"/>
      <c r="O192" s="692" t="n"/>
      <c r="P192" s="692" t="n"/>
      <c r="Q192" s="692" t="n"/>
      <c r="R192" s="692" t="n"/>
      <c r="S192" s="692" t="n"/>
      <c r="T192" s="692" t="n"/>
      <c r="U192" s="692" t="n"/>
      <c r="V192" s="692" t="n"/>
      <c r="W192" s="692" t="n"/>
      <c r="X192" s="692" t="n"/>
      <c r="Y192" s="692" t="n"/>
      <c r="Z192" s="692" t="n"/>
      <c r="AA192" s="692" t="n"/>
      <c r="AB192" s="692" t="n"/>
      <c r="AC192" s="692" t="n"/>
      <c r="AD192" s="692" t="n"/>
      <c r="AE192" s="692" t="n"/>
      <c r="AF192" s="692" t="n"/>
      <c r="AG192" s="692" t="n"/>
      <c r="AH192" s="760" t="n"/>
      <c r="AI192" s="108" t="n"/>
      <c r="AJ192" s="108" t="n"/>
      <c r="AK192" s="108" t="n"/>
      <c r="AL192" s="108" t="n"/>
      <c r="AM192" s="108" t="n"/>
      <c r="AN192" s="108" t="n"/>
      <c r="AO192" s="108" t="n"/>
      <c r="AP192" s="108" t="n"/>
      <c r="AQ192" s="108" t="n"/>
      <c r="AR192" s="108" t="n"/>
      <c r="AS192" s="108" t="n"/>
      <c r="AT192" s="108" t="n"/>
      <c r="AU192" s="108" t="n"/>
      <c r="AV192" s="108" t="n"/>
      <c r="AW192" s="108" t="n"/>
      <c r="AX192" s="108" t="n"/>
      <c r="AY192" s="108" t="n"/>
      <c r="AZ192" s="108" t="n"/>
      <c r="BA192" s="108" t="n"/>
      <c r="BB192" s="108" t="n"/>
      <c r="BC192" s="108" t="n"/>
      <c r="BD192" s="108" t="n"/>
      <c r="BE192" s="108" t="n"/>
      <c r="BF192" s="108" t="n"/>
      <c r="BG192" s="108" t="n"/>
      <c r="BH192" s="108" t="n"/>
      <c r="BI192" s="109" t="n"/>
    </row>
    <row r="193" ht="14.1" customHeight="1" s="2">
      <c r="A193" s="692" t="n"/>
      <c r="B193" s="758" t="n"/>
      <c r="C193" s="692" t="n"/>
      <c r="D193" s="692" t="n"/>
      <c r="E193" s="692" t="n"/>
      <c r="F193" s="692" t="n"/>
      <c r="G193" s="692" t="n"/>
      <c r="H193" s="692" t="n"/>
      <c r="I193" s="692" t="n"/>
      <c r="J193" s="692" t="n"/>
      <c r="K193" s="692" t="n"/>
      <c r="L193" s="692" t="n"/>
      <c r="M193" s="692" t="n"/>
      <c r="N193" s="692" t="n"/>
      <c r="O193" s="692" t="n"/>
      <c r="P193" s="692" t="n"/>
      <c r="Q193" s="692" t="n"/>
      <c r="R193" s="692" t="n"/>
      <c r="S193" s="692" t="n"/>
      <c r="T193" s="692" t="n"/>
      <c r="U193" s="692" t="n"/>
      <c r="V193" s="692" t="n"/>
      <c r="W193" s="692" t="n"/>
      <c r="X193" s="692" t="n"/>
      <c r="Y193" s="692" t="n"/>
      <c r="Z193" s="692" t="n"/>
      <c r="AA193" s="692" t="n"/>
      <c r="AB193" s="692" t="n"/>
      <c r="AC193" s="692" t="n"/>
      <c r="AD193" s="692" t="n"/>
      <c r="AE193" s="692" t="n"/>
      <c r="AF193" s="692" t="n"/>
      <c r="AG193" s="692" t="n"/>
      <c r="AH193" s="760" t="n"/>
      <c r="AI193" s="108" t="n"/>
      <c r="AJ193" s="108" t="n"/>
      <c r="AK193" s="108" t="n"/>
      <c r="AL193" s="108" t="n"/>
      <c r="AM193" s="108" t="n"/>
      <c r="AN193" s="108" t="n"/>
      <c r="AO193" s="108" t="n"/>
      <c r="AP193" s="108" t="n"/>
      <c r="AQ193" s="108" t="n"/>
      <c r="AR193" s="108" t="n"/>
      <c r="AS193" s="108" t="n"/>
      <c r="AT193" s="108" t="n"/>
      <c r="AU193" s="108" t="n"/>
      <c r="AV193" s="108" t="n"/>
      <c r="AW193" s="108" t="n"/>
      <c r="AX193" s="108" t="n"/>
      <c r="AY193" s="108" t="n"/>
      <c r="AZ193" s="108" t="n"/>
      <c r="BA193" s="108" t="n"/>
      <c r="BB193" s="108" t="n"/>
      <c r="BC193" s="108" t="n"/>
      <c r="BD193" s="108" t="n"/>
      <c r="BE193" s="108" t="n"/>
      <c r="BF193" s="108" t="n"/>
      <c r="BG193" s="108" t="n"/>
      <c r="BH193" s="108" t="n"/>
      <c r="BI193" s="109" t="n"/>
    </row>
    <row r="194" ht="14.1" customHeight="1" s="2">
      <c r="A194" s="692" t="n"/>
      <c r="B194" s="758" t="n"/>
      <c r="C194" s="692" t="n"/>
      <c r="D194" s="692" t="n"/>
      <c r="E194" s="692" t="n"/>
      <c r="F194" s="692" t="n"/>
      <c r="G194" s="692" t="n"/>
      <c r="H194" s="692" t="n"/>
      <c r="I194" s="692" t="n"/>
      <c r="J194" s="692" t="n"/>
      <c r="K194" s="692" t="n"/>
      <c r="L194" s="692" t="n"/>
      <c r="M194" s="692" t="n"/>
      <c r="N194" s="692" t="n"/>
      <c r="O194" s="692" t="n"/>
      <c r="P194" s="692" t="n"/>
      <c r="Q194" s="692" t="n"/>
      <c r="R194" s="692" t="n"/>
      <c r="S194" s="692" t="n"/>
      <c r="T194" s="692" t="n"/>
      <c r="U194" s="692" t="n"/>
      <c r="V194" s="692" t="n"/>
      <c r="W194" s="692" t="n"/>
      <c r="X194" s="692" t="n"/>
      <c r="Y194" s="692" t="n"/>
      <c r="Z194" s="692" t="n"/>
      <c r="AA194" s="692" t="n"/>
      <c r="AB194" s="692" t="n"/>
      <c r="AC194" s="692" t="n"/>
      <c r="AD194" s="692" t="n"/>
      <c r="AE194" s="692" t="n"/>
      <c r="AF194" s="692" t="n"/>
      <c r="AG194" s="692" t="n"/>
      <c r="AH194" s="760" t="n"/>
      <c r="AI194" s="108" t="n"/>
      <c r="AJ194" s="108" t="n"/>
      <c r="AK194" s="108" t="n"/>
      <c r="AL194" s="108" t="n"/>
      <c r="AM194" s="108" t="n"/>
      <c r="AN194" s="108" t="n"/>
      <c r="AO194" s="108" t="n"/>
      <c r="AP194" s="108" t="n"/>
      <c r="AQ194" s="108" t="n"/>
      <c r="AR194" s="108" t="n"/>
      <c r="AS194" s="108" t="n"/>
      <c r="AT194" s="108" t="n"/>
      <c r="AU194" s="108" t="n"/>
      <c r="AV194" s="108" t="n"/>
      <c r="AW194" s="108" t="n"/>
      <c r="AX194" s="108" t="n"/>
      <c r="AY194" s="108" t="n"/>
      <c r="AZ194" s="108" t="n"/>
      <c r="BA194" s="108" t="n"/>
      <c r="BB194" s="108" t="n"/>
      <c r="BC194" s="108" t="n"/>
      <c r="BD194" s="108" t="n"/>
      <c r="BE194" s="108" t="n"/>
      <c r="BF194" s="108" t="n"/>
      <c r="BG194" s="108" t="n"/>
      <c r="BH194" s="108" t="n"/>
      <c r="BI194" s="109" t="n"/>
    </row>
    <row r="195" ht="14.1" customHeight="1" s="2">
      <c r="A195" s="692" t="n"/>
      <c r="B195" s="758" t="n"/>
      <c r="C195" s="692" t="n"/>
      <c r="D195" s="692" t="n"/>
      <c r="E195" s="692" t="n"/>
      <c r="F195" s="692" t="n"/>
      <c r="G195" s="692" t="n"/>
      <c r="H195" s="692" t="n"/>
      <c r="I195" s="692" t="n"/>
      <c r="J195" s="692" t="n"/>
      <c r="K195" s="692" t="n"/>
      <c r="L195" s="692" t="n"/>
      <c r="M195" s="692" t="n"/>
      <c r="N195" s="692" t="n"/>
      <c r="O195" s="692" t="n"/>
      <c r="P195" s="692" t="n"/>
      <c r="Q195" s="692" t="n"/>
      <c r="R195" s="692" t="n"/>
      <c r="S195" s="692" t="n"/>
      <c r="T195" s="692" t="n"/>
      <c r="U195" s="692" t="n"/>
      <c r="V195" s="692" t="n"/>
      <c r="W195" s="692" t="n"/>
      <c r="X195" s="692" t="n"/>
      <c r="Y195" s="692" t="n"/>
      <c r="Z195" s="692" t="n"/>
      <c r="AA195" s="692" t="n"/>
      <c r="AB195" s="692" t="n"/>
      <c r="AC195" s="692" t="n"/>
      <c r="AD195" s="692" t="n"/>
      <c r="AE195" s="692" t="n"/>
      <c r="AF195" s="692" t="n"/>
      <c r="AG195" s="692" t="n"/>
      <c r="AH195" s="760" t="n"/>
      <c r="AI195" s="108" t="n"/>
      <c r="AJ195" s="108" t="n"/>
      <c r="AK195" s="108" t="n"/>
      <c r="AL195" s="108" t="n"/>
      <c r="AM195" s="108" t="n"/>
      <c r="AN195" s="108" t="n"/>
      <c r="AO195" s="108" t="n"/>
      <c r="AP195" s="108" t="n"/>
      <c r="AQ195" s="108" t="n"/>
      <c r="AR195" s="108" t="n"/>
      <c r="AS195" s="108" t="n"/>
      <c r="AT195" s="108" t="n"/>
      <c r="AU195" s="108" t="n"/>
      <c r="AV195" s="108" t="n"/>
      <c r="AW195" s="108" t="n"/>
      <c r="AX195" s="108" t="n"/>
      <c r="AY195" s="108" t="n"/>
      <c r="AZ195" s="108" t="n"/>
      <c r="BA195" s="108" t="n"/>
      <c r="BB195" s="108" t="n"/>
      <c r="BC195" s="108" t="n"/>
      <c r="BD195" s="108" t="n"/>
      <c r="BE195" s="108" t="n"/>
      <c r="BF195" s="108" t="n"/>
      <c r="BG195" s="108" t="n"/>
      <c r="BH195" s="108" t="n"/>
      <c r="BI195" s="109" t="n"/>
    </row>
    <row r="196" ht="14.1" customHeight="1" s="2">
      <c r="A196" s="692" t="n"/>
      <c r="B196" s="758" t="n"/>
      <c r="C196" s="692" t="n"/>
      <c r="D196" s="692" t="n"/>
      <c r="E196" s="692" t="n"/>
      <c r="F196" s="692" t="n"/>
      <c r="G196" s="692" t="n"/>
      <c r="H196" s="692" t="n"/>
      <c r="I196" s="692" t="n"/>
      <c r="J196" s="692" t="n"/>
      <c r="K196" s="692" t="n"/>
      <c r="L196" s="692" t="n"/>
      <c r="M196" s="692" t="n"/>
      <c r="N196" s="692" t="n"/>
      <c r="O196" s="692" t="n"/>
      <c r="P196" s="692" t="n"/>
      <c r="Q196" s="692" t="n"/>
      <c r="R196" s="692" t="n"/>
      <c r="S196" s="692" t="n"/>
      <c r="T196" s="692" t="n"/>
      <c r="U196" s="692" t="n"/>
      <c r="V196" s="692" t="n"/>
      <c r="W196" s="692" t="n"/>
      <c r="X196" s="692" t="n"/>
      <c r="Y196" s="692" t="n"/>
      <c r="Z196" s="692" t="n"/>
      <c r="AA196" s="692" t="n"/>
      <c r="AB196" s="692" t="n"/>
      <c r="AC196" s="692" t="n"/>
      <c r="AD196" s="692" t="n"/>
      <c r="AE196" s="692" t="n"/>
      <c r="AF196" s="692" t="n"/>
      <c r="AG196" s="692" t="n"/>
      <c r="AH196" s="760" t="n"/>
      <c r="AI196" s="108" t="n"/>
      <c r="AJ196" s="108" t="n"/>
      <c r="AK196" s="108" t="n"/>
      <c r="AL196" s="108" t="n"/>
      <c r="AM196" s="108" t="n"/>
      <c r="AN196" s="108" t="n"/>
      <c r="AO196" s="108" t="n"/>
      <c r="AP196" s="108" t="n"/>
      <c r="AQ196" s="108" t="n"/>
      <c r="AR196" s="108" t="n"/>
      <c r="AS196" s="108" t="n"/>
      <c r="AT196" s="108" t="n"/>
      <c r="AU196" s="108" t="n"/>
      <c r="AV196" s="108" t="n"/>
      <c r="AW196" s="108" t="n"/>
      <c r="AX196" s="108" t="n"/>
      <c r="AY196" s="108" t="n"/>
      <c r="AZ196" s="108" t="n"/>
      <c r="BA196" s="108" t="n"/>
      <c r="BB196" s="108" t="n"/>
      <c r="BC196" s="108" t="n"/>
      <c r="BD196" s="108" t="n"/>
      <c r="BE196" s="108" t="n"/>
      <c r="BF196" s="108" t="n"/>
      <c r="BG196" s="108" t="n"/>
      <c r="BH196" s="108" t="n"/>
      <c r="BI196" s="109" t="n"/>
    </row>
    <row r="197" ht="14.1" customHeight="1" s="2">
      <c r="A197" s="692" t="n"/>
      <c r="B197" s="758" t="n"/>
      <c r="C197" s="692" t="n"/>
      <c r="D197" s="692" t="n"/>
      <c r="E197" s="692" t="n"/>
      <c r="F197" s="692" t="n"/>
      <c r="G197" s="692" t="n"/>
      <c r="H197" s="692" t="n"/>
      <c r="I197" s="692" t="n"/>
      <c r="J197" s="692" t="n"/>
      <c r="K197" s="692" t="n"/>
      <c r="L197" s="692" t="n"/>
      <c r="M197" s="692" t="n"/>
      <c r="N197" s="692" t="n"/>
      <c r="O197" s="692" t="n"/>
      <c r="P197" s="692" t="n"/>
      <c r="Q197" s="692" t="n"/>
      <c r="R197" s="692" t="n"/>
      <c r="S197" s="692" t="n"/>
      <c r="T197" s="692" t="n"/>
      <c r="U197" s="692" t="n"/>
      <c r="V197" s="692" t="n"/>
      <c r="W197" s="692" t="n"/>
      <c r="X197" s="692" t="n"/>
      <c r="Y197" s="692" t="n"/>
      <c r="Z197" s="692" t="n"/>
      <c r="AA197" s="692" t="n"/>
      <c r="AB197" s="692" t="n"/>
      <c r="AC197" s="692" t="n"/>
      <c r="AD197" s="692" t="n"/>
      <c r="AE197" s="692" t="n"/>
      <c r="AF197" s="692" t="n"/>
      <c r="AG197" s="692" t="n"/>
      <c r="AH197" s="760" t="n"/>
      <c r="AI197" s="108" t="n"/>
      <c r="AJ197" s="108" t="n"/>
      <c r="AK197" s="108" t="n"/>
      <c r="AL197" s="108" t="n"/>
      <c r="AM197" s="108" t="n"/>
      <c r="AN197" s="108" t="n"/>
      <c r="AO197" s="108" t="n"/>
      <c r="AP197" s="108" t="n"/>
      <c r="AQ197" s="108" t="n"/>
      <c r="AR197" s="108" t="n"/>
      <c r="AS197" s="108" t="n"/>
      <c r="AT197" s="108" t="n"/>
      <c r="AU197" s="108" t="n"/>
      <c r="AV197" s="108" t="n"/>
      <c r="AW197" s="108" t="n"/>
      <c r="AX197" s="108" t="n"/>
      <c r="AY197" s="108" t="n"/>
      <c r="AZ197" s="108" t="n"/>
      <c r="BA197" s="108" t="n"/>
      <c r="BB197" s="108" t="n"/>
      <c r="BC197" s="108" t="n"/>
      <c r="BD197" s="108" t="n"/>
      <c r="BE197" s="108" t="n"/>
      <c r="BF197" s="108" t="n"/>
      <c r="BG197" s="108" t="n"/>
      <c r="BH197" s="108" t="n"/>
      <c r="BI197" s="109" t="n"/>
    </row>
    <row r="198" ht="14.1" customHeight="1" s="2">
      <c r="A198" s="692" t="n"/>
      <c r="B198" s="758" t="n"/>
      <c r="C198" s="692" t="n"/>
      <c r="D198" s="692" t="n"/>
      <c r="E198" s="692" t="n"/>
      <c r="F198" s="692" t="n"/>
      <c r="G198" s="692" t="n"/>
      <c r="H198" s="692" t="n"/>
      <c r="I198" s="692" t="n"/>
      <c r="J198" s="692" t="n"/>
      <c r="K198" s="692" t="n"/>
      <c r="L198" s="692" t="n"/>
      <c r="M198" s="692" t="n"/>
      <c r="N198" s="692" t="n"/>
      <c r="O198" s="692" t="n"/>
      <c r="P198" s="692" t="n"/>
      <c r="Q198" s="692" t="n"/>
      <c r="R198" s="692" t="n"/>
      <c r="S198" s="692" t="n"/>
      <c r="T198" s="692" t="n"/>
      <c r="U198" s="692" t="n"/>
      <c r="V198" s="692" t="n"/>
      <c r="W198" s="692" t="n"/>
      <c r="X198" s="692" t="n"/>
      <c r="Y198" s="692" t="n"/>
      <c r="Z198" s="692" t="n"/>
      <c r="AA198" s="692" t="n"/>
      <c r="AB198" s="692" t="n"/>
      <c r="AC198" s="692" t="n"/>
      <c r="AD198" s="692" t="n"/>
      <c r="AE198" s="692" t="n"/>
      <c r="AF198" s="692" t="n"/>
      <c r="AG198" s="692" t="n"/>
      <c r="AH198" s="760" t="n"/>
      <c r="AI198" s="108" t="n"/>
      <c r="AJ198" s="108" t="n"/>
      <c r="AK198" s="108" t="n"/>
      <c r="AL198" s="108" t="n"/>
      <c r="AM198" s="108" t="n"/>
      <c r="AN198" s="108" t="n"/>
      <c r="AO198" s="108" t="n"/>
      <c r="AP198" s="108" t="n"/>
      <c r="AQ198" s="108" t="n"/>
      <c r="AR198" s="108" t="n"/>
      <c r="AS198" s="108" t="n"/>
      <c r="AT198" s="108" t="n"/>
      <c r="AU198" s="108" t="n"/>
      <c r="AV198" s="108" t="n"/>
      <c r="AW198" s="108" t="n"/>
      <c r="AX198" s="108" t="n"/>
      <c r="AY198" s="108" t="n"/>
      <c r="AZ198" s="108" t="n"/>
      <c r="BA198" s="108" t="n"/>
      <c r="BB198" s="108" t="n"/>
      <c r="BC198" s="108" t="n"/>
      <c r="BD198" s="108" t="n"/>
      <c r="BE198" s="108" t="n"/>
      <c r="BF198" s="108" t="n"/>
      <c r="BG198" s="108" t="n"/>
      <c r="BH198" s="108" t="n"/>
      <c r="BI198" s="109" t="n"/>
    </row>
    <row r="199" ht="14.1" customHeight="1" s="2">
      <c r="A199" s="692" t="n"/>
      <c r="B199" s="758" t="n"/>
      <c r="C199" s="692" t="n"/>
      <c r="D199" s="692" t="n"/>
      <c r="E199" s="692" t="n"/>
      <c r="F199" s="692" t="n"/>
      <c r="G199" s="692" t="n"/>
      <c r="H199" s="692" t="n"/>
      <c r="I199" s="692" t="n"/>
      <c r="J199" s="692" t="n"/>
      <c r="K199" s="692" t="n"/>
      <c r="L199" s="692" t="n"/>
      <c r="M199" s="692" t="n"/>
      <c r="N199" s="692" t="n"/>
      <c r="O199" s="692" t="n"/>
      <c r="P199" s="692" t="n"/>
      <c r="Q199" s="692" t="n"/>
      <c r="R199" s="692" t="n"/>
      <c r="S199" s="692" t="n"/>
      <c r="T199" s="692" t="n"/>
      <c r="U199" s="692" t="n"/>
      <c r="V199" s="692" t="n"/>
      <c r="W199" s="692" t="n"/>
      <c r="X199" s="692" t="n"/>
      <c r="Y199" s="692" t="n"/>
      <c r="Z199" s="692" t="n"/>
      <c r="AA199" s="692" t="n"/>
      <c r="AB199" s="692" t="n"/>
      <c r="AC199" s="692" t="n"/>
      <c r="AD199" s="692" t="n"/>
      <c r="AE199" s="692" t="n"/>
      <c r="AF199" s="692" t="n"/>
      <c r="AG199" s="692" t="n"/>
      <c r="AH199" s="760" t="n"/>
      <c r="AI199" s="108" t="n"/>
      <c r="AJ199" s="108" t="n"/>
      <c r="AK199" s="108" t="n"/>
      <c r="AL199" s="108" t="n"/>
      <c r="AM199" s="108" t="n"/>
      <c r="AN199" s="108" t="n"/>
      <c r="AO199" s="108" t="n"/>
      <c r="AP199" s="108" t="n"/>
      <c r="AQ199" s="108" t="n"/>
      <c r="AR199" s="108" t="n"/>
      <c r="AS199" s="108" t="n"/>
      <c r="AT199" s="108" t="n"/>
      <c r="AU199" s="108" t="n"/>
      <c r="AV199" s="108" t="n"/>
      <c r="AW199" s="108" t="n"/>
      <c r="AX199" s="108" t="n"/>
      <c r="AY199" s="108" t="n"/>
      <c r="AZ199" s="108" t="n"/>
      <c r="BA199" s="108" t="n"/>
      <c r="BB199" s="108" t="n"/>
      <c r="BC199" s="108" t="n"/>
      <c r="BD199" s="108" t="n"/>
      <c r="BE199" s="108" t="n"/>
      <c r="BF199" s="108" t="n"/>
      <c r="BG199" s="108" t="n"/>
      <c r="BH199" s="108" t="n"/>
      <c r="BI199" s="109" t="n"/>
    </row>
    <row r="200" ht="14.1" customHeight="1" s="2">
      <c r="A200" s="692" t="n"/>
      <c r="B200" s="758" t="n"/>
      <c r="C200" s="692" t="n"/>
      <c r="D200" s="692" t="n"/>
      <c r="E200" s="692" t="n"/>
      <c r="F200" s="692" t="n"/>
      <c r="G200" s="692" t="n"/>
      <c r="H200" s="692" t="n"/>
      <c r="I200" s="692" t="n"/>
      <c r="J200" s="692" t="n"/>
      <c r="K200" s="692" t="n"/>
      <c r="L200" s="692" t="n"/>
      <c r="M200" s="692" t="n"/>
      <c r="N200" s="692" t="n"/>
      <c r="O200" s="692" t="n"/>
      <c r="P200" s="692" t="n"/>
      <c r="Q200" s="692" t="n"/>
      <c r="R200" s="692" t="n"/>
      <c r="S200" s="692" t="n"/>
      <c r="T200" s="692" t="n"/>
      <c r="U200" s="692" t="n"/>
      <c r="V200" s="692" t="n"/>
      <c r="W200" s="692" t="n"/>
      <c r="X200" s="692" t="n"/>
      <c r="Y200" s="692" t="n"/>
      <c r="Z200" s="692" t="n"/>
      <c r="AA200" s="692" t="n"/>
      <c r="AB200" s="692" t="n"/>
      <c r="AC200" s="692" t="n"/>
      <c r="AD200" s="692" t="n"/>
      <c r="AE200" s="692" t="n"/>
      <c r="AF200" s="692" t="n"/>
      <c r="AG200" s="692" t="n"/>
      <c r="AH200" s="760" t="n"/>
      <c r="AI200" s="108" t="n"/>
      <c r="AJ200" s="108" t="n"/>
      <c r="AK200" s="108" t="n"/>
      <c r="AL200" s="108" t="n"/>
      <c r="AM200" s="108" t="n"/>
      <c r="AN200" s="108" t="n"/>
      <c r="AO200" s="108" t="n"/>
      <c r="AP200" s="108" t="n"/>
      <c r="AQ200" s="108" t="n"/>
      <c r="AR200" s="108" t="n"/>
      <c r="AS200" s="108" t="n"/>
      <c r="AT200" s="108" t="n"/>
      <c r="AU200" s="108" t="n"/>
      <c r="AV200" s="108" t="n"/>
      <c r="AW200" s="108" t="n"/>
      <c r="AX200" s="108" t="n"/>
      <c r="AY200" s="108" t="n"/>
      <c r="AZ200" s="108" t="n"/>
      <c r="BA200" s="108" t="n"/>
      <c r="BB200" s="108" t="n"/>
      <c r="BC200" s="108" t="n"/>
      <c r="BD200" s="108" t="n"/>
      <c r="BE200" s="108" t="n"/>
      <c r="BF200" s="108" t="n"/>
      <c r="BG200" s="108" t="n"/>
      <c r="BH200" s="108" t="n"/>
      <c r="BI200" s="109" t="n"/>
    </row>
    <row r="201" ht="14.1" customHeight="1" s="2">
      <c r="A201" s="692" t="n"/>
      <c r="B201" s="758" t="n"/>
      <c r="C201" s="692" t="n"/>
      <c r="D201" s="692" t="n"/>
      <c r="E201" s="692" t="n"/>
      <c r="F201" s="692" t="n"/>
      <c r="G201" s="692" t="n"/>
      <c r="H201" s="692" t="n"/>
      <c r="I201" s="692" t="n"/>
      <c r="J201" s="692" t="n"/>
      <c r="K201" s="692" t="n"/>
      <c r="L201" s="692" t="n"/>
      <c r="M201" s="692" t="n"/>
      <c r="N201" s="692" t="n"/>
      <c r="O201" s="692" t="n"/>
      <c r="P201" s="692" t="n"/>
      <c r="Q201" s="692" t="n"/>
      <c r="R201" s="692" t="n"/>
      <c r="S201" s="692" t="n"/>
      <c r="T201" s="692" t="n"/>
      <c r="U201" s="692" t="n"/>
      <c r="V201" s="692" t="n"/>
      <c r="W201" s="692" t="n"/>
      <c r="X201" s="692" t="n"/>
      <c r="Y201" s="692" t="n"/>
      <c r="Z201" s="692" t="n"/>
      <c r="AA201" s="692" t="n"/>
      <c r="AB201" s="692" t="n"/>
      <c r="AC201" s="692" t="n"/>
      <c r="AD201" s="692" t="n"/>
      <c r="AE201" s="692" t="n"/>
      <c r="AF201" s="692" t="n"/>
      <c r="AG201" s="692" t="n"/>
      <c r="AH201" s="760" t="n"/>
      <c r="AI201" s="108" t="n"/>
      <c r="AJ201" s="108" t="n"/>
      <c r="AK201" s="108" t="n"/>
      <c r="AL201" s="108" t="n"/>
      <c r="AM201" s="108" t="n"/>
      <c r="AN201" s="108" t="n"/>
      <c r="AO201" s="108" t="n"/>
      <c r="AP201" s="108" t="n"/>
      <c r="AQ201" s="108" t="n"/>
      <c r="AR201" s="108" t="n"/>
      <c r="AS201" s="108" t="n"/>
      <c r="AT201" s="108" t="n"/>
      <c r="AU201" s="108" t="n"/>
      <c r="AV201" s="108" t="n"/>
      <c r="AW201" s="108" t="n"/>
      <c r="AX201" s="108" t="n"/>
      <c r="AY201" s="108" t="n"/>
      <c r="AZ201" s="108" t="n"/>
      <c r="BA201" s="108" t="n"/>
      <c r="BB201" s="108" t="n"/>
      <c r="BC201" s="108" t="n"/>
      <c r="BD201" s="108" t="n"/>
      <c r="BE201" s="108" t="n"/>
      <c r="BF201" s="108" t="n"/>
      <c r="BG201" s="108" t="n"/>
      <c r="BH201" s="108" t="n"/>
      <c r="BI201" s="109" t="n"/>
    </row>
    <row r="202" ht="14.1" customHeight="1" s="2">
      <c r="A202" s="692" t="n"/>
      <c r="B202" s="758" t="n"/>
      <c r="C202" s="692" t="n"/>
      <c r="D202" s="692" t="n"/>
      <c r="E202" s="692" t="n"/>
      <c r="F202" s="692" t="n"/>
      <c r="G202" s="692" t="n"/>
      <c r="H202" s="692" t="n"/>
      <c r="I202" s="692" t="n"/>
      <c r="J202" s="692" t="n"/>
      <c r="K202" s="692" t="n"/>
      <c r="L202" s="692" t="n"/>
      <c r="M202" s="692" t="n"/>
      <c r="N202" s="692" t="n"/>
      <c r="O202" s="692" t="n"/>
      <c r="P202" s="692" t="n"/>
      <c r="Q202" s="692" t="n"/>
      <c r="R202" s="692" t="n"/>
      <c r="S202" s="692" t="n"/>
      <c r="T202" s="692" t="n"/>
      <c r="U202" s="692" t="n"/>
      <c r="V202" s="692" t="n"/>
      <c r="W202" s="692" t="n"/>
      <c r="X202" s="692" t="n"/>
      <c r="Y202" s="692" t="n"/>
      <c r="Z202" s="692" t="n"/>
      <c r="AA202" s="692" t="n"/>
      <c r="AB202" s="692" t="n"/>
      <c r="AC202" s="692" t="n"/>
      <c r="AD202" s="692" t="n"/>
      <c r="AE202" s="692" t="n"/>
      <c r="AF202" s="692" t="n"/>
      <c r="AG202" s="692" t="n"/>
      <c r="AH202" s="760" t="n"/>
      <c r="AI202" s="108" t="n"/>
      <c r="AJ202" s="108" t="n"/>
      <c r="AK202" s="108" t="n"/>
      <c r="AL202" s="108" t="n"/>
      <c r="AM202" s="108" t="n"/>
      <c r="AN202" s="108" t="n"/>
      <c r="AO202" s="108" t="n"/>
      <c r="AP202" s="108" t="n"/>
      <c r="AQ202" s="108" t="n"/>
      <c r="AR202" s="108" t="n"/>
      <c r="AS202" s="108" t="n"/>
      <c r="AT202" s="108" t="n"/>
      <c r="AU202" s="108" t="n"/>
      <c r="AV202" s="108" t="n"/>
      <c r="AW202" s="108" t="n"/>
      <c r="AX202" s="108" t="n"/>
      <c r="AY202" s="108" t="n"/>
      <c r="AZ202" s="108" t="n"/>
      <c r="BA202" s="108" t="n"/>
      <c r="BB202" s="108" t="n"/>
      <c r="BC202" s="108" t="n"/>
      <c r="BD202" s="108" t="n"/>
      <c r="BE202" s="108" t="n"/>
      <c r="BF202" s="108" t="n"/>
      <c r="BG202" s="108" t="n"/>
      <c r="BH202" s="108" t="n"/>
      <c r="BI202" s="109" t="n"/>
    </row>
    <row r="203" ht="14.1" customHeight="1" s="2">
      <c r="A203" s="692" t="n"/>
      <c r="B203" s="758" t="n"/>
      <c r="C203" s="692" t="n"/>
      <c r="D203" s="692" t="n"/>
      <c r="E203" s="692" t="n"/>
      <c r="F203" s="692" t="n"/>
      <c r="G203" s="692" t="n"/>
      <c r="H203" s="692" t="n"/>
      <c r="I203" s="692" t="n"/>
      <c r="J203" s="692" t="n"/>
      <c r="K203" s="692" t="n"/>
      <c r="L203" s="692" t="n"/>
      <c r="M203" s="692" t="n"/>
      <c r="N203" s="692" t="n"/>
      <c r="O203" s="692" t="n"/>
      <c r="P203" s="692" t="n"/>
      <c r="Q203" s="692" t="n"/>
      <c r="R203" s="692" t="n"/>
      <c r="S203" s="692" t="n"/>
      <c r="T203" s="692" t="n"/>
      <c r="U203" s="692" t="n"/>
      <c r="V203" s="692" t="n"/>
      <c r="W203" s="692" t="n"/>
      <c r="X203" s="692" t="n"/>
      <c r="Y203" s="692" t="n"/>
      <c r="Z203" s="692" t="n"/>
      <c r="AA203" s="692" t="n"/>
      <c r="AB203" s="692" t="n"/>
      <c r="AC203" s="692" t="n"/>
      <c r="AD203" s="692" t="n"/>
      <c r="AE203" s="692" t="n"/>
      <c r="AF203" s="692" t="n"/>
      <c r="AG203" s="692" t="n"/>
      <c r="AH203" s="760" t="n"/>
      <c r="AI203" s="108" t="n"/>
      <c r="AJ203" s="108" t="n"/>
      <c r="AK203" s="108" t="n"/>
      <c r="AL203" s="108" t="n"/>
      <c r="AM203" s="108" t="n"/>
      <c r="AN203" s="108" t="n"/>
      <c r="AO203" s="108" t="n"/>
      <c r="AP203" s="108" t="n"/>
      <c r="AQ203" s="108" t="n"/>
      <c r="AR203" s="108" t="n"/>
      <c r="AS203" s="108" t="n"/>
      <c r="AT203" s="108" t="n"/>
      <c r="AU203" s="108" t="n"/>
      <c r="AV203" s="108" t="n"/>
      <c r="AW203" s="108" t="n"/>
      <c r="AX203" s="108" t="n"/>
      <c r="AY203" s="108" t="n"/>
      <c r="AZ203" s="108" t="n"/>
      <c r="BA203" s="108" t="n"/>
      <c r="BB203" s="108" t="n"/>
      <c r="BC203" s="108" t="n"/>
      <c r="BD203" s="108" t="n"/>
      <c r="BE203" s="108" t="n"/>
      <c r="BF203" s="108" t="n"/>
      <c r="BG203" s="108" t="n"/>
      <c r="BH203" s="108" t="n"/>
      <c r="BI203" s="109" t="n"/>
    </row>
    <row r="204" ht="14.1" customHeight="1" s="2">
      <c r="A204" s="692" t="n"/>
      <c r="B204" s="758" t="n"/>
      <c r="C204" s="692" t="n"/>
      <c r="D204" s="692" t="n"/>
      <c r="E204" s="692" t="n"/>
      <c r="F204" s="692" t="n"/>
      <c r="G204" s="692" t="n"/>
      <c r="H204" s="692" t="n"/>
      <c r="I204" s="692" t="n"/>
      <c r="J204" s="692" t="n"/>
      <c r="K204" s="692" t="n"/>
      <c r="L204" s="692" t="n"/>
      <c r="M204" s="692" t="n"/>
      <c r="N204" s="692" t="n"/>
      <c r="O204" s="692" t="n"/>
      <c r="P204" s="692" t="n"/>
      <c r="Q204" s="692" t="n"/>
      <c r="R204" s="692" t="n"/>
      <c r="S204" s="692" t="n"/>
      <c r="T204" s="692" t="n"/>
      <c r="U204" s="692" t="n"/>
      <c r="V204" s="692" t="n"/>
      <c r="W204" s="692" t="n"/>
      <c r="X204" s="692" t="n"/>
      <c r="Y204" s="692" t="n"/>
      <c r="Z204" s="692" t="n"/>
      <c r="AA204" s="692" t="n"/>
      <c r="AB204" s="692" t="n"/>
      <c r="AC204" s="692" t="n"/>
      <c r="AD204" s="692" t="n"/>
      <c r="AE204" s="692" t="n"/>
      <c r="AF204" s="692" t="n"/>
      <c r="AG204" s="692" t="n"/>
      <c r="AH204" s="760" t="n"/>
      <c r="AI204" s="108" t="n"/>
      <c r="AJ204" s="108" t="n"/>
      <c r="AK204" s="108" t="n"/>
      <c r="AL204" s="108" t="n"/>
      <c r="AM204" s="108" t="n"/>
      <c r="AN204" s="108" t="n"/>
      <c r="AO204" s="108" t="n"/>
      <c r="AP204" s="108" t="n"/>
      <c r="AQ204" s="108" t="n"/>
      <c r="AR204" s="108" t="n"/>
      <c r="AS204" s="108" t="n"/>
      <c r="AT204" s="108" t="n"/>
      <c r="AU204" s="108" t="n"/>
      <c r="AV204" s="108" t="n"/>
      <c r="AW204" s="108" t="n"/>
      <c r="AX204" s="108" t="n"/>
      <c r="AY204" s="108" t="n"/>
      <c r="AZ204" s="108" t="n"/>
      <c r="BA204" s="108" t="n"/>
      <c r="BB204" s="108" t="n"/>
      <c r="BC204" s="108" t="n"/>
      <c r="BD204" s="108" t="n"/>
      <c r="BE204" s="108" t="n"/>
      <c r="BF204" s="108" t="n"/>
      <c r="BG204" s="108" t="n"/>
      <c r="BH204" s="108" t="n"/>
      <c r="BI204" s="109" t="n"/>
    </row>
    <row r="205" ht="14.1" customHeight="1" s="2">
      <c r="A205" s="692" t="n"/>
      <c r="B205" s="758" t="n"/>
      <c r="C205" s="692" t="n"/>
      <c r="D205" s="692" t="n"/>
      <c r="E205" s="692" t="n"/>
      <c r="F205" s="692" t="n"/>
      <c r="G205" s="692" t="n"/>
      <c r="H205" s="692" t="n"/>
      <c r="I205" s="692" t="n"/>
      <c r="J205" s="692" t="n"/>
      <c r="K205" s="692" t="n"/>
      <c r="L205" s="692" t="n"/>
      <c r="M205" s="692" t="n"/>
      <c r="N205" s="692" t="n"/>
      <c r="O205" s="692" t="n"/>
      <c r="P205" s="692" t="n"/>
      <c r="Q205" s="692" t="n"/>
      <c r="R205" s="692" t="n"/>
      <c r="S205" s="692" t="n"/>
      <c r="T205" s="692" t="n"/>
      <c r="U205" s="692" t="n"/>
      <c r="V205" s="692" t="n"/>
      <c r="W205" s="692" t="n"/>
      <c r="X205" s="692" t="n"/>
      <c r="Y205" s="692" t="n"/>
      <c r="Z205" s="692" t="n"/>
      <c r="AA205" s="692" t="n"/>
      <c r="AB205" s="692" t="n"/>
      <c r="AC205" s="692" t="n"/>
      <c r="AD205" s="692" t="n"/>
      <c r="AE205" s="692" t="n"/>
      <c r="AF205" s="692" t="n"/>
      <c r="AG205" s="692" t="n"/>
      <c r="AH205" s="760" t="n"/>
      <c r="AI205" s="108" t="n"/>
      <c r="AJ205" s="108" t="n"/>
      <c r="AK205" s="108" t="n"/>
      <c r="AL205" s="108" t="n"/>
      <c r="AM205" s="108" t="n"/>
      <c r="AN205" s="108" t="n"/>
      <c r="AO205" s="108" t="n"/>
      <c r="AP205" s="108" t="n"/>
      <c r="AQ205" s="108" t="n"/>
      <c r="AR205" s="108" t="n"/>
      <c r="AS205" s="108" t="n"/>
      <c r="AT205" s="108" t="n"/>
      <c r="AU205" s="108" t="n"/>
      <c r="AV205" s="108" t="n"/>
      <c r="AW205" s="108" t="n"/>
      <c r="AX205" s="108" t="n"/>
      <c r="AY205" s="108" t="n"/>
      <c r="AZ205" s="108" t="n"/>
      <c r="BA205" s="108" t="n"/>
      <c r="BB205" s="108" t="n"/>
      <c r="BC205" s="108" t="n"/>
      <c r="BD205" s="108" t="n"/>
      <c r="BE205" s="108" t="n"/>
      <c r="BF205" s="108" t="n"/>
      <c r="BG205" s="108" t="n"/>
      <c r="BH205" s="108" t="n"/>
      <c r="BI205" s="109" t="n"/>
    </row>
    <row r="206" ht="14.1" customHeight="1" s="2">
      <c r="A206" s="692" t="n"/>
      <c r="B206" s="758" t="n"/>
      <c r="C206" s="692" t="n"/>
      <c r="D206" s="692" t="n"/>
      <c r="E206" s="692" t="n"/>
      <c r="F206" s="692" t="n"/>
      <c r="G206" s="692" t="n"/>
      <c r="H206" s="692" t="n"/>
      <c r="I206" s="692" t="n"/>
      <c r="J206" s="692" t="n"/>
      <c r="K206" s="692" t="n"/>
      <c r="L206" s="692" t="n"/>
      <c r="M206" s="692" t="n"/>
      <c r="N206" s="692" t="n"/>
      <c r="O206" s="692" t="n"/>
      <c r="P206" s="692" t="n"/>
      <c r="Q206" s="692" t="n"/>
      <c r="R206" s="692" t="n"/>
      <c r="S206" s="692" t="n"/>
      <c r="T206" s="692" t="n"/>
      <c r="U206" s="692" t="n"/>
      <c r="V206" s="692" t="n"/>
      <c r="W206" s="692" t="n"/>
      <c r="X206" s="692" t="n"/>
      <c r="Y206" s="692" t="n"/>
      <c r="Z206" s="692" t="n"/>
      <c r="AA206" s="692" t="n"/>
      <c r="AB206" s="692" t="n"/>
      <c r="AC206" s="692" t="n"/>
      <c r="AD206" s="692" t="n"/>
      <c r="AE206" s="692" t="n"/>
      <c r="AF206" s="692" t="n"/>
      <c r="AG206" s="692" t="n"/>
      <c r="AH206" s="760" t="n"/>
      <c r="AI206" s="108" t="n"/>
      <c r="AJ206" s="108" t="n"/>
      <c r="AK206" s="108" t="n"/>
      <c r="AL206" s="108" t="n"/>
      <c r="AM206" s="108" t="n"/>
      <c r="AN206" s="108" t="n"/>
      <c r="AO206" s="108" t="n"/>
      <c r="AP206" s="108" t="n"/>
      <c r="AQ206" s="108" t="n"/>
      <c r="AR206" s="108" t="n"/>
      <c r="AS206" s="108" t="n"/>
      <c r="AT206" s="108" t="n"/>
      <c r="AU206" s="108" t="n"/>
      <c r="AV206" s="108" t="n"/>
      <c r="AW206" s="108" t="n"/>
      <c r="AX206" s="108" t="n"/>
      <c r="AY206" s="108" t="n"/>
      <c r="AZ206" s="108" t="n"/>
      <c r="BA206" s="108" t="n"/>
      <c r="BB206" s="108" t="n"/>
      <c r="BC206" s="108" t="n"/>
      <c r="BD206" s="108" t="n"/>
      <c r="BE206" s="108" t="n"/>
      <c r="BF206" s="108" t="n"/>
      <c r="BG206" s="108" t="n"/>
      <c r="BH206" s="108" t="n"/>
      <c r="BI206" s="109" t="n"/>
    </row>
    <row r="207" ht="14.1" customHeight="1" s="2">
      <c r="A207" s="692" t="n"/>
      <c r="B207" s="758" t="n"/>
      <c r="C207" s="692" t="n"/>
      <c r="D207" s="692" t="n"/>
      <c r="E207" s="692" t="n"/>
      <c r="F207" s="692" t="n"/>
      <c r="G207" s="692" t="n"/>
      <c r="H207" s="692" t="n"/>
      <c r="I207" s="692" t="n"/>
      <c r="J207" s="692" t="n"/>
      <c r="K207" s="692" t="n"/>
      <c r="L207" s="692" t="n"/>
      <c r="M207" s="692" t="n"/>
      <c r="N207" s="692" t="n"/>
      <c r="O207" s="692" t="n"/>
      <c r="P207" s="692" t="n"/>
      <c r="Q207" s="692" t="n"/>
      <c r="R207" s="692" t="n"/>
      <c r="S207" s="692" t="n"/>
      <c r="T207" s="692" t="n"/>
      <c r="U207" s="692" t="n"/>
      <c r="V207" s="692" t="n"/>
      <c r="W207" s="692" t="n"/>
      <c r="X207" s="692" t="n"/>
      <c r="Y207" s="692" t="n"/>
      <c r="Z207" s="692" t="n"/>
      <c r="AA207" s="692" t="n"/>
      <c r="AB207" s="692" t="n"/>
      <c r="AC207" s="692" t="n"/>
      <c r="AD207" s="692" t="n"/>
      <c r="AE207" s="692" t="n"/>
      <c r="AF207" s="692" t="n"/>
      <c r="AG207" s="692" t="n"/>
      <c r="AH207" s="760" t="n"/>
      <c r="AI207" s="108" t="n"/>
      <c r="AJ207" s="108" t="n"/>
      <c r="AK207" s="108" t="n"/>
      <c r="AL207" s="108" t="n"/>
      <c r="AM207" s="108" t="n"/>
      <c r="AN207" s="108" t="n"/>
      <c r="AO207" s="108" t="n"/>
      <c r="AP207" s="108" t="n"/>
      <c r="AQ207" s="108" t="n"/>
      <c r="AR207" s="108" t="n"/>
      <c r="AS207" s="108" t="n"/>
      <c r="AT207" s="108" t="n"/>
      <c r="AU207" s="108" t="n"/>
      <c r="AV207" s="108" t="n"/>
      <c r="AW207" s="108" t="n"/>
      <c r="AX207" s="108" t="n"/>
      <c r="AY207" s="108" t="n"/>
      <c r="AZ207" s="108" t="n"/>
      <c r="BA207" s="108" t="n"/>
      <c r="BB207" s="108" t="n"/>
      <c r="BC207" s="108" t="n"/>
      <c r="BD207" s="108" t="n"/>
      <c r="BE207" s="108" t="n"/>
      <c r="BF207" s="108" t="n"/>
      <c r="BG207" s="108" t="n"/>
      <c r="BH207" s="108" t="n"/>
      <c r="BI207" s="109" t="n"/>
    </row>
    <row r="208" ht="14.1" customHeight="1" s="2">
      <c r="A208" s="692" t="n"/>
      <c r="B208" s="758" t="n"/>
      <c r="C208" s="692" t="n"/>
      <c r="D208" s="692" t="n"/>
      <c r="E208" s="692" t="n"/>
      <c r="F208" s="692" t="n"/>
      <c r="G208" s="692" t="n"/>
      <c r="H208" s="692" t="n"/>
      <c r="I208" s="692" t="n"/>
      <c r="J208" s="692" t="n"/>
      <c r="K208" s="692" t="n"/>
      <c r="L208" s="692" t="n"/>
      <c r="M208" s="692" t="n"/>
      <c r="N208" s="692" t="n"/>
      <c r="O208" s="692" t="n"/>
      <c r="P208" s="692" t="n"/>
      <c r="Q208" s="692" t="n"/>
      <c r="R208" s="692" t="n"/>
      <c r="S208" s="692" t="n"/>
      <c r="T208" s="692" t="n"/>
      <c r="U208" s="692" t="n"/>
      <c r="V208" s="692" t="n"/>
      <c r="W208" s="692" t="n"/>
      <c r="X208" s="692" t="n"/>
      <c r="Y208" s="692" t="n"/>
      <c r="Z208" s="692" t="n"/>
      <c r="AA208" s="692" t="n"/>
      <c r="AB208" s="692" t="n"/>
      <c r="AC208" s="692" t="n"/>
      <c r="AD208" s="692" t="n"/>
      <c r="AE208" s="692" t="n"/>
      <c r="AF208" s="692" t="n"/>
      <c r="AG208" s="692" t="n"/>
      <c r="AH208" s="760" t="n"/>
      <c r="AI208" s="108" t="n"/>
      <c r="AJ208" s="108" t="n"/>
      <c r="AK208" s="108" t="n"/>
      <c r="AL208" s="108" t="n"/>
      <c r="AM208" s="108" t="n"/>
      <c r="AN208" s="108" t="n"/>
      <c r="AO208" s="108" t="n"/>
      <c r="AP208" s="108" t="n"/>
      <c r="AQ208" s="108" t="n"/>
      <c r="AR208" s="108" t="n"/>
      <c r="AS208" s="108" t="n"/>
      <c r="AT208" s="108" t="n"/>
      <c r="AU208" s="108" t="n"/>
      <c r="AV208" s="108" t="n"/>
      <c r="AW208" s="108" t="n"/>
      <c r="AX208" s="108" t="n"/>
      <c r="AY208" s="108" t="n"/>
      <c r="AZ208" s="108" t="n"/>
      <c r="BA208" s="108" t="n"/>
      <c r="BB208" s="108" t="n"/>
      <c r="BC208" s="108" t="n"/>
      <c r="BD208" s="108" t="n"/>
      <c r="BE208" s="108" t="n"/>
      <c r="BF208" s="108" t="n"/>
      <c r="BG208" s="108" t="n"/>
      <c r="BH208" s="108" t="n"/>
      <c r="BI208" s="109" t="n"/>
    </row>
    <row r="209" ht="14.1" customHeight="1" s="2">
      <c r="A209" s="692" t="n"/>
      <c r="B209" s="758" t="n"/>
      <c r="C209" s="692" t="n"/>
      <c r="D209" s="692" t="n"/>
      <c r="E209" s="692" t="n"/>
      <c r="F209" s="692" t="n"/>
      <c r="G209" s="692" t="n"/>
      <c r="H209" s="692" t="n"/>
      <c r="I209" s="692" t="n"/>
      <c r="J209" s="692" t="n"/>
      <c r="K209" s="692" t="n"/>
      <c r="L209" s="692" t="n"/>
      <c r="M209" s="692" t="n"/>
      <c r="N209" s="692" t="n"/>
      <c r="O209" s="692" t="n"/>
      <c r="P209" s="692" t="n"/>
      <c r="Q209" s="692" t="n"/>
      <c r="R209" s="692" t="n"/>
      <c r="S209" s="692" t="n"/>
      <c r="T209" s="692" t="n"/>
      <c r="U209" s="692" t="n"/>
      <c r="V209" s="692" t="n"/>
      <c r="W209" s="692" t="n"/>
      <c r="X209" s="692" t="n"/>
      <c r="Y209" s="692" t="n"/>
      <c r="Z209" s="692" t="n"/>
      <c r="AA209" s="692" t="n"/>
      <c r="AB209" s="692" t="n"/>
      <c r="AC209" s="692" t="n"/>
      <c r="AD209" s="692" t="n"/>
      <c r="AE209" s="692" t="n"/>
      <c r="AF209" s="692" t="n"/>
      <c r="AG209" s="692" t="n"/>
      <c r="AH209" s="760" t="n"/>
      <c r="AI209" s="108" t="n"/>
      <c r="AJ209" s="108" t="n"/>
      <c r="AK209" s="108" t="n"/>
      <c r="AL209" s="108" t="n"/>
      <c r="AM209" s="108" t="n"/>
      <c r="AN209" s="108" t="n"/>
      <c r="AO209" s="108" t="n"/>
      <c r="AP209" s="108" t="n"/>
      <c r="AQ209" s="108" t="n"/>
      <c r="AR209" s="108" t="n"/>
      <c r="AS209" s="108" t="n"/>
      <c r="AT209" s="108" t="n"/>
      <c r="AU209" s="108" t="n"/>
      <c r="AV209" s="108" t="n"/>
      <c r="AW209" s="108" t="n"/>
      <c r="AX209" s="108" t="n"/>
      <c r="AY209" s="108" t="n"/>
      <c r="AZ209" s="108" t="n"/>
      <c r="BA209" s="108" t="n"/>
      <c r="BB209" s="108" t="n"/>
      <c r="BC209" s="108" t="n"/>
      <c r="BD209" s="108" t="n"/>
      <c r="BE209" s="108" t="n"/>
      <c r="BF209" s="108" t="n"/>
      <c r="BG209" s="108" t="n"/>
      <c r="BH209" s="108" t="n"/>
      <c r="BI209" s="109" t="n"/>
    </row>
    <row r="210" ht="14.1" customHeight="1" s="2">
      <c r="A210" s="692" t="n"/>
      <c r="B210" s="758" t="n"/>
      <c r="C210" s="692" t="n"/>
      <c r="D210" s="692" t="n"/>
      <c r="E210" s="692" t="n"/>
      <c r="F210" s="692" t="n"/>
      <c r="G210" s="692" t="n"/>
      <c r="H210" s="692" t="n"/>
      <c r="I210" s="692" t="n"/>
      <c r="J210" s="692" t="n"/>
      <c r="K210" s="692" t="n"/>
      <c r="L210" s="692" t="n"/>
      <c r="M210" s="692" t="n"/>
      <c r="N210" s="692" t="n"/>
      <c r="O210" s="692" t="n"/>
      <c r="P210" s="692" t="n"/>
      <c r="Q210" s="692" t="n"/>
      <c r="R210" s="692" t="n"/>
      <c r="S210" s="692" t="n"/>
      <c r="T210" s="692" t="n"/>
      <c r="U210" s="692" t="n"/>
      <c r="V210" s="692" t="n"/>
      <c r="W210" s="692" t="n"/>
      <c r="X210" s="692" t="n"/>
      <c r="Y210" s="692" t="n"/>
      <c r="Z210" s="692" t="n"/>
      <c r="AA210" s="692" t="n"/>
      <c r="AB210" s="692" t="n"/>
      <c r="AC210" s="692" t="n"/>
      <c r="AD210" s="692" t="n"/>
      <c r="AE210" s="692" t="n"/>
      <c r="AF210" s="692" t="n"/>
      <c r="AG210" s="692" t="n"/>
      <c r="AH210" s="760" t="n"/>
      <c r="AI210" s="108" t="n"/>
      <c r="AJ210" s="108" t="n"/>
      <c r="AK210" s="108" t="n"/>
      <c r="AL210" s="108" t="n"/>
      <c r="AM210" s="108" t="n"/>
      <c r="AN210" s="108" t="n"/>
      <c r="AO210" s="108" t="n"/>
      <c r="AP210" s="108" t="n"/>
      <c r="AQ210" s="108" t="n"/>
      <c r="AR210" s="108" t="n"/>
      <c r="AS210" s="108" t="n"/>
      <c r="AT210" s="108" t="n"/>
      <c r="AU210" s="108" t="n"/>
      <c r="AV210" s="108" t="n"/>
      <c r="AW210" s="108" t="n"/>
      <c r="AX210" s="108" t="n"/>
      <c r="AY210" s="108" t="n"/>
      <c r="AZ210" s="108" t="n"/>
      <c r="BA210" s="108" t="n"/>
      <c r="BB210" s="108" t="n"/>
      <c r="BC210" s="108" t="n"/>
      <c r="BD210" s="108" t="n"/>
      <c r="BE210" s="108" t="n"/>
      <c r="BF210" s="108" t="n"/>
      <c r="BG210" s="108" t="n"/>
      <c r="BH210" s="108" t="n"/>
      <c r="BI210" s="109" t="n"/>
    </row>
    <row r="211" ht="14.1" customHeight="1" s="2">
      <c r="A211" s="692" t="n"/>
      <c r="B211" s="758" t="n"/>
      <c r="C211" s="692" t="n"/>
      <c r="D211" s="692" t="n"/>
      <c r="E211" s="692" t="n"/>
      <c r="F211" s="692" t="n"/>
      <c r="G211" s="692" t="n"/>
      <c r="H211" s="692" t="n"/>
      <c r="I211" s="692" t="n"/>
      <c r="J211" s="692" t="n"/>
      <c r="K211" s="692" t="n"/>
      <c r="L211" s="692" t="n"/>
      <c r="M211" s="692" t="n"/>
      <c r="N211" s="692" t="n"/>
      <c r="O211" s="692" t="n"/>
      <c r="P211" s="692" t="n"/>
      <c r="Q211" s="692" t="n"/>
      <c r="R211" s="692" t="n"/>
      <c r="S211" s="692" t="n"/>
      <c r="T211" s="692" t="n"/>
      <c r="U211" s="692" t="n"/>
      <c r="V211" s="692" t="n"/>
      <c r="W211" s="692" t="n"/>
      <c r="X211" s="692" t="n"/>
      <c r="Y211" s="692" t="n"/>
      <c r="Z211" s="692" t="n"/>
      <c r="AA211" s="692" t="n"/>
      <c r="AB211" s="692" t="n"/>
      <c r="AC211" s="692" t="n"/>
      <c r="AD211" s="692" t="n"/>
      <c r="AE211" s="692" t="n"/>
      <c r="AF211" s="692" t="n"/>
      <c r="AG211" s="692" t="n"/>
      <c r="AH211" s="760" t="n"/>
      <c r="AI211" s="108" t="n"/>
      <c r="AJ211" s="108" t="n"/>
      <c r="AK211" s="108" t="n"/>
      <c r="AL211" s="108" t="n"/>
      <c r="AM211" s="108" t="n"/>
      <c r="AN211" s="108" t="n"/>
      <c r="AO211" s="108" t="n"/>
      <c r="AP211" s="108" t="n"/>
      <c r="AQ211" s="108" t="n"/>
      <c r="AR211" s="108" t="n"/>
      <c r="AS211" s="108" t="n"/>
      <c r="AT211" s="108" t="n"/>
      <c r="AU211" s="108" t="n"/>
      <c r="AV211" s="108" t="n"/>
      <c r="AW211" s="108" t="n"/>
      <c r="AX211" s="108" t="n"/>
      <c r="AY211" s="108" t="n"/>
      <c r="AZ211" s="108" t="n"/>
      <c r="BA211" s="108" t="n"/>
      <c r="BB211" s="108" t="n"/>
      <c r="BC211" s="108" t="n"/>
      <c r="BD211" s="108" t="n"/>
      <c r="BE211" s="108" t="n"/>
      <c r="BF211" s="108" t="n"/>
      <c r="BG211" s="108" t="n"/>
      <c r="BH211" s="108" t="n"/>
      <c r="BI211" s="109" t="n"/>
    </row>
    <row r="212" ht="14.1" customHeight="1" s="2">
      <c r="A212" s="692" t="n"/>
      <c r="B212" s="758" t="n"/>
      <c r="C212" s="692" t="n"/>
      <c r="D212" s="692" t="n"/>
      <c r="E212" s="692" t="n"/>
      <c r="F212" s="692" t="n"/>
      <c r="G212" s="692" t="n"/>
      <c r="H212" s="692" t="n"/>
      <c r="I212" s="692" t="n"/>
      <c r="J212" s="692" t="n"/>
      <c r="K212" s="692" t="n"/>
      <c r="L212" s="692" t="n"/>
      <c r="M212" s="692" t="n"/>
      <c r="N212" s="692" t="n"/>
      <c r="O212" s="692" t="n"/>
      <c r="P212" s="692" t="n"/>
      <c r="Q212" s="692" t="n"/>
      <c r="R212" s="692" t="n"/>
      <c r="S212" s="692" t="n"/>
      <c r="T212" s="692" t="n"/>
      <c r="U212" s="692" t="n"/>
      <c r="V212" s="692" t="n"/>
      <c r="W212" s="692" t="n"/>
      <c r="X212" s="692" t="n"/>
      <c r="Y212" s="692" t="n"/>
      <c r="Z212" s="692" t="n"/>
      <c r="AA212" s="692" t="n"/>
      <c r="AB212" s="692" t="n"/>
      <c r="AC212" s="692" t="n"/>
      <c r="AD212" s="692" t="n"/>
      <c r="AE212" s="692" t="n"/>
      <c r="AF212" s="692" t="n"/>
      <c r="AG212" s="692" t="n"/>
      <c r="AH212" s="760" t="n"/>
      <c r="AI212" s="108" t="n"/>
      <c r="AJ212" s="108" t="n"/>
      <c r="AK212" s="108" t="n"/>
      <c r="AL212" s="108" t="n"/>
      <c r="AM212" s="108" t="n"/>
      <c r="AN212" s="108" t="n"/>
      <c r="AO212" s="108" t="n"/>
      <c r="AP212" s="108" t="n"/>
      <c r="AQ212" s="108" t="n"/>
      <c r="AR212" s="108" t="n"/>
      <c r="AS212" s="108" t="n"/>
      <c r="AT212" s="108" t="n"/>
      <c r="AU212" s="108" t="n"/>
      <c r="AV212" s="108" t="n"/>
      <c r="AW212" s="108" t="n"/>
      <c r="AX212" s="108" t="n"/>
      <c r="AY212" s="108" t="n"/>
      <c r="AZ212" s="108" t="n"/>
      <c r="BA212" s="108" t="n"/>
      <c r="BB212" s="108" t="n"/>
      <c r="BC212" s="108" t="n"/>
      <c r="BD212" s="108" t="n"/>
      <c r="BE212" s="108" t="n"/>
      <c r="BF212" s="108" t="n"/>
      <c r="BG212" s="108" t="n"/>
      <c r="BH212" s="108" t="n"/>
      <c r="BI212" s="109" t="n"/>
    </row>
    <row r="213" ht="14.1" customHeight="1" s="2">
      <c r="A213" s="692" t="n"/>
      <c r="B213" s="758" t="n"/>
      <c r="C213" s="692" t="n"/>
      <c r="D213" s="692" t="n"/>
      <c r="E213" s="692" t="n"/>
      <c r="F213" s="692" t="n"/>
      <c r="G213" s="692" t="n"/>
      <c r="H213" s="692" t="n"/>
      <c r="I213" s="692" t="n"/>
      <c r="J213" s="692" t="n"/>
      <c r="K213" s="692" t="n"/>
      <c r="L213" s="692" t="n"/>
      <c r="M213" s="692" t="n"/>
      <c r="N213" s="692" t="n"/>
      <c r="O213" s="692" t="n"/>
      <c r="P213" s="692" t="n"/>
      <c r="Q213" s="692" t="n"/>
      <c r="R213" s="692" t="n"/>
      <c r="S213" s="692" t="n"/>
      <c r="T213" s="692" t="n"/>
      <c r="U213" s="692" t="n"/>
      <c r="V213" s="692" t="n"/>
      <c r="W213" s="692" t="n"/>
      <c r="X213" s="692" t="n"/>
      <c r="Y213" s="692" t="n"/>
      <c r="Z213" s="692" t="n"/>
      <c r="AA213" s="692" t="n"/>
      <c r="AB213" s="692" t="n"/>
      <c r="AC213" s="692" t="n"/>
      <c r="AD213" s="692" t="n"/>
      <c r="AE213" s="692" t="n"/>
      <c r="AF213" s="692" t="n"/>
      <c r="AG213" s="692" t="n"/>
      <c r="AH213" s="760" t="n"/>
      <c r="AI213" s="108" t="n"/>
      <c r="AJ213" s="108" t="n"/>
      <c r="AK213" s="108" t="n"/>
      <c r="AL213" s="108" t="n"/>
      <c r="AM213" s="108" t="n"/>
      <c r="AN213" s="108" t="n"/>
      <c r="AO213" s="108" t="n"/>
      <c r="AP213" s="108" t="n"/>
      <c r="AQ213" s="108" t="n"/>
      <c r="AR213" s="108" t="n"/>
      <c r="AS213" s="108" t="n"/>
      <c r="AT213" s="108" t="n"/>
      <c r="AU213" s="108" t="n"/>
      <c r="AV213" s="108" t="n"/>
      <c r="AW213" s="108" t="n"/>
      <c r="AX213" s="108" t="n"/>
      <c r="AY213" s="108" t="n"/>
      <c r="AZ213" s="108" t="n"/>
      <c r="BA213" s="108" t="n"/>
      <c r="BB213" s="108" t="n"/>
      <c r="BC213" s="108" t="n"/>
      <c r="BD213" s="108" t="n"/>
      <c r="BE213" s="108" t="n"/>
      <c r="BF213" s="108" t="n"/>
      <c r="BG213" s="108" t="n"/>
      <c r="BH213" s="108" t="n"/>
      <c r="BI213" s="109" t="n"/>
    </row>
    <row r="214" ht="14.1" customHeight="1" s="2">
      <c r="A214" s="692" t="n"/>
      <c r="B214" s="758" t="n"/>
      <c r="C214" s="692" t="n"/>
      <c r="D214" s="692" t="n"/>
      <c r="E214" s="692" t="n"/>
      <c r="F214" s="692" t="n"/>
      <c r="G214" s="692" t="n"/>
      <c r="H214" s="692" t="n"/>
      <c r="I214" s="692" t="n"/>
      <c r="J214" s="692" t="n"/>
      <c r="K214" s="692" t="n"/>
      <c r="L214" s="692" t="n"/>
      <c r="M214" s="692" t="n"/>
      <c r="N214" s="692" t="n"/>
      <c r="O214" s="692" t="n"/>
      <c r="P214" s="692" t="n"/>
      <c r="Q214" s="692" t="n"/>
      <c r="R214" s="692" t="n"/>
      <c r="S214" s="692" t="n"/>
      <c r="T214" s="692" t="n"/>
      <c r="U214" s="692" t="n"/>
      <c r="V214" s="692" t="n"/>
      <c r="W214" s="692" t="n"/>
      <c r="X214" s="692" t="n"/>
      <c r="Y214" s="692" t="n"/>
      <c r="Z214" s="692" t="n"/>
      <c r="AA214" s="692" t="n"/>
      <c r="AB214" s="692" t="n"/>
      <c r="AC214" s="692" t="n"/>
      <c r="AD214" s="692" t="n"/>
      <c r="AE214" s="692" t="n"/>
      <c r="AF214" s="692" t="n"/>
      <c r="AG214" s="692" t="n"/>
      <c r="AH214" s="760" t="n"/>
      <c r="AI214" s="108" t="n"/>
      <c r="AJ214" s="108" t="n"/>
      <c r="AK214" s="108" t="n"/>
      <c r="AL214" s="108" t="n"/>
      <c r="AM214" s="108" t="n"/>
      <c r="AN214" s="108" t="n"/>
      <c r="AO214" s="108" t="n"/>
      <c r="AP214" s="108" t="n"/>
      <c r="AQ214" s="108" t="n"/>
      <c r="AR214" s="108" t="n"/>
      <c r="AS214" s="108" t="n"/>
      <c r="AT214" s="108" t="n"/>
      <c r="AU214" s="108" t="n"/>
      <c r="AV214" s="108" t="n"/>
      <c r="AW214" s="108" t="n"/>
      <c r="AX214" s="108" t="n"/>
      <c r="AY214" s="108" t="n"/>
      <c r="AZ214" s="108" t="n"/>
      <c r="BA214" s="108" t="n"/>
      <c r="BB214" s="108" t="n"/>
      <c r="BC214" s="108" t="n"/>
      <c r="BD214" s="108" t="n"/>
      <c r="BE214" s="108" t="n"/>
      <c r="BF214" s="108" t="n"/>
      <c r="BG214" s="108" t="n"/>
      <c r="BH214" s="108" t="n"/>
      <c r="BI214" s="109" t="n"/>
    </row>
    <row r="215" ht="14.1" customHeight="1" s="2">
      <c r="A215" s="692" t="n"/>
      <c r="B215" s="758" t="n"/>
      <c r="C215" s="692" t="n"/>
      <c r="D215" s="692" t="n"/>
      <c r="E215" s="692" t="n"/>
      <c r="F215" s="692" t="n"/>
      <c r="G215" s="692" t="n"/>
      <c r="H215" s="692" t="n"/>
      <c r="I215" s="692" t="n"/>
      <c r="J215" s="692" t="n"/>
      <c r="K215" s="692" t="n"/>
      <c r="L215" s="692" t="n"/>
      <c r="M215" s="692" t="n"/>
      <c r="N215" s="692" t="n"/>
      <c r="O215" s="692" t="n"/>
      <c r="P215" s="692" t="n"/>
      <c r="Q215" s="692" t="n"/>
      <c r="R215" s="692" t="n"/>
      <c r="S215" s="692" t="n"/>
      <c r="T215" s="692" t="n"/>
      <c r="U215" s="692" t="n"/>
      <c r="V215" s="692" t="n"/>
      <c r="W215" s="692" t="n"/>
      <c r="X215" s="692" t="n"/>
      <c r="Y215" s="692" t="n"/>
      <c r="Z215" s="692" t="n"/>
      <c r="AA215" s="692" t="n"/>
      <c r="AB215" s="692" t="n"/>
      <c r="AC215" s="692" t="n"/>
      <c r="AD215" s="692" t="n"/>
      <c r="AE215" s="692" t="n"/>
      <c r="AF215" s="692" t="n"/>
      <c r="AG215" s="692" t="n"/>
      <c r="AH215" s="760" t="n"/>
      <c r="AI215" s="108" t="n"/>
      <c r="AJ215" s="108" t="n"/>
      <c r="AK215" s="108" t="n"/>
      <c r="AL215" s="108" t="n"/>
      <c r="AM215" s="108" t="n"/>
      <c r="AN215" s="108" t="n"/>
      <c r="AO215" s="108" t="n"/>
      <c r="AP215" s="108" t="n"/>
      <c r="AQ215" s="108" t="n"/>
      <c r="AR215" s="108" t="n"/>
      <c r="AS215" s="108" t="n"/>
      <c r="AT215" s="108" t="n"/>
      <c r="AU215" s="108" t="n"/>
      <c r="AV215" s="108" t="n"/>
      <c r="AW215" s="108" t="n"/>
      <c r="AX215" s="108" t="n"/>
      <c r="AY215" s="108" t="n"/>
      <c r="AZ215" s="108" t="n"/>
      <c r="BA215" s="108" t="n"/>
      <c r="BB215" s="108" t="n"/>
      <c r="BC215" s="108" t="n"/>
      <c r="BD215" s="108" t="n"/>
      <c r="BE215" s="108" t="n"/>
      <c r="BF215" s="108" t="n"/>
      <c r="BG215" s="108" t="n"/>
      <c r="BH215" s="108" t="n"/>
      <c r="BI215" s="109" t="n"/>
    </row>
    <row r="216" ht="14.1" customHeight="1" s="2">
      <c r="A216" s="692" t="n"/>
      <c r="B216" s="758" t="n"/>
      <c r="C216" s="692" t="n"/>
      <c r="D216" s="692" t="n"/>
      <c r="E216" s="692" t="n"/>
      <c r="F216" s="692" t="n"/>
      <c r="G216" s="692" t="n"/>
      <c r="H216" s="692" t="n"/>
      <c r="I216" s="692" t="n"/>
      <c r="J216" s="692" t="n"/>
      <c r="K216" s="692" t="n"/>
      <c r="L216" s="692" t="n"/>
      <c r="M216" s="692" t="n"/>
      <c r="N216" s="692" t="n"/>
      <c r="O216" s="692" t="n"/>
      <c r="P216" s="692" t="n"/>
      <c r="Q216" s="692" t="n"/>
      <c r="R216" s="692" t="n"/>
      <c r="S216" s="692" t="n"/>
      <c r="T216" s="692" t="n"/>
      <c r="U216" s="692" t="n"/>
      <c r="V216" s="692" t="n"/>
      <c r="W216" s="692" t="n"/>
      <c r="X216" s="692" t="n"/>
      <c r="Y216" s="692" t="n"/>
      <c r="Z216" s="692" t="n"/>
      <c r="AA216" s="692" t="n"/>
      <c r="AB216" s="692" t="n"/>
      <c r="AC216" s="692" t="n"/>
      <c r="AD216" s="692" t="n"/>
      <c r="AE216" s="692" t="n"/>
      <c r="AF216" s="692" t="n"/>
      <c r="AG216" s="692" t="n"/>
      <c r="AH216" s="760" t="n"/>
      <c r="AI216" s="108" t="n"/>
      <c r="AJ216" s="108" t="n"/>
      <c r="AK216" s="108" t="n"/>
      <c r="AL216" s="108" t="n"/>
      <c r="AM216" s="108" t="n"/>
      <c r="AN216" s="108" t="n"/>
      <c r="AO216" s="108" t="n"/>
      <c r="AP216" s="108" t="n"/>
      <c r="AQ216" s="108" t="n"/>
      <c r="AR216" s="108" t="n"/>
      <c r="AS216" s="108" t="n"/>
      <c r="AT216" s="108" t="n"/>
      <c r="AU216" s="108" t="n"/>
      <c r="AV216" s="108" t="n"/>
      <c r="AW216" s="108" t="n"/>
      <c r="AX216" s="108" t="n"/>
      <c r="AY216" s="108" t="n"/>
      <c r="AZ216" s="108" t="n"/>
      <c r="BA216" s="108" t="n"/>
      <c r="BB216" s="108" t="n"/>
      <c r="BC216" s="108" t="n"/>
      <c r="BD216" s="108" t="n"/>
      <c r="BE216" s="108" t="n"/>
      <c r="BF216" s="108" t="n"/>
      <c r="BG216" s="108" t="n"/>
      <c r="BH216" s="108" t="n"/>
      <c r="BI216" s="109" t="n"/>
    </row>
    <row r="217" ht="14.1" customHeight="1" s="2">
      <c r="A217" s="692" t="n"/>
      <c r="B217" s="758" t="n"/>
      <c r="C217" s="692" t="n"/>
      <c r="D217" s="692" t="n"/>
      <c r="E217" s="692" t="n"/>
      <c r="F217" s="692" t="n"/>
      <c r="G217" s="692" t="n"/>
      <c r="H217" s="692" t="n"/>
      <c r="I217" s="692" t="n"/>
      <c r="J217" s="692" t="n"/>
      <c r="K217" s="692" t="n"/>
      <c r="L217" s="692" t="n"/>
      <c r="M217" s="692" t="n"/>
      <c r="N217" s="692" t="n"/>
      <c r="O217" s="692" t="n"/>
      <c r="P217" s="692" t="n"/>
      <c r="Q217" s="692" t="n"/>
      <c r="R217" s="692" t="n"/>
      <c r="S217" s="692" t="n"/>
      <c r="T217" s="692" t="n"/>
      <c r="U217" s="692" t="n"/>
      <c r="V217" s="692" t="n"/>
      <c r="W217" s="692" t="n"/>
      <c r="X217" s="692" t="n"/>
      <c r="Y217" s="692" t="n"/>
      <c r="Z217" s="692" t="n"/>
      <c r="AA217" s="692" t="n"/>
      <c r="AB217" s="692" t="n"/>
      <c r="AC217" s="692" t="n"/>
      <c r="AD217" s="692" t="n"/>
      <c r="AE217" s="692" t="n"/>
      <c r="AF217" s="692" t="n"/>
      <c r="AG217" s="692" t="n"/>
      <c r="AH217" s="760" t="n"/>
      <c r="AI217" s="108" t="n"/>
      <c r="AJ217" s="108" t="n"/>
      <c r="AK217" s="108" t="n"/>
      <c r="AL217" s="108" t="n"/>
      <c r="AM217" s="108" t="n"/>
      <c r="AN217" s="108" t="n"/>
      <c r="AO217" s="108" t="n"/>
      <c r="AP217" s="108" t="n"/>
      <c r="AQ217" s="108" t="n"/>
      <c r="AR217" s="108" t="n"/>
      <c r="AS217" s="108" t="n"/>
      <c r="AT217" s="108" t="n"/>
      <c r="AU217" s="108" t="n"/>
      <c r="AV217" s="108" t="n"/>
      <c r="AW217" s="108" t="n"/>
      <c r="AX217" s="108" t="n"/>
      <c r="AY217" s="108" t="n"/>
      <c r="AZ217" s="108" t="n"/>
      <c r="BA217" s="108" t="n"/>
      <c r="BB217" s="108" t="n"/>
      <c r="BC217" s="108" t="n"/>
      <c r="BD217" s="108" t="n"/>
      <c r="BE217" s="108" t="n"/>
      <c r="BF217" s="108" t="n"/>
      <c r="BG217" s="108" t="n"/>
      <c r="BH217" s="108" t="n"/>
      <c r="BI217" s="109" t="n"/>
    </row>
    <row r="218" ht="14.1" customHeight="1" s="2">
      <c r="A218" s="692" t="n"/>
      <c r="B218" s="758" t="n"/>
      <c r="C218" s="692" t="n"/>
      <c r="D218" s="692" t="n"/>
      <c r="E218" s="692" t="n"/>
      <c r="F218" s="692" t="n"/>
      <c r="G218" s="692" t="n"/>
      <c r="H218" s="692" t="n"/>
      <c r="I218" s="692" t="n"/>
      <c r="J218" s="692" t="n"/>
      <c r="K218" s="692" t="n"/>
      <c r="L218" s="692" t="n"/>
      <c r="M218" s="692" t="n"/>
      <c r="N218" s="692" t="n"/>
      <c r="O218" s="692" t="n"/>
      <c r="P218" s="692" t="n"/>
      <c r="Q218" s="692" t="n"/>
      <c r="R218" s="692" t="n"/>
      <c r="S218" s="692" t="n"/>
      <c r="T218" s="692" t="n"/>
      <c r="U218" s="692" t="n"/>
      <c r="V218" s="692" t="n"/>
      <c r="W218" s="692" t="n"/>
      <c r="X218" s="692" t="n"/>
      <c r="Y218" s="692" t="n"/>
      <c r="Z218" s="692" t="n"/>
      <c r="AA218" s="692" t="n"/>
      <c r="AB218" s="692" t="n"/>
      <c r="AC218" s="692" t="n"/>
      <c r="AD218" s="692" t="n"/>
      <c r="AE218" s="692" t="n"/>
      <c r="AF218" s="692" t="n"/>
      <c r="AG218" s="692" t="n"/>
      <c r="AH218" s="760" t="n"/>
      <c r="AI218" s="108" t="n"/>
      <c r="AJ218" s="108" t="n"/>
      <c r="AK218" s="108" t="n"/>
      <c r="AL218" s="108" t="n"/>
      <c r="AM218" s="108" t="n"/>
      <c r="AN218" s="108" t="n"/>
      <c r="AO218" s="108" t="n"/>
      <c r="AP218" s="108" t="n"/>
      <c r="AQ218" s="108" t="n"/>
      <c r="AR218" s="108" t="n"/>
      <c r="AS218" s="108" t="n"/>
      <c r="AT218" s="108" t="n"/>
      <c r="AU218" s="108" t="n"/>
      <c r="AV218" s="108" t="n"/>
      <c r="AW218" s="108" t="n"/>
      <c r="AX218" s="108" t="n"/>
      <c r="AY218" s="108" t="n"/>
      <c r="AZ218" s="108" t="n"/>
      <c r="BA218" s="108" t="n"/>
      <c r="BB218" s="108" t="n"/>
      <c r="BC218" s="108" t="n"/>
      <c r="BD218" s="108" t="n"/>
      <c r="BE218" s="108" t="n"/>
      <c r="BF218" s="108" t="n"/>
      <c r="BG218" s="108" t="n"/>
      <c r="BH218" s="108" t="n"/>
      <c r="BI218" s="109" t="n"/>
    </row>
    <row r="219" ht="14.1" customHeight="1" s="2">
      <c r="A219" s="692" t="n"/>
      <c r="B219" s="758" t="n"/>
      <c r="C219" s="692" t="n"/>
      <c r="D219" s="692" t="n"/>
      <c r="E219" s="692" t="n"/>
      <c r="F219" s="692" t="n"/>
      <c r="G219" s="692" t="n"/>
      <c r="H219" s="692" t="n"/>
      <c r="I219" s="692" t="n"/>
      <c r="J219" s="692" t="n"/>
      <c r="K219" s="692" t="n"/>
      <c r="L219" s="692" t="n"/>
      <c r="M219" s="692" t="n"/>
      <c r="N219" s="692" t="n"/>
      <c r="O219" s="692" t="n"/>
      <c r="P219" s="692" t="n"/>
      <c r="Q219" s="692" t="n"/>
      <c r="R219" s="692" t="n"/>
      <c r="S219" s="692" t="n"/>
      <c r="T219" s="692" t="n"/>
      <c r="U219" s="692" t="n"/>
      <c r="V219" s="692" t="n"/>
      <c r="W219" s="692" t="n"/>
      <c r="X219" s="692" t="n"/>
      <c r="Y219" s="692" t="n"/>
      <c r="Z219" s="692" t="n"/>
      <c r="AA219" s="692" t="n"/>
      <c r="AB219" s="692" t="n"/>
      <c r="AC219" s="692" t="n"/>
      <c r="AD219" s="692" t="n"/>
      <c r="AE219" s="692" t="n"/>
      <c r="AF219" s="692" t="n"/>
      <c r="AG219" s="692" t="n"/>
      <c r="AH219" s="760" t="n"/>
      <c r="AI219" s="108" t="n"/>
      <c r="AJ219" s="108" t="n"/>
      <c r="AK219" s="108" t="n"/>
      <c r="AL219" s="108" t="n"/>
      <c r="AM219" s="108" t="n"/>
      <c r="AN219" s="108" t="n"/>
      <c r="AO219" s="108" t="n"/>
      <c r="AP219" s="108" t="n"/>
      <c r="AQ219" s="108" t="n"/>
      <c r="AR219" s="108" t="n"/>
      <c r="AS219" s="108" t="n"/>
      <c r="AT219" s="108" t="n"/>
      <c r="AU219" s="108" t="n"/>
      <c r="AV219" s="108" t="n"/>
      <c r="AW219" s="108" t="n"/>
      <c r="AX219" s="108" t="n"/>
      <c r="AY219" s="108" t="n"/>
      <c r="AZ219" s="108" t="n"/>
      <c r="BA219" s="108" t="n"/>
      <c r="BB219" s="108" t="n"/>
      <c r="BC219" s="108" t="n"/>
      <c r="BD219" s="108" t="n"/>
      <c r="BE219" s="108" t="n"/>
      <c r="BF219" s="108" t="n"/>
      <c r="BG219" s="108" t="n"/>
      <c r="BH219" s="108" t="n"/>
      <c r="BI219" s="109" t="n"/>
    </row>
    <row r="220" ht="14.1" customHeight="1" s="2">
      <c r="A220" s="692" t="n"/>
      <c r="B220" s="758" t="n"/>
      <c r="C220" s="692" t="n"/>
      <c r="D220" s="692" t="n"/>
      <c r="E220" s="692" t="n"/>
      <c r="F220" s="692" t="n"/>
      <c r="G220" s="692" t="n"/>
      <c r="H220" s="692" t="n"/>
      <c r="I220" s="692" t="n"/>
      <c r="J220" s="692" t="n"/>
      <c r="K220" s="692" t="n"/>
      <c r="L220" s="692" t="n"/>
      <c r="M220" s="692" t="n"/>
      <c r="N220" s="692" t="n"/>
      <c r="O220" s="692" t="n"/>
      <c r="P220" s="692" t="n"/>
      <c r="Q220" s="692" t="n"/>
      <c r="R220" s="692" t="n"/>
      <c r="S220" s="692" t="n"/>
      <c r="T220" s="692" t="n"/>
      <c r="U220" s="692" t="n"/>
      <c r="V220" s="692" t="n"/>
      <c r="W220" s="692" t="n"/>
      <c r="X220" s="692" t="n"/>
      <c r="Y220" s="692" t="n"/>
      <c r="Z220" s="692" t="n"/>
      <c r="AA220" s="692" t="n"/>
      <c r="AB220" s="692" t="n"/>
      <c r="AC220" s="692" t="n"/>
      <c r="AD220" s="692" t="n"/>
      <c r="AE220" s="692" t="n"/>
      <c r="AF220" s="692" t="n"/>
      <c r="AG220" s="692" t="n"/>
      <c r="AH220" s="760" t="n"/>
      <c r="AI220" s="108" t="n"/>
      <c r="AJ220" s="108" t="n"/>
      <c r="AK220" s="108" t="n"/>
      <c r="AL220" s="108" t="n"/>
      <c r="AM220" s="108" t="n"/>
      <c r="AN220" s="108" t="n"/>
      <c r="AO220" s="108" t="n"/>
      <c r="AP220" s="108" t="n"/>
      <c r="AQ220" s="108" t="n"/>
      <c r="AR220" s="108" t="n"/>
      <c r="AS220" s="108" t="n"/>
      <c r="AT220" s="108" t="n"/>
      <c r="AU220" s="108" t="n"/>
      <c r="AV220" s="108" t="n"/>
      <c r="AW220" s="108" t="n"/>
      <c r="AX220" s="108" t="n"/>
      <c r="AY220" s="108" t="n"/>
      <c r="AZ220" s="108" t="n"/>
      <c r="BA220" s="108" t="n"/>
      <c r="BB220" s="108" t="n"/>
      <c r="BC220" s="108" t="n"/>
      <c r="BD220" s="108" t="n"/>
      <c r="BE220" s="108" t="n"/>
      <c r="BF220" s="108" t="n"/>
      <c r="BG220" s="108" t="n"/>
      <c r="BH220" s="108" t="n"/>
      <c r="BI220" s="109" t="n"/>
    </row>
    <row r="221" ht="14.1" customHeight="1" s="2">
      <c r="A221" s="692" t="n"/>
      <c r="B221" s="758" t="n"/>
      <c r="C221" s="692" t="n"/>
      <c r="D221" s="692" t="n"/>
      <c r="E221" s="692" t="n"/>
      <c r="F221" s="692" t="n"/>
      <c r="G221" s="692" t="n"/>
      <c r="H221" s="692" t="n"/>
      <c r="I221" s="692" t="n"/>
      <c r="J221" s="692" t="n"/>
      <c r="K221" s="692" t="n"/>
      <c r="L221" s="692" t="n"/>
      <c r="M221" s="692" t="n"/>
      <c r="N221" s="692" t="n"/>
      <c r="O221" s="692" t="n"/>
      <c r="P221" s="692" t="n"/>
      <c r="Q221" s="692" t="n"/>
      <c r="R221" s="692" t="n"/>
      <c r="S221" s="692" t="n"/>
      <c r="T221" s="692" t="n"/>
      <c r="U221" s="692" t="n"/>
      <c r="V221" s="692" t="n"/>
      <c r="W221" s="692" t="n"/>
      <c r="X221" s="692" t="n"/>
      <c r="Y221" s="692" t="n"/>
      <c r="Z221" s="692" t="n"/>
      <c r="AA221" s="692" t="n"/>
      <c r="AB221" s="692" t="n"/>
      <c r="AC221" s="692" t="n"/>
      <c r="AD221" s="692" t="n"/>
      <c r="AE221" s="692" t="n"/>
      <c r="AF221" s="692" t="n"/>
      <c r="AG221" s="692" t="n"/>
      <c r="AH221" s="760" t="n"/>
      <c r="AI221" s="108" t="n"/>
      <c r="AJ221" s="108" t="n"/>
      <c r="AK221" s="108" t="n"/>
      <c r="AL221" s="108" t="n"/>
      <c r="AM221" s="108" t="n"/>
      <c r="AN221" s="108" t="n"/>
      <c r="AO221" s="108" t="n"/>
      <c r="AP221" s="108" t="n"/>
      <c r="AQ221" s="108" t="n"/>
      <c r="AR221" s="108" t="n"/>
      <c r="AS221" s="108" t="n"/>
      <c r="AT221" s="108" t="n"/>
      <c r="AU221" s="108" t="n"/>
      <c r="AV221" s="108" t="n"/>
      <c r="AW221" s="108" t="n"/>
      <c r="AX221" s="108" t="n"/>
      <c r="AY221" s="108" t="n"/>
      <c r="AZ221" s="108" t="n"/>
      <c r="BA221" s="108" t="n"/>
      <c r="BB221" s="108" t="n"/>
      <c r="BC221" s="108" t="n"/>
      <c r="BD221" s="108" t="n"/>
      <c r="BE221" s="108" t="n"/>
      <c r="BF221" s="108" t="n"/>
      <c r="BG221" s="108" t="n"/>
      <c r="BH221" s="108" t="n"/>
      <c r="BI221" s="109" t="n"/>
    </row>
    <row r="222" ht="14.1" customHeight="1" s="2">
      <c r="A222" s="692" t="n"/>
      <c r="B222" s="758" t="n"/>
      <c r="C222" s="692" t="n"/>
      <c r="D222" s="692" t="n"/>
      <c r="E222" s="692" t="n"/>
      <c r="F222" s="692" t="n"/>
      <c r="G222" s="692" t="n"/>
      <c r="H222" s="692" t="n"/>
      <c r="I222" s="692" t="n"/>
      <c r="J222" s="692" t="n"/>
      <c r="K222" s="692" t="n"/>
      <c r="L222" s="692" t="n"/>
      <c r="M222" s="692" t="n"/>
      <c r="N222" s="692" t="n"/>
      <c r="O222" s="692" t="n"/>
      <c r="P222" s="692" t="n"/>
      <c r="Q222" s="692" t="n"/>
      <c r="R222" s="692" t="n"/>
      <c r="S222" s="692" t="n"/>
      <c r="T222" s="692" t="n"/>
      <c r="U222" s="692" t="n"/>
      <c r="V222" s="692" t="n"/>
      <c r="W222" s="692" t="n"/>
      <c r="X222" s="692" t="n"/>
      <c r="Y222" s="692" t="n"/>
      <c r="Z222" s="692" t="n"/>
      <c r="AA222" s="692" t="n"/>
      <c r="AB222" s="692" t="n"/>
      <c r="AC222" s="692" t="n"/>
      <c r="AD222" s="692" t="n"/>
      <c r="AE222" s="692" t="n"/>
      <c r="AF222" s="692" t="n"/>
      <c r="AG222" s="692" t="n"/>
      <c r="AH222" s="760" t="n"/>
      <c r="AI222" s="108" t="n"/>
      <c r="AJ222" s="108" t="n"/>
      <c r="AK222" s="108" t="n"/>
      <c r="AL222" s="108" t="n"/>
      <c r="AM222" s="108" t="n"/>
      <c r="AN222" s="108" t="n"/>
      <c r="AO222" s="108" t="n"/>
      <c r="AP222" s="108" t="n"/>
      <c r="AQ222" s="108" t="n"/>
      <c r="AR222" s="108" t="n"/>
      <c r="AS222" s="108" t="n"/>
      <c r="AT222" s="108" t="n"/>
      <c r="AU222" s="108" t="n"/>
      <c r="AV222" s="108" t="n"/>
      <c r="AW222" s="108" t="n"/>
      <c r="AX222" s="108" t="n"/>
      <c r="AY222" s="108" t="n"/>
      <c r="AZ222" s="108" t="n"/>
      <c r="BA222" s="108" t="n"/>
      <c r="BB222" s="108" t="n"/>
      <c r="BC222" s="108" t="n"/>
      <c r="BD222" s="108" t="n"/>
      <c r="BE222" s="108" t="n"/>
      <c r="BF222" s="108" t="n"/>
      <c r="BG222" s="108" t="n"/>
      <c r="BH222" s="108" t="n"/>
      <c r="BI222" s="109" t="n"/>
    </row>
    <row r="223" ht="14.1" customHeight="1" s="2">
      <c r="A223" s="692" t="n"/>
      <c r="B223" s="758" t="n"/>
      <c r="C223" s="692" t="n"/>
      <c r="D223" s="692" t="n"/>
      <c r="E223" s="692" t="n"/>
      <c r="F223" s="692" t="n"/>
      <c r="G223" s="692" t="n"/>
      <c r="H223" s="692" t="n"/>
      <c r="I223" s="692" t="n"/>
      <c r="J223" s="692" t="n"/>
      <c r="K223" s="692" t="n"/>
      <c r="L223" s="692" t="n"/>
      <c r="M223" s="692" t="n"/>
      <c r="N223" s="692" t="n"/>
      <c r="O223" s="692" t="n"/>
      <c r="P223" s="692" t="n"/>
      <c r="Q223" s="692" t="n"/>
      <c r="R223" s="692" t="n"/>
      <c r="S223" s="692" t="n"/>
      <c r="T223" s="692" t="n"/>
      <c r="U223" s="692" t="n"/>
      <c r="V223" s="692" t="n"/>
      <c r="W223" s="692" t="n"/>
      <c r="X223" s="692" t="n"/>
      <c r="Y223" s="692" t="n"/>
      <c r="Z223" s="692" t="n"/>
      <c r="AA223" s="692" t="n"/>
      <c r="AB223" s="692" t="n"/>
      <c r="AC223" s="692" t="n"/>
      <c r="AD223" s="692" t="n"/>
      <c r="AE223" s="692" t="n"/>
      <c r="AF223" s="692" t="n"/>
      <c r="AG223" s="692" t="n"/>
      <c r="AH223" s="760" t="n"/>
      <c r="AI223" s="108" t="n"/>
      <c r="AJ223" s="108" t="n"/>
      <c r="AK223" s="108" t="n"/>
      <c r="AL223" s="108" t="n"/>
      <c r="AM223" s="108" t="n"/>
      <c r="AN223" s="108" t="n"/>
      <c r="AO223" s="108" t="n"/>
      <c r="AP223" s="108" t="n"/>
      <c r="AQ223" s="108" t="n"/>
      <c r="AR223" s="108" t="n"/>
      <c r="AS223" s="108" t="n"/>
      <c r="AT223" s="108" t="n"/>
      <c r="AU223" s="108" t="n"/>
      <c r="AV223" s="108" t="n"/>
      <c r="AW223" s="108" t="n"/>
      <c r="AX223" s="108" t="n"/>
      <c r="AY223" s="108" t="n"/>
      <c r="AZ223" s="108" t="n"/>
      <c r="BA223" s="108" t="n"/>
      <c r="BB223" s="108" t="n"/>
      <c r="BC223" s="108" t="n"/>
      <c r="BD223" s="108" t="n"/>
      <c r="BE223" s="108" t="n"/>
      <c r="BF223" s="108" t="n"/>
      <c r="BG223" s="108" t="n"/>
      <c r="BH223" s="108" t="n"/>
      <c r="BI223" s="109" t="n"/>
    </row>
    <row r="224" ht="14.1" customHeight="1" s="2">
      <c r="A224" s="692" t="n"/>
      <c r="B224" s="758" t="n"/>
      <c r="C224" s="692" t="n"/>
      <c r="D224" s="692" t="n"/>
      <c r="E224" s="692" t="n"/>
      <c r="F224" s="692" t="n"/>
      <c r="G224" s="692" t="n"/>
      <c r="H224" s="692" t="n"/>
      <c r="I224" s="692" t="n"/>
      <c r="J224" s="692" t="n"/>
      <c r="K224" s="692" t="n"/>
      <c r="L224" s="692" t="n"/>
      <c r="M224" s="692" t="n"/>
      <c r="N224" s="692" t="n"/>
      <c r="O224" s="692" t="n"/>
      <c r="P224" s="692" t="n"/>
      <c r="Q224" s="692" t="n"/>
      <c r="R224" s="692" t="n"/>
      <c r="S224" s="692" t="n"/>
      <c r="T224" s="692" t="n"/>
      <c r="U224" s="692" t="n"/>
      <c r="V224" s="692" t="n"/>
      <c r="W224" s="692" t="n"/>
      <c r="X224" s="692" t="n"/>
      <c r="Y224" s="692" t="n"/>
      <c r="Z224" s="692" t="n"/>
      <c r="AA224" s="692" t="n"/>
      <c r="AB224" s="692" t="n"/>
      <c r="AC224" s="692" t="n"/>
      <c r="AD224" s="692" t="n"/>
      <c r="AE224" s="692" t="n"/>
      <c r="AF224" s="692" t="n"/>
      <c r="AG224" s="692" t="n"/>
      <c r="AH224" s="760" t="n"/>
      <c r="AI224" s="108" t="n"/>
      <c r="AJ224" s="108" t="n"/>
      <c r="AK224" s="108" t="n"/>
      <c r="AL224" s="108" t="n"/>
      <c r="AM224" s="108" t="n"/>
      <c r="AN224" s="108" t="n"/>
      <c r="AO224" s="108" t="n"/>
      <c r="AP224" s="108" t="n"/>
      <c r="AQ224" s="108" t="n"/>
      <c r="AR224" s="108" t="n"/>
      <c r="AS224" s="108" t="n"/>
      <c r="AT224" s="108" t="n"/>
      <c r="AU224" s="108" t="n"/>
      <c r="AV224" s="108" t="n"/>
      <c r="AW224" s="108" t="n"/>
      <c r="AX224" s="108" t="n"/>
      <c r="AY224" s="108" t="n"/>
      <c r="AZ224" s="108" t="n"/>
      <c r="BA224" s="108" t="n"/>
      <c r="BB224" s="108" t="n"/>
      <c r="BC224" s="108" t="n"/>
      <c r="BD224" s="108" t="n"/>
      <c r="BE224" s="108" t="n"/>
      <c r="BF224" s="108" t="n"/>
      <c r="BG224" s="108" t="n"/>
      <c r="BH224" s="108" t="n"/>
      <c r="BI224" s="109" t="n"/>
    </row>
    <row r="225" ht="14.1" customHeight="1" s="2">
      <c r="A225" s="692" t="n"/>
      <c r="B225" s="758" t="n"/>
      <c r="C225" s="692" t="n"/>
      <c r="D225" s="692" t="n"/>
      <c r="E225" s="692" t="n"/>
      <c r="F225" s="692" t="n"/>
      <c r="G225" s="692" t="n"/>
      <c r="H225" s="692" t="n"/>
      <c r="I225" s="692" t="n"/>
      <c r="J225" s="692" t="n"/>
      <c r="K225" s="692" t="n"/>
      <c r="L225" s="692" t="n"/>
      <c r="M225" s="692" t="n"/>
      <c r="N225" s="692" t="n"/>
      <c r="O225" s="692" t="n"/>
      <c r="P225" s="692" t="n"/>
      <c r="Q225" s="692" t="n"/>
      <c r="R225" s="692" t="n"/>
      <c r="S225" s="692" t="n"/>
      <c r="T225" s="692" t="n"/>
      <c r="U225" s="692" t="n"/>
      <c r="V225" s="692" t="n"/>
      <c r="W225" s="692" t="n"/>
      <c r="X225" s="692" t="n"/>
      <c r="Y225" s="692" t="n"/>
      <c r="Z225" s="692" t="n"/>
      <c r="AA225" s="692" t="n"/>
      <c r="AB225" s="692" t="n"/>
      <c r="AC225" s="692" t="n"/>
      <c r="AD225" s="692" t="n"/>
      <c r="AE225" s="692" t="n"/>
      <c r="AF225" s="692" t="n"/>
      <c r="AG225" s="692" t="n"/>
      <c r="AH225" s="760" t="n"/>
      <c r="AI225" s="108" t="n"/>
      <c r="AJ225" s="108" t="n"/>
      <c r="AK225" s="108" t="n"/>
      <c r="AL225" s="108" t="n"/>
      <c r="AM225" s="108" t="n"/>
      <c r="AN225" s="108" t="n"/>
      <c r="AO225" s="108" t="n"/>
      <c r="AP225" s="108" t="n"/>
      <c r="AQ225" s="108" t="n"/>
      <c r="AR225" s="108" t="n"/>
      <c r="AS225" s="108" t="n"/>
      <c r="AT225" s="108" t="n"/>
      <c r="AU225" s="108" t="n"/>
      <c r="AV225" s="108" t="n"/>
      <c r="AW225" s="108" t="n"/>
      <c r="AX225" s="108" t="n"/>
      <c r="AY225" s="108" t="n"/>
      <c r="AZ225" s="108" t="n"/>
      <c r="BA225" s="108" t="n"/>
      <c r="BB225" s="108" t="n"/>
      <c r="BC225" s="108" t="n"/>
      <c r="BD225" s="108" t="n"/>
      <c r="BE225" s="108" t="n"/>
      <c r="BF225" s="108" t="n"/>
      <c r="BG225" s="108" t="n"/>
      <c r="BH225" s="108" t="n"/>
      <c r="BI225" s="109" t="n"/>
    </row>
    <row r="226" ht="14.1" customHeight="1" s="2">
      <c r="A226" s="692" t="n"/>
      <c r="B226" s="758" t="n"/>
      <c r="C226" s="692" t="n"/>
      <c r="D226" s="692" t="n"/>
      <c r="E226" s="692" t="n"/>
      <c r="F226" s="692" t="n"/>
      <c r="G226" s="692" t="n"/>
      <c r="H226" s="692" t="n"/>
      <c r="I226" s="692" t="n"/>
      <c r="J226" s="692" t="n"/>
      <c r="K226" s="692" t="n"/>
      <c r="L226" s="692" t="n"/>
      <c r="M226" s="692" t="n"/>
      <c r="N226" s="692" t="n"/>
      <c r="O226" s="692" t="n"/>
      <c r="P226" s="692" t="n"/>
      <c r="Q226" s="692" t="n"/>
      <c r="R226" s="692" t="n"/>
      <c r="S226" s="692" t="n"/>
      <c r="T226" s="692" t="n"/>
      <c r="U226" s="692" t="n"/>
      <c r="V226" s="692" t="n"/>
      <c r="W226" s="692" t="n"/>
      <c r="X226" s="692" t="n"/>
      <c r="Y226" s="692" t="n"/>
      <c r="Z226" s="692" t="n"/>
      <c r="AA226" s="692" t="n"/>
      <c r="AB226" s="692" t="n"/>
      <c r="AC226" s="692" t="n"/>
      <c r="AD226" s="692" t="n"/>
      <c r="AE226" s="692" t="n"/>
      <c r="AF226" s="692" t="n"/>
      <c r="AG226" s="692" t="n"/>
      <c r="AH226" s="760" t="n"/>
      <c r="AI226" s="108" t="n"/>
      <c r="AJ226" s="108" t="n"/>
      <c r="AK226" s="108" t="n"/>
      <c r="AL226" s="108" t="n"/>
      <c r="AM226" s="108" t="n"/>
      <c r="AN226" s="108" t="n"/>
      <c r="AO226" s="108" t="n"/>
      <c r="AP226" s="108" t="n"/>
      <c r="AQ226" s="108" t="n"/>
      <c r="AR226" s="108" t="n"/>
      <c r="AS226" s="108" t="n"/>
      <c r="AT226" s="108" t="n"/>
      <c r="AU226" s="108" t="n"/>
      <c r="AV226" s="108" t="n"/>
      <c r="AW226" s="108" t="n"/>
      <c r="AX226" s="108" t="n"/>
      <c r="AY226" s="108" t="n"/>
      <c r="AZ226" s="108" t="n"/>
      <c r="BA226" s="108" t="n"/>
      <c r="BB226" s="108" t="n"/>
      <c r="BC226" s="108" t="n"/>
      <c r="BD226" s="108" t="n"/>
      <c r="BE226" s="108" t="n"/>
      <c r="BF226" s="108" t="n"/>
      <c r="BG226" s="108" t="n"/>
      <c r="BH226" s="108" t="n"/>
      <c r="BI226" s="109" t="n"/>
    </row>
    <row r="227" ht="14.1" customHeight="1" s="2">
      <c r="A227" s="692" t="n"/>
      <c r="B227" s="758" t="n"/>
      <c r="C227" s="692" t="n"/>
      <c r="D227" s="692" t="n"/>
      <c r="E227" s="692" t="n"/>
      <c r="F227" s="692" t="n"/>
      <c r="G227" s="692" t="n"/>
      <c r="H227" s="692" t="n"/>
      <c r="I227" s="692" t="n"/>
      <c r="J227" s="692" t="n"/>
      <c r="K227" s="692" t="n"/>
      <c r="L227" s="692" t="n"/>
      <c r="M227" s="692" t="n"/>
      <c r="N227" s="692" t="n"/>
      <c r="O227" s="692" t="n"/>
      <c r="P227" s="692" t="n"/>
      <c r="Q227" s="692" t="n"/>
      <c r="R227" s="692" t="n"/>
      <c r="S227" s="692" t="n"/>
      <c r="T227" s="692" t="n"/>
      <c r="U227" s="692" t="n"/>
      <c r="V227" s="692" t="n"/>
      <c r="W227" s="692" t="n"/>
      <c r="X227" s="692" t="n"/>
      <c r="Y227" s="692" t="n"/>
      <c r="Z227" s="692" t="n"/>
      <c r="AA227" s="692" t="n"/>
      <c r="AB227" s="692" t="n"/>
      <c r="AC227" s="692" t="n"/>
      <c r="AD227" s="692" t="n"/>
      <c r="AE227" s="692" t="n"/>
      <c r="AF227" s="692" t="n"/>
      <c r="AG227" s="692" t="n"/>
      <c r="AH227" s="760" t="n"/>
      <c r="AI227" s="108" t="n"/>
      <c r="AJ227" s="108" t="n"/>
      <c r="AK227" s="108" t="n"/>
      <c r="AL227" s="108" t="n"/>
      <c r="AM227" s="108" t="n"/>
      <c r="AN227" s="108" t="n"/>
      <c r="AO227" s="108" t="n"/>
      <c r="AP227" s="108" t="n"/>
      <c r="AQ227" s="108" t="n"/>
      <c r="AR227" s="108" t="n"/>
      <c r="AS227" s="108" t="n"/>
      <c r="AT227" s="108" t="n"/>
      <c r="AU227" s="108" t="n"/>
      <c r="AV227" s="108" t="n"/>
      <c r="AW227" s="108" t="n"/>
      <c r="AX227" s="108" t="n"/>
      <c r="AY227" s="108" t="n"/>
      <c r="AZ227" s="108" t="n"/>
      <c r="BA227" s="108" t="n"/>
      <c r="BB227" s="108" t="n"/>
      <c r="BC227" s="108" t="n"/>
      <c r="BD227" s="108" t="n"/>
      <c r="BE227" s="108" t="n"/>
      <c r="BF227" s="108" t="n"/>
      <c r="BG227" s="108" t="n"/>
      <c r="BH227" s="108" t="n"/>
      <c r="BI227" s="109" t="n"/>
    </row>
    <row r="228" ht="14.1" customHeight="1" s="2">
      <c r="A228" s="692" t="n"/>
      <c r="B228" s="758" t="n"/>
      <c r="C228" s="692" t="n"/>
      <c r="D228" s="692" t="n"/>
      <c r="E228" s="692" t="n"/>
      <c r="F228" s="692" t="n"/>
      <c r="G228" s="692" t="n"/>
      <c r="H228" s="692" t="n"/>
      <c r="I228" s="692" t="n"/>
      <c r="J228" s="692" t="n"/>
      <c r="K228" s="692" t="n"/>
      <c r="L228" s="692" t="n"/>
      <c r="M228" s="692" t="n"/>
      <c r="N228" s="692" t="n"/>
      <c r="O228" s="692" t="n"/>
      <c r="P228" s="692" t="n"/>
      <c r="Q228" s="692" t="n"/>
      <c r="R228" s="692" t="n"/>
      <c r="S228" s="692" t="n"/>
      <c r="T228" s="692" t="n"/>
      <c r="U228" s="692" t="n"/>
      <c r="V228" s="692" t="n"/>
      <c r="W228" s="692" t="n"/>
      <c r="X228" s="692" t="n"/>
      <c r="Y228" s="692" t="n"/>
      <c r="Z228" s="692" t="n"/>
      <c r="AA228" s="692" t="n"/>
      <c r="AB228" s="692" t="n"/>
      <c r="AC228" s="692" t="n"/>
      <c r="AD228" s="692" t="n"/>
      <c r="AE228" s="692" t="n"/>
      <c r="AF228" s="692" t="n"/>
      <c r="AG228" s="692" t="n"/>
      <c r="AH228" s="760" t="n"/>
      <c r="AI228" s="108" t="n"/>
      <c r="AJ228" s="108" t="n"/>
      <c r="AK228" s="108" t="n"/>
      <c r="AL228" s="108" t="n"/>
      <c r="AM228" s="108" t="n"/>
      <c r="AN228" s="108" t="n"/>
      <c r="AO228" s="108" t="n"/>
      <c r="AP228" s="108" t="n"/>
      <c r="AQ228" s="108" t="n"/>
      <c r="AR228" s="108" t="n"/>
      <c r="AS228" s="108" t="n"/>
      <c r="AT228" s="108" t="n"/>
      <c r="AU228" s="108" t="n"/>
      <c r="AV228" s="108" t="n"/>
      <c r="AW228" s="108" t="n"/>
      <c r="AX228" s="108" t="n"/>
      <c r="AY228" s="108" t="n"/>
      <c r="AZ228" s="108" t="n"/>
      <c r="BA228" s="108" t="n"/>
      <c r="BB228" s="108" t="n"/>
      <c r="BC228" s="108" t="n"/>
      <c r="BD228" s="108" t="n"/>
      <c r="BE228" s="108" t="n"/>
      <c r="BF228" s="108" t="n"/>
      <c r="BG228" s="108" t="n"/>
      <c r="BH228" s="108" t="n"/>
      <c r="BI228" s="109" t="n"/>
    </row>
    <row r="229" ht="14.1" customHeight="1" s="2">
      <c r="A229" s="692" t="n"/>
      <c r="B229" s="758" t="n"/>
      <c r="C229" s="692" t="n"/>
      <c r="D229" s="692" t="n"/>
      <c r="E229" s="692" t="n"/>
      <c r="F229" s="692" t="n"/>
      <c r="G229" s="692" t="n"/>
      <c r="H229" s="692" t="n"/>
      <c r="I229" s="692" t="n"/>
      <c r="J229" s="692" t="n"/>
      <c r="K229" s="692" t="n"/>
      <c r="L229" s="692" t="n"/>
      <c r="M229" s="692" t="n"/>
      <c r="N229" s="692" t="n"/>
      <c r="O229" s="692" t="n"/>
      <c r="P229" s="692" t="n"/>
      <c r="Q229" s="692" t="n"/>
      <c r="R229" s="692" t="n"/>
      <c r="S229" s="692" t="n"/>
      <c r="T229" s="692" t="n"/>
      <c r="U229" s="692" t="n"/>
      <c r="V229" s="692" t="n"/>
      <c r="W229" s="692" t="n"/>
      <c r="X229" s="692" t="n"/>
      <c r="Y229" s="692" t="n"/>
      <c r="Z229" s="692" t="n"/>
      <c r="AA229" s="692" t="n"/>
      <c r="AB229" s="692" t="n"/>
      <c r="AC229" s="692" t="n"/>
      <c r="AD229" s="692" t="n"/>
      <c r="AE229" s="692" t="n"/>
      <c r="AF229" s="692" t="n"/>
      <c r="AG229" s="692" t="n"/>
      <c r="AH229" s="760" t="n"/>
      <c r="AI229" s="108" t="n"/>
      <c r="AJ229" s="108" t="n"/>
      <c r="AK229" s="108" t="n"/>
      <c r="AL229" s="108" t="n"/>
      <c r="AM229" s="108" t="n"/>
      <c r="AN229" s="108" t="n"/>
      <c r="AO229" s="108" t="n"/>
      <c r="AP229" s="108" t="n"/>
      <c r="AQ229" s="108" t="n"/>
      <c r="AR229" s="108" t="n"/>
      <c r="AS229" s="108" t="n"/>
      <c r="AT229" s="108" t="n"/>
      <c r="AU229" s="108" t="n"/>
      <c r="AV229" s="108" t="n"/>
      <c r="AW229" s="108" t="n"/>
      <c r="AX229" s="108" t="n"/>
      <c r="AY229" s="108" t="n"/>
      <c r="AZ229" s="108" t="n"/>
      <c r="BA229" s="108" t="n"/>
      <c r="BB229" s="108" t="n"/>
      <c r="BC229" s="108" t="n"/>
      <c r="BD229" s="108" t="n"/>
      <c r="BE229" s="108" t="n"/>
      <c r="BF229" s="108" t="n"/>
      <c r="BG229" s="108" t="n"/>
      <c r="BH229" s="108" t="n"/>
      <c r="BI229" s="109" t="n"/>
    </row>
    <row r="230" ht="14.1" customHeight="1" s="2">
      <c r="A230" s="692" t="n"/>
      <c r="B230" s="758" t="n"/>
      <c r="C230" s="692" t="n"/>
      <c r="D230" s="692" t="n"/>
      <c r="E230" s="692" t="n"/>
      <c r="F230" s="692" t="n"/>
      <c r="G230" s="692" t="n"/>
      <c r="H230" s="692" t="n"/>
      <c r="I230" s="692" t="n"/>
      <c r="J230" s="692" t="n"/>
      <c r="K230" s="692" t="n"/>
      <c r="L230" s="692" t="n"/>
      <c r="M230" s="692" t="n"/>
      <c r="N230" s="692" t="n"/>
      <c r="O230" s="692" t="n"/>
      <c r="P230" s="692" t="n"/>
      <c r="Q230" s="692" t="n"/>
      <c r="R230" s="692" t="n"/>
      <c r="S230" s="692" t="n"/>
      <c r="T230" s="692" t="n"/>
      <c r="U230" s="692" t="n"/>
      <c r="V230" s="692" t="n"/>
      <c r="W230" s="692" t="n"/>
      <c r="X230" s="692" t="n"/>
      <c r="Y230" s="692" t="n"/>
      <c r="Z230" s="692" t="n"/>
      <c r="AA230" s="692" t="n"/>
      <c r="AB230" s="692" t="n"/>
      <c r="AC230" s="692" t="n"/>
      <c r="AD230" s="692" t="n"/>
      <c r="AE230" s="692" t="n"/>
      <c r="AF230" s="692" t="n"/>
      <c r="AG230" s="692" t="n"/>
      <c r="AH230" s="760" t="n"/>
      <c r="AI230" s="108" t="n"/>
      <c r="AJ230" s="108" t="n"/>
      <c r="AK230" s="108" t="n"/>
      <c r="AL230" s="108" t="n"/>
      <c r="AM230" s="108" t="n"/>
      <c r="AN230" s="108" t="n"/>
      <c r="AO230" s="108" t="n"/>
      <c r="AP230" s="108" t="n"/>
      <c r="AQ230" s="108" t="n"/>
      <c r="AR230" s="108" t="n"/>
      <c r="AS230" s="108" t="n"/>
      <c r="AT230" s="108" t="n"/>
      <c r="AU230" s="108" t="n"/>
      <c r="AV230" s="108" t="n"/>
      <c r="AW230" s="108" t="n"/>
      <c r="AX230" s="108" t="n"/>
      <c r="AY230" s="108" t="n"/>
      <c r="AZ230" s="108" t="n"/>
      <c r="BA230" s="108" t="n"/>
      <c r="BB230" s="108" t="n"/>
      <c r="BC230" s="108" t="n"/>
      <c r="BD230" s="108" t="n"/>
      <c r="BE230" s="108" t="n"/>
      <c r="BF230" s="108" t="n"/>
      <c r="BG230" s="108" t="n"/>
      <c r="BH230" s="108" t="n"/>
      <c r="BI230" s="109" t="n"/>
    </row>
    <row r="231" ht="14.1" customHeight="1" s="2">
      <c r="A231" s="692" t="n"/>
      <c r="B231" s="758" t="n"/>
      <c r="C231" s="692" t="n"/>
      <c r="D231" s="692" t="n"/>
      <c r="E231" s="692" t="n"/>
      <c r="F231" s="692" t="n"/>
      <c r="G231" s="692" t="n"/>
      <c r="H231" s="692" t="n"/>
      <c r="I231" s="692" t="n"/>
      <c r="J231" s="692" t="n"/>
      <c r="K231" s="692" t="n"/>
      <c r="L231" s="692" t="n"/>
      <c r="M231" s="692" t="n"/>
      <c r="N231" s="692" t="n"/>
      <c r="O231" s="692" t="n"/>
      <c r="P231" s="692" t="n"/>
      <c r="Q231" s="692" t="n"/>
      <c r="R231" s="692" t="n"/>
      <c r="S231" s="692" t="n"/>
      <c r="T231" s="692" t="n"/>
      <c r="U231" s="692" t="n"/>
      <c r="V231" s="692" t="n"/>
      <c r="W231" s="692" t="n"/>
      <c r="X231" s="692" t="n"/>
      <c r="Y231" s="692" t="n"/>
      <c r="Z231" s="692" t="n"/>
      <c r="AA231" s="692" t="n"/>
      <c r="AB231" s="692" t="n"/>
      <c r="AC231" s="692" t="n"/>
      <c r="AD231" s="692" t="n"/>
      <c r="AE231" s="692" t="n"/>
      <c r="AF231" s="692" t="n"/>
      <c r="AG231" s="692" t="n"/>
      <c r="AH231" s="760" t="n"/>
      <c r="AI231" s="108" t="n"/>
      <c r="AJ231" s="108" t="n"/>
      <c r="AK231" s="108" t="n"/>
      <c r="AL231" s="108" t="n"/>
      <c r="AM231" s="108" t="n"/>
      <c r="AN231" s="108" t="n"/>
      <c r="AO231" s="108" t="n"/>
      <c r="AP231" s="108" t="n"/>
      <c r="AQ231" s="108" t="n"/>
      <c r="AR231" s="108" t="n"/>
      <c r="AS231" s="108" t="n"/>
      <c r="AT231" s="108" t="n"/>
      <c r="AU231" s="108" t="n"/>
      <c r="AV231" s="108" t="n"/>
      <c r="AW231" s="108" t="n"/>
      <c r="AX231" s="108" t="n"/>
      <c r="AY231" s="108" t="n"/>
      <c r="AZ231" s="108" t="n"/>
      <c r="BA231" s="108" t="n"/>
      <c r="BB231" s="108" t="n"/>
      <c r="BC231" s="108" t="n"/>
      <c r="BD231" s="108" t="n"/>
      <c r="BE231" s="108" t="n"/>
      <c r="BF231" s="108" t="n"/>
      <c r="BG231" s="108" t="n"/>
      <c r="BH231" s="108" t="n"/>
      <c r="BI231" s="109" t="n"/>
    </row>
    <row r="232" ht="14.1" customHeight="1" s="2">
      <c r="A232" s="692" t="n"/>
      <c r="B232" s="758" t="n"/>
      <c r="C232" s="692" t="n"/>
      <c r="D232" s="692" t="n"/>
      <c r="E232" s="692" t="n"/>
      <c r="F232" s="692" t="n"/>
      <c r="G232" s="692" t="n"/>
      <c r="H232" s="692" t="n"/>
      <c r="I232" s="692" t="n"/>
      <c r="J232" s="692" t="n"/>
      <c r="K232" s="692" t="n"/>
      <c r="L232" s="692" t="n"/>
      <c r="M232" s="692" t="n"/>
      <c r="N232" s="692" t="n"/>
      <c r="O232" s="692" t="n"/>
      <c r="P232" s="692" t="n"/>
      <c r="Q232" s="692" t="n"/>
      <c r="R232" s="692" t="n"/>
      <c r="S232" s="692" t="n"/>
      <c r="T232" s="692" t="n"/>
      <c r="U232" s="692" t="n"/>
      <c r="V232" s="692" t="n"/>
      <c r="W232" s="692" t="n"/>
      <c r="X232" s="692" t="n"/>
      <c r="Y232" s="692" t="n"/>
      <c r="Z232" s="692" t="n"/>
      <c r="AA232" s="692" t="n"/>
      <c r="AB232" s="692" t="n"/>
      <c r="AC232" s="692" t="n"/>
      <c r="AD232" s="692" t="n"/>
      <c r="AE232" s="692" t="n"/>
      <c r="AF232" s="692" t="n"/>
      <c r="AG232" s="692" t="n"/>
      <c r="AH232" s="760" t="n"/>
      <c r="AI232" s="108" t="n"/>
      <c r="AJ232" s="108" t="n"/>
      <c r="AK232" s="108" t="n"/>
      <c r="AL232" s="108" t="n"/>
      <c r="AM232" s="108" t="n"/>
      <c r="AN232" s="108" t="n"/>
      <c r="AO232" s="108" t="n"/>
      <c r="AP232" s="108" t="n"/>
      <c r="AQ232" s="108" t="n"/>
      <c r="AR232" s="108" t="n"/>
      <c r="AS232" s="108" t="n"/>
      <c r="AT232" s="108" t="n"/>
      <c r="AU232" s="108" t="n"/>
      <c r="AV232" s="108" t="n"/>
      <c r="AW232" s="108" t="n"/>
      <c r="AX232" s="108" t="n"/>
      <c r="AY232" s="108" t="n"/>
      <c r="AZ232" s="108" t="n"/>
      <c r="BA232" s="108" t="n"/>
      <c r="BB232" s="108" t="n"/>
      <c r="BC232" s="108" t="n"/>
      <c r="BD232" s="108" t="n"/>
      <c r="BE232" s="108" t="n"/>
      <c r="BF232" s="108" t="n"/>
      <c r="BG232" s="108" t="n"/>
      <c r="BH232" s="108" t="n"/>
      <c r="BI232" s="109" t="n"/>
    </row>
    <row r="233" ht="14.1" customHeight="1" s="2">
      <c r="A233" s="692" t="n"/>
      <c r="B233" s="758" t="n"/>
      <c r="C233" s="692" t="n"/>
      <c r="D233" s="692" t="n"/>
      <c r="E233" s="692" t="n"/>
      <c r="F233" s="692" t="n"/>
      <c r="G233" s="692" t="n"/>
      <c r="H233" s="692" t="n"/>
      <c r="I233" s="692" t="n"/>
      <c r="J233" s="692" t="n"/>
      <c r="K233" s="692" t="n"/>
      <c r="L233" s="692" t="n"/>
      <c r="M233" s="692" t="n"/>
      <c r="N233" s="692" t="n"/>
      <c r="O233" s="692" t="n"/>
      <c r="P233" s="692" t="n"/>
      <c r="Q233" s="692" t="n"/>
      <c r="R233" s="692" t="n"/>
      <c r="S233" s="692" t="n"/>
      <c r="T233" s="692" t="n"/>
      <c r="U233" s="692" t="n"/>
      <c r="V233" s="692" t="n"/>
      <c r="W233" s="692" t="n"/>
      <c r="X233" s="692" t="n"/>
      <c r="Y233" s="692" t="n"/>
      <c r="Z233" s="692" t="n"/>
      <c r="AA233" s="692" t="n"/>
      <c r="AB233" s="692" t="n"/>
      <c r="AC233" s="692" t="n"/>
      <c r="AD233" s="692" t="n"/>
      <c r="AE233" s="692" t="n"/>
      <c r="AF233" s="692" t="n"/>
      <c r="AG233" s="692" t="n"/>
      <c r="AH233" s="760" t="n"/>
      <c r="AI233" s="108" t="n"/>
      <c r="AJ233" s="108" t="n"/>
      <c r="AK233" s="108" t="n"/>
      <c r="AL233" s="108" t="n"/>
      <c r="AM233" s="108" t="n"/>
      <c r="AN233" s="108" t="n"/>
      <c r="AO233" s="108" t="n"/>
      <c r="AP233" s="108" t="n"/>
      <c r="AQ233" s="108" t="n"/>
      <c r="AR233" s="108" t="n"/>
      <c r="AS233" s="108" t="n"/>
      <c r="AT233" s="108" t="n"/>
      <c r="AU233" s="108" t="n"/>
      <c r="AV233" s="108" t="n"/>
      <c r="AW233" s="108" t="n"/>
      <c r="AX233" s="108" t="n"/>
      <c r="AY233" s="108" t="n"/>
      <c r="AZ233" s="108" t="n"/>
      <c r="BA233" s="108" t="n"/>
      <c r="BB233" s="108" t="n"/>
      <c r="BC233" s="108" t="n"/>
      <c r="BD233" s="108" t="n"/>
      <c r="BE233" s="108" t="n"/>
      <c r="BF233" s="108" t="n"/>
      <c r="BG233" s="108" t="n"/>
      <c r="BH233" s="108" t="n"/>
      <c r="BI233" s="109" t="n"/>
    </row>
    <row r="234" ht="14.1" customHeight="1" s="2">
      <c r="A234" s="692" t="n"/>
      <c r="B234" s="758" t="n"/>
      <c r="C234" s="692" t="n"/>
      <c r="D234" s="692" t="n"/>
      <c r="E234" s="692" t="n"/>
      <c r="F234" s="692" t="n"/>
      <c r="G234" s="692" t="n"/>
      <c r="H234" s="692" t="n"/>
      <c r="I234" s="692" t="n"/>
      <c r="J234" s="692" t="n"/>
      <c r="K234" s="692" t="n"/>
      <c r="L234" s="692" t="n"/>
      <c r="M234" s="692" t="n"/>
      <c r="N234" s="692" t="n"/>
      <c r="O234" s="692" t="n"/>
      <c r="P234" s="692" t="n"/>
      <c r="Q234" s="692" t="n"/>
      <c r="R234" s="692" t="n"/>
      <c r="S234" s="692" t="n"/>
      <c r="T234" s="692" t="n"/>
      <c r="U234" s="692" t="n"/>
      <c r="V234" s="692" t="n"/>
      <c r="W234" s="692" t="n"/>
      <c r="X234" s="692" t="n"/>
      <c r="Y234" s="692" t="n"/>
      <c r="Z234" s="692" t="n"/>
      <c r="AA234" s="692" t="n"/>
      <c r="AB234" s="692" t="n"/>
      <c r="AC234" s="692" t="n"/>
      <c r="AD234" s="692" t="n"/>
      <c r="AE234" s="692" t="n"/>
      <c r="AF234" s="692" t="n"/>
      <c r="AG234" s="692" t="n"/>
      <c r="AH234" s="760" t="n"/>
      <c r="AI234" s="108" t="n"/>
      <c r="AJ234" s="108" t="n"/>
      <c r="AK234" s="108" t="n"/>
      <c r="AL234" s="108" t="n"/>
      <c r="AM234" s="108" t="n"/>
      <c r="AN234" s="108" t="n"/>
      <c r="AO234" s="108" t="n"/>
      <c r="AP234" s="108" t="n"/>
      <c r="AQ234" s="108" t="n"/>
      <c r="AR234" s="108" t="n"/>
      <c r="AS234" s="108" t="n"/>
      <c r="AT234" s="108" t="n"/>
      <c r="AU234" s="108" t="n"/>
      <c r="AV234" s="108" t="n"/>
      <c r="AW234" s="108" t="n"/>
      <c r="AX234" s="108" t="n"/>
      <c r="AY234" s="108" t="n"/>
      <c r="AZ234" s="108" t="n"/>
      <c r="BA234" s="108" t="n"/>
      <c r="BB234" s="108" t="n"/>
      <c r="BC234" s="108" t="n"/>
      <c r="BD234" s="108" t="n"/>
      <c r="BE234" s="108" t="n"/>
      <c r="BF234" s="108" t="n"/>
      <c r="BG234" s="108" t="n"/>
      <c r="BH234" s="108" t="n"/>
      <c r="BI234" s="109" t="n"/>
    </row>
    <row r="235" ht="14.1" customHeight="1" s="2">
      <c r="A235" s="692" t="n"/>
      <c r="B235" s="758" t="n"/>
      <c r="C235" s="692" t="n"/>
      <c r="D235" s="692" t="n"/>
      <c r="E235" s="692" t="n"/>
      <c r="F235" s="692" t="n"/>
      <c r="G235" s="692" t="n"/>
      <c r="H235" s="692" t="n"/>
      <c r="I235" s="692" t="n"/>
      <c r="J235" s="692" t="n"/>
      <c r="K235" s="692" t="n"/>
      <c r="L235" s="692" t="n"/>
      <c r="M235" s="692" t="n"/>
      <c r="N235" s="692" t="n"/>
      <c r="O235" s="692" t="n"/>
      <c r="P235" s="692" t="n"/>
      <c r="Q235" s="692" t="n"/>
      <c r="R235" s="692" t="n"/>
      <c r="S235" s="692" t="n"/>
      <c r="T235" s="692" t="n"/>
      <c r="U235" s="692" t="n"/>
      <c r="V235" s="692" t="n"/>
      <c r="W235" s="692" t="n"/>
      <c r="X235" s="692" t="n"/>
      <c r="Y235" s="692" t="n"/>
      <c r="Z235" s="692" t="n"/>
      <c r="AA235" s="692" t="n"/>
      <c r="AB235" s="692" t="n"/>
      <c r="AC235" s="692" t="n"/>
      <c r="AD235" s="692" t="n"/>
      <c r="AE235" s="692" t="n"/>
      <c r="AF235" s="692" t="n"/>
      <c r="AG235" s="692" t="n"/>
      <c r="AH235" s="760" t="n"/>
      <c r="AI235" s="108" t="n"/>
      <c r="AJ235" s="108" t="n"/>
      <c r="AK235" s="108" t="n"/>
      <c r="AL235" s="108" t="n"/>
      <c r="AM235" s="108" t="n"/>
      <c r="AN235" s="108" t="n"/>
      <c r="AO235" s="108" t="n"/>
      <c r="AP235" s="108" t="n"/>
      <c r="AQ235" s="108" t="n"/>
      <c r="AR235" s="108" t="n"/>
      <c r="AS235" s="108" t="n"/>
      <c r="AT235" s="108" t="n"/>
      <c r="AU235" s="108" t="n"/>
      <c r="AV235" s="108" t="n"/>
      <c r="AW235" s="108" t="n"/>
      <c r="AX235" s="108" t="n"/>
      <c r="AY235" s="108" t="n"/>
      <c r="AZ235" s="108" t="n"/>
      <c r="BA235" s="108" t="n"/>
      <c r="BB235" s="108" t="n"/>
      <c r="BC235" s="108" t="n"/>
      <c r="BD235" s="108" t="n"/>
      <c r="BE235" s="108" t="n"/>
      <c r="BF235" s="108" t="n"/>
      <c r="BG235" s="108" t="n"/>
      <c r="BH235" s="108" t="n"/>
      <c r="BI235" s="109" t="n"/>
    </row>
    <row r="236" ht="14.1" customHeight="1" s="2">
      <c r="A236" s="692" t="n"/>
      <c r="B236" s="758" t="n"/>
      <c r="C236" s="692" t="n"/>
      <c r="D236" s="692" t="n"/>
      <c r="E236" s="692" t="n"/>
      <c r="F236" s="692" t="n"/>
      <c r="G236" s="692" t="n"/>
      <c r="H236" s="692" t="n"/>
      <c r="I236" s="692" t="n"/>
      <c r="J236" s="692" t="n"/>
      <c r="K236" s="692" t="n"/>
      <c r="L236" s="692" t="n"/>
      <c r="M236" s="692" t="n"/>
      <c r="N236" s="692" t="n"/>
      <c r="O236" s="692" t="n"/>
      <c r="P236" s="692" t="n"/>
      <c r="Q236" s="692" t="n"/>
      <c r="R236" s="692" t="n"/>
      <c r="S236" s="692" t="n"/>
      <c r="T236" s="692" t="n"/>
      <c r="U236" s="692" t="n"/>
      <c r="V236" s="692" t="n"/>
      <c r="W236" s="692" t="n"/>
      <c r="X236" s="692" t="n"/>
      <c r="Y236" s="692" t="n"/>
      <c r="Z236" s="692" t="n"/>
      <c r="AA236" s="692" t="n"/>
      <c r="AB236" s="692" t="n"/>
      <c r="AC236" s="692" t="n"/>
      <c r="AD236" s="692" t="n"/>
      <c r="AE236" s="692" t="n"/>
      <c r="AF236" s="692" t="n"/>
      <c r="AG236" s="692" t="n"/>
      <c r="AH236" s="760" t="n"/>
      <c r="AI236" s="108" t="n"/>
      <c r="AJ236" s="108" t="n"/>
      <c r="AK236" s="108" t="n"/>
      <c r="AL236" s="108" t="n"/>
      <c r="AM236" s="108" t="n"/>
      <c r="AN236" s="108" t="n"/>
      <c r="AO236" s="108" t="n"/>
      <c r="AP236" s="108" t="n"/>
      <c r="AQ236" s="108" t="n"/>
      <c r="AR236" s="108" t="n"/>
      <c r="AS236" s="108" t="n"/>
      <c r="AT236" s="108" t="n"/>
      <c r="AU236" s="108" t="n"/>
      <c r="AV236" s="108" t="n"/>
      <c r="AW236" s="108" t="n"/>
      <c r="AX236" s="108" t="n"/>
      <c r="AY236" s="108" t="n"/>
      <c r="AZ236" s="108" t="n"/>
      <c r="BA236" s="108" t="n"/>
      <c r="BB236" s="108" t="n"/>
      <c r="BC236" s="108" t="n"/>
      <c r="BD236" s="108" t="n"/>
      <c r="BE236" s="108" t="n"/>
      <c r="BF236" s="108" t="n"/>
      <c r="BG236" s="108" t="n"/>
      <c r="BH236" s="108" t="n"/>
      <c r="BI236" s="109" t="n"/>
    </row>
    <row r="237" ht="14.1" customHeight="1" s="2">
      <c r="A237" s="692" t="n"/>
      <c r="B237" s="758" t="n"/>
      <c r="C237" s="692" t="n"/>
      <c r="D237" s="692" t="n"/>
      <c r="E237" s="692" t="n"/>
      <c r="F237" s="692" t="n"/>
      <c r="G237" s="692" t="n"/>
      <c r="H237" s="692" t="n"/>
      <c r="I237" s="692" t="n"/>
      <c r="J237" s="692" t="n"/>
      <c r="K237" s="692" t="n"/>
      <c r="L237" s="692" t="n"/>
      <c r="M237" s="692" t="n"/>
      <c r="N237" s="692" t="n"/>
      <c r="O237" s="692" t="n"/>
      <c r="P237" s="692" t="n"/>
      <c r="Q237" s="692" t="n"/>
      <c r="R237" s="692" t="n"/>
      <c r="S237" s="692" t="n"/>
      <c r="T237" s="692" t="n"/>
      <c r="U237" s="692" t="n"/>
      <c r="V237" s="692" t="n"/>
      <c r="W237" s="692" t="n"/>
      <c r="X237" s="692" t="n"/>
      <c r="Y237" s="692" t="n"/>
      <c r="Z237" s="692" t="n"/>
      <c r="AA237" s="692" t="n"/>
      <c r="AB237" s="692" t="n"/>
      <c r="AC237" s="692" t="n"/>
      <c r="AD237" s="692" t="n"/>
      <c r="AE237" s="692" t="n"/>
      <c r="AF237" s="692" t="n"/>
      <c r="AG237" s="692" t="n"/>
      <c r="AH237" s="760" t="n"/>
      <c r="AI237" s="108" t="n"/>
      <c r="AJ237" s="108" t="n"/>
      <c r="AK237" s="108" t="n"/>
      <c r="AL237" s="108" t="n"/>
      <c r="AM237" s="108" t="n"/>
      <c r="AN237" s="108" t="n"/>
      <c r="AO237" s="108" t="n"/>
      <c r="AP237" s="108" t="n"/>
      <c r="AQ237" s="108" t="n"/>
      <c r="AR237" s="108" t="n"/>
      <c r="AS237" s="108" t="n"/>
      <c r="AT237" s="108" t="n"/>
      <c r="AU237" s="108" t="n"/>
      <c r="AV237" s="108" t="n"/>
      <c r="AW237" s="108" t="n"/>
      <c r="AX237" s="108" t="n"/>
      <c r="AY237" s="108" t="n"/>
      <c r="AZ237" s="108" t="n"/>
      <c r="BA237" s="108" t="n"/>
      <c r="BB237" s="108" t="n"/>
      <c r="BC237" s="108" t="n"/>
      <c r="BD237" s="108" t="n"/>
      <c r="BE237" s="108" t="n"/>
      <c r="BF237" s="108" t="n"/>
      <c r="BG237" s="108" t="n"/>
      <c r="BH237" s="108" t="n"/>
      <c r="BI237" s="109" t="n"/>
    </row>
    <row r="238" ht="14.1" customHeight="1" s="2">
      <c r="A238" s="692" t="n"/>
      <c r="B238" s="758" t="n"/>
      <c r="C238" s="692" t="n"/>
      <c r="D238" s="692" t="n"/>
      <c r="E238" s="692" t="n"/>
      <c r="F238" s="692" t="n"/>
      <c r="G238" s="692" t="n"/>
      <c r="H238" s="692" t="n"/>
      <c r="I238" s="692" t="n"/>
      <c r="J238" s="692" t="n"/>
      <c r="K238" s="692" t="n"/>
      <c r="L238" s="692" t="n"/>
      <c r="M238" s="692" t="n"/>
      <c r="N238" s="692" t="n"/>
      <c r="O238" s="692" t="n"/>
      <c r="P238" s="692" t="n"/>
      <c r="Q238" s="692" t="n"/>
      <c r="R238" s="692" t="n"/>
      <c r="S238" s="692" t="n"/>
      <c r="T238" s="692" t="n"/>
      <c r="U238" s="692" t="n"/>
      <c r="V238" s="692" t="n"/>
      <c r="W238" s="692" t="n"/>
      <c r="X238" s="692" t="n"/>
      <c r="Y238" s="692" t="n"/>
      <c r="Z238" s="692" t="n"/>
      <c r="AA238" s="692" t="n"/>
      <c r="AB238" s="692" t="n"/>
      <c r="AC238" s="692" t="n"/>
      <c r="AD238" s="692" t="n"/>
      <c r="AE238" s="692" t="n"/>
      <c r="AF238" s="692" t="n"/>
      <c r="AG238" s="692" t="n"/>
      <c r="AH238" s="760" t="n"/>
      <c r="AI238" s="108" t="n"/>
      <c r="AJ238" s="108" t="n"/>
      <c r="AK238" s="108" t="n"/>
      <c r="AL238" s="108" t="n"/>
      <c r="AM238" s="108" t="n"/>
      <c r="AN238" s="108" t="n"/>
      <c r="AO238" s="108" t="n"/>
      <c r="AP238" s="108" t="n"/>
      <c r="AQ238" s="108" t="n"/>
      <c r="AR238" s="108" t="n"/>
      <c r="AS238" s="108" t="n"/>
      <c r="AT238" s="108" t="n"/>
      <c r="AU238" s="108" t="n"/>
      <c r="AV238" s="108" t="n"/>
      <c r="AW238" s="108" t="n"/>
      <c r="AX238" s="108" t="n"/>
      <c r="AY238" s="108" t="n"/>
      <c r="AZ238" s="108" t="n"/>
      <c r="BA238" s="108" t="n"/>
      <c r="BB238" s="108" t="n"/>
      <c r="BC238" s="108" t="n"/>
      <c r="BD238" s="108" t="n"/>
      <c r="BE238" s="108" t="n"/>
      <c r="BF238" s="108" t="n"/>
      <c r="BG238" s="108" t="n"/>
      <c r="BH238" s="108" t="n"/>
      <c r="BI238" s="109" t="n"/>
    </row>
    <row r="239" ht="14.1" customHeight="1" s="2">
      <c r="A239" s="692" t="n"/>
      <c r="B239" s="758" t="n"/>
      <c r="C239" s="692" t="n"/>
      <c r="D239" s="692" t="n"/>
      <c r="E239" s="692" t="n"/>
      <c r="F239" s="692" t="n"/>
      <c r="G239" s="692" t="n"/>
      <c r="H239" s="692" t="n"/>
      <c r="I239" s="692" t="n"/>
      <c r="J239" s="692" t="n"/>
      <c r="K239" s="692" t="n"/>
      <c r="L239" s="692" t="n"/>
      <c r="M239" s="692" t="n"/>
      <c r="N239" s="692" t="n"/>
      <c r="O239" s="692" t="n"/>
      <c r="P239" s="692" t="n"/>
      <c r="Q239" s="692" t="n"/>
      <c r="R239" s="692" t="n"/>
      <c r="S239" s="692" t="n"/>
      <c r="T239" s="692" t="n"/>
      <c r="U239" s="692" t="n"/>
      <c r="V239" s="692" t="n"/>
      <c r="W239" s="692" t="n"/>
      <c r="X239" s="692" t="n"/>
      <c r="Y239" s="692" t="n"/>
      <c r="Z239" s="692" t="n"/>
      <c r="AA239" s="692" t="n"/>
      <c r="AB239" s="692" t="n"/>
      <c r="AC239" s="692" t="n"/>
      <c r="AD239" s="692" t="n"/>
      <c r="AE239" s="692" t="n"/>
      <c r="AF239" s="692" t="n"/>
      <c r="AG239" s="692" t="n"/>
      <c r="AH239" s="760" t="n"/>
      <c r="AI239" s="108" t="n"/>
      <c r="AJ239" s="108" t="n"/>
      <c r="AK239" s="108" t="n"/>
      <c r="AL239" s="108" t="n"/>
      <c r="AM239" s="108" t="n"/>
      <c r="AN239" s="108" t="n"/>
      <c r="AO239" s="108" t="n"/>
      <c r="AP239" s="108" t="n"/>
      <c r="AQ239" s="108" t="n"/>
      <c r="AR239" s="108" t="n"/>
      <c r="AS239" s="108" t="n"/>
      <c r="AT239" s="108" t="n"/>
      <c r="AU239" s="108" t="n"/>
      <c r="AV239" s="108" t="n"/>
      <c r="AW239" s="108" t="n"/>
      <c r="AX239" s="108" t="n"/>
      <c r="AY239" s="108" t="n"/>
      <c r="AZ239" s="108" t="n"/>
      <c r="BA239" s="108" t="n"/>
      <c r="BB239" s="108" t="n"/>
      <c r="BC239" s="108" t="n"/>
      <c r="BD239" s="108" t="n"/>
      <c r="BE239" s="108" t="n"/>
      <c r="BF239" s="108" t="n"/>
      <c r="BG239" s="108" t="n"/>
      <c r="BH239" s="108" t="n"/>
      <c r="BI239" s="109" t="n"/>
    </row>
    <row r="240" ht="14.1" customHeight="1" s="2">
      <c r="A240" s="692" t="n"/>
      <c r="B240" s="758" t="n"/>
      <c r="C240" s="692" t="n"/>
      <c r="D240" s="692" t="n"/>
      <c r="E240" s="692" t="n"/>
      <c r="F240" s="692" t="n"/>
      <c r="G240" s="692" t="n"/>
      <c r="H240" s="692" t="n"/>
      <c r="I240" s="692" t="n"/>
      <c r="J240" s="692" t="n"/>
      <c r="K240" s="692" t="n"/>
      <c r="L240" s="692" t="n"/>
      <c r="M240" s="692" t="n"/>
      <c r="N240" s="692" t="n"/>
      <c r="O240" s="692" t="n"/>
      <c r="P240" s="692" t="n"/>
      <c r="Q240" s="692" t="n"/>
      <c r="R240" s="692" t="n"/>
      <c r="S240" s="692" t="n"/>
      <c r="T240" s="692" t="n"/>
      <c r="U240" s="692" t="n"/>
      <c r="V240" s="692" t="n"/>
      <c r="W240" s="692" t="n"/>
      <c r="X240" s="692" t="n"/>
      <c r="Y240" s="692" t="n"/>
      <c r="Z240" s="692" t="n"/>
      <c r="AA240" s="692" t="n"/>
      <c r="AB240" s="692" t="n"/>
      <c r="AC240" s="692" t="n"/>
      <c r="AD240" s="692" t="n"/>
      <c r="AE240" s="692" t="n"/>
      <c r="AF240" s="692" t="n"/>
      <c r="AG240" s="692" t="n"/>
      <c r="AH240" s="760" t="n"/>
      <c r="AI240" s="108" t="n"/>
      <c r="AJ240" s="108" t="n"/>
      <c r="AK240" s="108" t="n"/>
      <c r="AL240" s="108" t="n"/>
      <c r="AM240" s="108" t="n"/>
      <c r="AN240" s="108" t="n"/>
      <c r="AO240" s="108" t="n"/>
      <c r="AP240" s="108" t="n"/>
      <c r="AQ240" s="108" t="n"/>
      <c r="AR240" s="108" t="n"/>
      <c r="AS240" s="108" t="n"/>
      <c r="AT240" s="108" t="n"/>
      <c r="AU240" s="108" t="n"/>
      <c r="AV240" s="108" t="n"/>
      <c r="AW240" s="108" t="n"/>
      <c r="AX240" s="108" t="n"/>
      <c r="AY240" s="108" t="n"/>
      <c r="AZ240" s="108" t="n"/>
      <c r="BA240" s="108" t="n"/>
      <c r="BB240" s="108" t="n"/>
      <c r="BC240" s="108" t="n"/>
      <c r="BD240" s="108" t="n"/>
      <c r="BE240" s="108" t="n"/>
      <c r="BF240" s="108" t="n"/>
      <c r="BG240" s="108" t="n"/>
      <c r="BH240" s="108" t="n"/>
      <c r="BI240" s="109" t="n"/>
    </row>
    <row r="241" ht="14.1" customHeight="1" s="2">
      <c r="A241" s="692" t="n"/>
      <c r="B241" s="758" t="n"/>
      <c r="C241" s="692" t="n"/>
      <c r="D241" s="692" t="n"/>
      <c r="E241" s="692" t="n"/>
      <c r="F241" s="692" t="n"/>
      <c r="G241" s="692" t="n"/>
      <c r="H241" s="692" t="n"/>
      <c r="I241" s="692" t="n"/>
      <c r="J241" s="692" t="n"/>
      <c r="K241" s="692" t="n"/>
      <c r="L241" s="692" t="n"/>
      <c r="M241" s="692" t="n"/>
      <c r="N241" s="692" t="n"/>
      <c r="O241" s="692" t="n"/>
      <c r="P241" s="692" t="n"/>
      <c r="Q241" s="692" t="n"/>
      <c r="R241" s="692" t="n"/>
      <c r="S241" s="692" t="n"/>
      <c r="T241" s="692" t="n"/>
      <c r="U241" s="692" t="n"/>
      <c r="V241" s="692" t="n"/>
      <c r="W241" s="692" t="n"/>
      <c r="X241" s="692" t="n"/>
      <c r="Y241" s="692" t="n"/>
      <c r="Z241" s="692" t="n"/>
      <c r="AA241" s="692" t="n"/>
      <c r="AB241" s="692" t="n"/>
      <c r="AC241" s="692" t="n"/>
      <c r="AD241" s="692" t="n"/>
      <c r="AE241" s="692" t="n"/>
      <c r="AF241" s="692" t="n"/>
      <c r="AG241" s="692" t="n"/>
      <c r="AH241" s="760" t="n"/>
      <c r="AI241" s="108" t="n"/>
      <c r="AJ241" s="108" t="n"/>
      <c r="AK241" s="108" t="n"/>
      <c r="AL241" s="108" t="n"/>
      <c r="AM241" s="108" t="n"/>
      <c r="AN241" s="108" t="n"/>
      <c r="AO241" s="108" t="n"/>
      <c r="AP241" s="108" t="n"/>
      <c r="AQ241" s="108" t="n"/>
      <c r="AR241" s="108" t="n"/>
      <c r="AS241" s="108" t="n"/>
      <c r="AT241" s="108" t="n"/>
      <c r="AU241" s="108" t="n"/>
      <c r="AV241" s="108" t="n"/>
      <c r="AW241" s="108" t="n"/>
      <c r="AX241" s="108" t="n"/>
      <c r="AY241" s="108" t="n"/>
      <c r="AZ241" s="108" t="n"/>
      <c r="BA241" s="108" t="n"/>
      <c r="BB241" s="108" t="n"/>
      <c r="BC241" s="108" t="n"/>
      <c r="BD241" s="108" t="n"/>
      <c r="BE241" s="108" t="n"/>
      <c r="BF241" s="108" t="n"/>
      <c r="BG241" s="108" t="n"/>
      <c r="BH241" s="108" t="n"/>
      <c r="BI241" s="109" t="n"/>
    </row>
    <row r="242" ht="14.1" customHeight="1" s="2">
      <c r="A242" s="692" t="n"/>
      <c r="B242" s="758" t="n"/>
      <c r="C242" s="692" t="n"/>
      <c r="D242" s="692" t="n"/>
      <c r="E242" s="692" t="n"/>
      <c r="F242" s="692" t="n"/>
      <c r="G242" s="692" t="n"/>
      <c r="H242" s="692" t="n"/>
      <c r="I242" s="692" t="n"/>
      <c r="J242" s="692" t="n"/>
      <c r="K242" s="692" t="n"/>
      <c r="L242" s="692" t="n"/>
      <c r="M242" s="692" t="n"/>
      <c r="N242" s="692" t="n"/>
      <c r="O242" s="692" t="n"/>
      <c r="P242" s="692" t="n"/>
      <c r="Q242" s="692" t="n"/>
      <c r="R242" s="692" t="n"/>
      <c r="S242" s="692" t="n"/>
      <c r="T242" s="692" t="n"/>
      <c r="U242" s="692" t="n"/>
      <c r="V242" s="692" t="n"/>
      <c r="W242" s="692" t="n"/>
      <c r="X242" s="692" t="n"/>
      <c r="Y242" s="692" t="n"/>
      <c r="Z242" s="692" t="n"/>
      <c r="AA242" s="692" t="n"/>
      <c r="AB242" s="692" t="n"/>
      <c r="AC242" s="692" t="n"/>
      <c r="AD242" s="692" t="n"/>
      <c r="AE242" s="692" t="n"/>
      <c r="AF242" s="692" t="n"/>
      <c r="AG242" s="692" t="n"/>
      <c r="AH242" s="760" t="n"/>
      <c r="AI242" s="108" t="n"/>
      <c r="AJ242" s="108" t="n"/>
      <c r="AK242" s="108" t="n"/>
      <c r="AL242" s="108" t="n"/>
      <c r="AM242" s="108" t="n"/>
      <c r="AN242" s="108" t="n"/>
      <c r="AO242" s="108" t="n"/>
      <c r="AP242" s="108" t="n"/>
      <c r="AQ242" s="108" t="n"/>
      <c r="AR242" s="108" t="n"/>
      <c r="AS242" s="108" t="n"/>
      <c r="AT242" s="108" t="n"/>
      <c r="AU242" s="108" t="n"/>
      <c r="AV242" s="108" t="n"/>
      <c r="AW242" s="108" t="n"/>
      <c r="AX242" s="108" t="n"/>
      <c r="AY242" s="108" t="n"/>
      <c r="AZ242" s="108" t="n"/>
      <c r="BA242" s="108" t="n"/>
      <c r="BB242" s="108" t="n"/>
      <c r="BC242" s="108" t="n"/>
      <c r="BD242" s="108" t="n"/>
      <c r="BE242" s="108" t="n"/>
      <c r="BF242" s="108" t="n"/>
      <c r="BG242" s="108" t="n"/>
      <c r="BH242" s="108" t="n"/>
      <c r="BI242" s="109" t="n"/>
    </row>
    <row r="243" ht="14.1" customHeight="1" s="2">
      <c r="A243" s="692" t="n"/>
      <c r="B243" s="758" t="n"/>
      <c r="C243" s="692" t="n"/>
      <c r="D243" s="692" t="n"/>
      <c r="E243" s="692" t="n"/>
      <c r="F243" s="692" t="n"/>
      <c r="G243" s="692" t="n"/>
      <c r="H243" s="692" t="n"/>
      <c r="I243" s="692" t="n"/>
      <c r="J243" s="692" t="n"/>
      <c r="K243" s="692" t="n"/>
      <c r="L243" s="692" t="n"/>
      <c r="M243" s="692" t="n"/>
      <c r="N243" s="692" t="n"/>
      <c r="O243" s="692" t="n"/>
      <c r="P243" s="692" t="n"/>
      <c r="Q243" s="692" t="n"/>
      <c r="R243" s="692" t="n"/>
      <c r="S243" s="692" t="n"/>
      <c r="T243" s="692" t="n"/>
      <c r="U243" s="692" t="n"/>
      <c r="V243" s="692" t="n"/>
      <c r="W243" s="692" t="n"/>
      <c r="X243" s="692" t="n"/>
      <c r="Y243" s="692" t="n"/>
      <c r="Z243" s="692" t="n"/>
      <c r="AA243" s="692" t="n"/>
      <c r="AB243" s="692" t="n"/>
      <c r="AC243" s="692" t="n"/>
      <c r="AD243" s="692" t="n"/>
      <c r="AE243" s="692" t="n"/>
      <c r="AF243" s="692" t="n"/>
      <c r="AG243" s="692" t="n"/>
      <c r="AH243" s="760" t="n"/>
      <c r="AI243" s="108" t="n"/>
      <c r="AJ243" s="108" t="n"/>
      <c r="AK243" s="108" t="n"/>
      <c r="AL243" s="108" t="n"/>
      <c r="AM243" s="108" t="n"/>
      <c r="AN243" s="108" t="n"/>
      <c r="AO243" s="108" t="n"/>
      <c r="AP243" s="108" t="n"/>
      <c r="AQ243" s="108" t="n"/>
      <c r="AR243" s="108" t="n"/>
      <c r="AS243" s="108" t="n"/>
      <c r="AT243" s="108" t="n"/>
      <c r="AU243" s="108" t="n"/>
      <c r="AV243" s="108" t="n"/>
      <c r="AW243" s="108" t="n"/>
      <c r="AX243" s="108" t="n"/>
      <c r="AY243" s="108" t="n"/>
      <c r="AZ243" s="108" t="n"/>
      <c r="BA243" s="108" t="n"/>
      <c r="BB243" s="108" t="n"/>
      <c r="BC243" s="108" t="n"/>
      <c r="BD243" s="108" t="n"/>
      <c r="BE243" s="108" t="n"/>
      <c r="BF243" s="108" t="n"/>
      <c r="BG243" s="108" t="n"/>
      <c r="BH243" s="108" t="n"/>
      <c r="BI243" s="109" t="n"/>
    </row>
    <row r="244" ht="14.1" customHeight="1" s="2">
      <c r="A244" s="692" t="n"/>
      <c r="B244" s="758" t="n"/>
      <c r="C244" s="692" t="n"/>
      <c r="D244" s="692" t="n"/>
      <c r="E244" s="692" t="n"/>
      <c r="F244" s="692" t="n"/>
      <c r="G244" s="692" t="n"/>
      <c r="H244" s="692" t="n"/>
      <c r="I244" s="692" t="n"/>
      <c r="J244" s="692" t="n"/>
      <c r="K244" s="692" t="n"/>
      <c r="L244" s="692" t="n"/>
      <c r="M244" s="692" t="n"/>
      <c r="N244" s="692" t="n"/>
      <c r="O244" s="692" t="n"/>
      <c r="P244" s="692" t="n"/>
      <c r="Q244" s="692" t="n"/>
      <c r="R244" s="692" t="n"/>
      <c r="S244" s="692" t="n"/>
      <c r="T244" s="692" t="n"/>
      <c r="U244" s="692" t="n"/>
      <c r="V244" s="692" t="n"/>
      <c r="W244" s="692" t="n"/>
      <c r="X244" s="692" t="n"/>
      <c r="Y244" s="692" t="n"/>
      <c r="Z244" s="692" t="n"/>
      <c r="AA244" s="692" t="n"/>
      <c r="AB244" s="692" t="n"/>
      <c r="AC244" s="692" t="n"/>
      <c r="AD244" s="692" t="n"/>
      <c r="AE244" s="692" t="n"/>
      <c r="AF244" s="692" t="n"/>
      <c r="AG244" s="692" t="n"/>
      <c r="AH244" s="760" t="n"/>
      <c r="AI244" s="108" t="n"/>
      <c r="AJ244" s="108" t="n"/>
      <c r="AK244" s="108" t="n"/>
      <c r="AL244" s="108" t="n"/>
      <c r="AM244" s="108" t="n"/>
      <c r="AN244" s="108" t="n"/>
      <c r="AO244" s="108" t="n"/>
      <c r="AP244" s="108" t="n"/>
      <c r="AQ244" s="108" t="n"/>
      <c r="AR244" s="108" t="n"/>
      <c r="AS244" s="108" t="n"/>
      <c r="AT244" s="108" t="n"/>
      <c r="AU244" s="108" t="n"/>
      <c r="AV244" s="108" t="n"/>
      <c r="AW244" s="108" t="n"/>
      <c r="AX244" s="108" t="n"/>
      <c r="AY244" s="108" t="n"/>
      <c r="AZ244" s="108" t="n"/>
      <c r="BA244" s="108" t="n"/>
      <c r="BB244" s="108" t="n"/>
      <c r="BC244" s="108" t="n"/>
      <c r="BD244" s="108" t="n"/>
      <c r="BE244" s="108" t="n"/>
      <c r="BF244" s="108" t="n"/>
      <c r="BG244" s="108" t="n"/>
      <c r="BH244" s="108" t="n"/>
      <c r="BI244" s="109" t="n"/>
    </row>
    <row r="245" ht="14.1" customHeight="1" s="2">
      <c r="A245" s="692" t="n"/>
      <c r="B245" s="758" t="n"/>
      <c r="C245" s="692" t="n"/>
      <c r="D245" s="692" t="n"/>
      <c r="E245" s="692" t="n"/>
      <c r="F245" s="692" t="n"/>
      <c r="G245" s="692" t="n"/>
      <c r="H245" s="692" t="n"/>
      <c r="I245" s="692" t="n"/>
      <c r="J245" s="692" t="n"/>
      <c r="K245" s="692" t="n"/>
      <c r="L245" s="692" t="n"/>
      <c r="M245" s="692" t="n"/>
      <c r="N245" s="692" t="n"/>
      <c r="O245" s="692" t="n"/>
      <c r="P245" s="692" t="n"/>
      <c r="Q245" s="692" t="n"/>
      <c r="R245" s="692" t="n"/>
      <c r="S245" s="692" t="n"/>
      <c r="T245" s="692" t="n"/>
      <c r="U245" s="692" t="n"/>
      <c r="V245" s="692" t="n"/>
      <c r="W245" s="692" t="n"/>
      <c r="X245" s="692" t="n"/>
      <c r="Y245" s="692" t="n"/>
      <c r="Z245" s="692" t="n"/>
      <c r="AA245" s="692" t="n"/>
      <c r="AB245" s="692" t="n"/>
      <c r="AC245" s="692" t="n"/>
      <c r="AD245" s="692" t="n"/>
      <c r="AE245" s="692" t="n"/>
      <c r="AF245" s="692" t="n"/>
      <c r="AG245" s="692" t="n"/>
      <c r="AH245" s="760" t="n"/>
      <c r="AI245" s="108" t="n"/>
      <c r="AJ245" s="108" t="n"/>
      <c r="AK245" s="108" t="n"/>
      <c r="AL245" s="108" t="n"/>
      <c r="AM245" s="108" t="n"/>
      <c r="AN245" s="108" t="n"/>
      <c r="AO245" s="108" t="n"/>
      <c r="AP245" s="108" t="n"/>
      <c r="AQ245" s="108" t="n"/>
      <c r="AR245" s="108" t="n"/>
      <c r="AS245" s="108" t="n"/>
      <c r="AT245" s="108" t="n"/>
      <c r="AU245" s="108" t="n"/>
      <c r="AV245" s="108" t="n"/>
      <c r="AW245" s="108" t="n"/>
      <c r="AX245" s="108" t="n"/>
      <c r="AY245" s="108" t="n"/>
      <c r="AZ245" s="108" t="n"/>
      <c r="BA245" s="108" t="n"/>
      <c r="BB245" s="108" t="n"/>
      <c r="BC245" s="108" t="n"/>
      <c r="BD245" s="108" t="n"/>
      <c r="BE245" s="108" t="n"/>
      <c r="BF245" s="108" t="n"/>
      <c r="BG245" s="108" t="n"/>
      <c r="BH245" s="108" t="n"/>
      <c r="BI245" s="109" t="n"/>
    </row>
    <row r="246" ht="14.1" customHeight="1" s="2">
      <c r="A246" s="692" t="n"/>
      <c r="B246" s="758" t="n"/>
      <c r="C246" s="692" t="n"/>
      <c r="D246" s="692" t="n"/>
      <c r="E246" s="692" t="n"/>
      <c r="F246" s="692" t="n"/>
      <c r="G246" s="692" t="n"/>
      <c r="H246" s="692" t="n"/>
      <c r="I246" s="692" t="n"/>
      <c r="J246" s="692" t="n"/>
      <c r="K246" s="692" t="n"/>
      <c r="L246" s="692" t="n"/>
      <c r="M246" s="692" t="n"/>
      <c r="N246" s="692" t="n"/>
      <c r="O246" s="692" t="n"/>
      <c r="P246" s="692" t="n"/>
      <c r="Q246" s="692" t="n"/>
      <c r="R246" s="692" t="n"/>
      <c r="S246" s="692" t="n"/>
      <c r="T246" s="692" t="n"/>
      <c r="U246" s="692" t="n"/>
      <c r="V246" s="692" t="n"/>
      <c r="W246" s="692" t="n"/>
      <c r="X246" s="692" t="n"/>
      <c r="Y246" s="692" t="n"/>
      <c r="Z246" s="692" t="n"/>
      <c r="AA246" s="692" t="n"/>
      <c r="AB246" s="692" t="n"/>
      <c r="AC246" s="692" t="n"/>
      <c r="AD246" s="692" t="n"/>
      <c r="AE246" s="692" t="n"/>
      <c r="AF246" s="692" t="n"/>
      <c r="AG246" s="692" t="n"/>
      <c r="AH246" s="760" t="n"/>
      <c r="AI246" s="108" t="n"/>
      <c r="AJ246" s="108" t="n"/>
      <c r="AK246" s="108" t="n"/>
      <c r="AL246" s="108" t="n"/>
      <c r="AM246" s="108" t="n"/>
      <c r="AN246" s="108" t="n"/>
      <c r="AO246" s="108" t="n"/>
      <c r="AP246" s="108" t="n"/>
      <c r="AQ246" s="108" t="n"/>
      <c r="AR246" s="108" t="n"/>
      <c r="AS246" s="108" t="n"/>
      <c r="AT246" s="108" t="n"/>
      <c r="AU246" s="108" t="n"/>
      <c r="AV246" s="108" t="n"/>
      <c r="AW246" s="108" t="n"/>
      <c r="AX246" s="108" t="n"/>
      <c r="AY246" s="108" t="n"/>
      <c r="AZ246" s="108" t="n"/>
      <c r="BA246" s="108" t="n"/>
      <c r="BB246" s="108" t="n"/>
      <c r="BC246" s="108" t="n"/>
      <c r="BD246" s="108" t="n"/>
      <c r="BE246" s="108" t="n"/>
      <c r="BF246" s="108" t="n"/>
      <c r="BG246" s="108" t="n"/>
      <c r="BH246" s="108" t="n"/>
      <c r="BI246" s="109" t="n"/>
    </row>
    <row r="247" ht="14.1" customHeight="1" s="2">
      <c r="A247" s="692" t="n"/>
      <c r="B247" s="758" t="n"/>
      <c r="C247" s="692" t="n"/>
      <c r="D247" s="692" t="n"/>
      <c r="E247" s="692" t="n"/>
      <c r="F247" s="692" t="n"/>
      <c r="G247" s="692" t="n"/>
      <c r="H247" s="692" t="n"/>
      <c r="I247" s="692" t="n"/>
      <c r="J247" s="692" t="n"/>
      <c r="K247" s="692" t="n"/>
      <c r="L247" s="692" t="n"/>
      <c r="M247" s="692" t="n"/>
      <c r="N247" s="692" t="n"/>
      <c r="O247" s="692" t="n"/>
      <c r="P247" s="692" t="n"/>
      <c r="Q247" s="692" t="n"/>
      <c r="R247" s="692" t="n"/>
      <c r="S247" s="692" t="n"/>
      <c r="T247" s="692" t="n"/>
      <c r="U247" s="692" t="n"/>
      <c r="V247" s="692" t="n"/>
      <c r="W247" s="692" t="n"/>
      <c r="X247" s="692" t="n"/>
      <c r="Y247" s="692" t="n"/>
      <c r="Z247" s="692" t="n"/>
      <c r="AA247" s="692" t="n"/>
      <c r="AB247" s="692" t="n"/>
      <c r="AC247" s="692" t="n"/>
      <c r="AD247" s="692" t="n"/>
      <c r="AE247" s="692" t="n"/>
      <c r="AF247" s="692" t="n"/>
      <c r="AG247" s="692" t="n"/>
      <c r="AH247" s="760" t="n"/>
      <c r="AI247" s="108" t="n"/>
      <c r="AJ247" s="108" t="n"/>
      <c r="AK247" s="108" t="n"/>
      <c r="AL247" s="108" t="n"/>
      <c r="AM247" s="108" t="n"/>
      <c r="AN247" s="108" t="n"/>
      <c r="AO247" s="108" t="n"/>
      <c r="AP247" s="108" t="n"/>
      <c r="AQ247" s="108" t="n"/>
      <c r="AR247" s="108" t="n"/>
      <c r="AS247" s="108" t="n"/>
      <c r="AT247" s="108" t="n"/>
      <c r="AU247" s="108" t="n"/>
      <c r="AV247" s="108" t="n"/>
      <c r="AW247" s="108" t="n"/>
      <c r="AX247" s="108" t="n"/>
      <c r="AY247" s="108" t="n"/>
      <c r="AZ247" s="108" t="n"/>
      <c r="BA247" s="108" t="n"/>
      <c r="BB247" s="108" t="n"/>
      <c r="BC247" s="108" t="n"/>
      <c r="BD247" s="108" t="n"/>
      <c r="BE247" s="108" t="n"/>
      <c r="BF247" s="108" t="n"/>
      <c r="BG247" s="108" t="n"/>
      <c r="BH247" s="108" t="n"/>
      <c r="BI247" s="109" t="n"/>
    </row>
    <row r="248" ht="14.1" customHeight="1" s="2">
      <c r="A248" s="692" t="n"/>
      <c r="B248" s="758" t="n"/>
      <c r="C248" s="692" t="n"/>
      <c r="D248" s="692" t="n"/>
      <c r="E248" s="692" t="n"/>
      <c r="F248" s="692" t="n"/>
      <c r="G248" s="692" t="n"/>
      <c r="H248" s="692" t="n"/>
      <c r="I248" s="692" t="n"/>
      <c r="J248" s="692" t="n"/>
      <c r="K248" s="692" t="n"/>
      <c r="L248" s="692" t="n"/>
      <c r="M248" s="692" t="n"/>
      <c r="N248" s="692" t="n"/>
      <c r="O248" s="692" t="n"/>
      <c r="P248" s="692" t="n"/>
      <c r="Q248" s="692" t="n"/>
      <c r="R248" s="692" t="n"/>
      <c r="S248" s="692" t="n"/>
      <c r="T248" s="692" t="n"/>
      <c r="U248" s="692" t="n"/>
      <c r="V248" s="692" t="n"/>
      <c r="W248" s="692" t="n"/>
      <c r="X248" s="692" t="n"/>
      <c r="Y248" s="692" t="n"/>
      <c r="Z248" s="692" t="n"/>
      <c r="AA248" s="692" t="n"/>
      <c r="AB248" s="692" t="n"/>
      <c r="AC248" s="692" t="n"/>
      <c r="AD248" s="692" t="n"/>
      <c r="AE248" s="692" t="n"/>
      <c r="AF248" s="692" t="n"/>
      <c r="AG248" s="692" t="n"/>
      <c r="AH248" s="760" t="n"/>
      <c r="AI248" s="108" t="n"/>
      <c r="AJ248" s="108" t="n"/>
      <c r="AK248" s="108" t="n"/>
      <c r="AL248" s="108" t="n"/>
      <c r="AM248" s="108" t="n"/>
      <c r="AN248" s="108" t="n"/>
      <c r="AO248" s="108" t="n"/>
      <c r="AP248" s="108" t="n"/>
      <c r="AQ248" s="108" t="n"/>
      <c r="AR248" s="108" t="n"/>
      <c r="AS248" s="108" t="n"/>
      <c r="AT248" s="108" t="n"/>
      <c r="AU248" s="108" t="n"/>
      <c r="AV248" s="108" t="n"/>
      <c r="AW248" s="108" t="n"/>
      <c r="AX248" s="108" t="n"/>
      <c r="AY248" s="108" t="n"/>
      <c r="AZ248" s="108" t="n"/>
      <c r="BA248" s="108" t="n"/>
      <c r="BB248" s="108" t="n"/>
      <c r="BC248" s="108" t="n"/>
      <c r="BD248" s="108" t="n"/>
      <c r="BE248" s="108" t="n"/>
      <c r="BF248" s="108" t="n"/>
      <c r="BG248" s="108" t="n"/>
      <c r="BH248" s="108" t="n"/>
      <c r="BI248" s="109" t="n"/>
    </row>
    <row r="249" ht="14.1" customHeight="1" s="2">
      <c r="A249" s="692" t="n"/>
      <c r="B249" s="758" t="n"/>
      <c r="C249" s="692" t="n"/>
      <c r="D249" s="692" t="n"/>
      <c r="E249" s="692" t="n"/>
      <c r="F249" s="692" t="n"/>
      <c r="G249" s="692" t="n"/>
      <c r="H249" s="692" t="n"/>
      <c r="I249" s="692" t="n"/>
      <c r="J249" s="692" t="n"/>
      <c r="K249" s="692" t="n"/>
      <c r="L249" s="692" t="n"/>
      <c r="M249" s="692" t="n"/>
      <c r="N249" s="692" t="n"/>
      <c r="O249" s="692" t="n"/>
      <c r="P249" s="692" t="n"/>
      <c r="Q249" s="692" t="n"/>
      <c r="R249" s="692" t="n"/>
      <c r="S249" s="692" t="n"/>
      <c r="T249" s="692" t="n"/>
      <c r="U249" s="692" t="n"/>
      <c r="V249" s="692" t="n"/>
      <c r="W249" s="692" t="n"/>
      <c r="X249" s="692" t="n"/>
      <c r="Y249" s="692" t="n"/>
      <c r="Z249" s="692" t="n"/>
      <c r="AA249" s="692" t="n"/>
      <c r="AB249" s="692" t="n"/>
      <c r="AC249" s="692" t="n"/>
      <c r="AD249" s="692" t="n"/>
      <c r="AE249" s="692" t="n"/>
      <c r="AF249" s="692" t="n"/>
      <c r="AG249" s="692" t="n"/>
      <c r="AH249" s="760" t="n"/>
      <c r="AI249" s="108" t="n"/>
      <c r="AJ249" s="108" t="n"/>
      <c r="AK249" s="108" t="n"/>
      <c r="AL249" s="108" t="n"/>
      <c r="AM249" s="108" t="n"/>
      <c r="AN249" s="108" t="n"/>
      <c r="AO249" s="108" t="n"/>
      <c r="AP249" s="108" t="n"/>
      <c r="AQ249" s="108" t="n"/>
      <c r="AR249" s="108" t="n"/>
      <c r="AS249" s="108" t="n"/>
      <c r="AT249" s="108" t="n"/>
      <c r="AU249" s="108" t="n"/>
      <c r="AV249" s="108" t="n"/>
      <c r="AW249" s="108" t="n"/>
      <c r="AX249" s="108" t="n"/>
      <c r="AY249" s="108" t="n"/>
      <c r="AZ249" s="108" t="n"/>
      <c r="BA249" s="108" t="n"/>
      <c r="BB249" s="108" t="n"/>
      <c r="BC249" s="108" t="n"/>
      <c r="BD249" s="108" t="n"/>
      <c r="BE249" s="108" t="n"/>
      <c r="BF249" s="108" t="n"/>
      <c r="BG249" s="108" t="n"/>
      <c r="BH249" s="108" t="n"/>
      <c r="BI249" s="109" t="n"/>
    </row>
    <row r="250" ht="14.1" customHeight="1" s="2">
      <c r="A250" s="692" t="n"/>
      <c r="B250" s="758" t="n"/>
      <c r="C250" s="692" t="n"/>
      <c r="D250" s="692" t="n"/>
      <c r="E250" s="692" t="n"/>
      <c r="F250" s="692" t="n"/>
      <c r="G250" s="692" t="n"/>
      <c r="H250" s="692" t="n"/>
      <c r="I250" s="692" t="n"/>
      <c r="J250" s="692" t="n"/>
      <c r="K250" s="692" t="n"/>
      <c r="L250" s="692" t="n"/>
      <c r="M250" s="692" t="n"/>
      <c r="N250" s="692" t="n"/>
      <c r="O250" s="692" t="n"/>
      <c r="P250" s="692" t="n"/>
      <c r="Q250" s="692" t="n"/>
      <c r="R250" s="692" t="n"/>
      <c r="S250" s="692" t="n"/>
      <c r="T250" s="692" t="n"/>
      <c r="U250" s="692" t="n"/>
      <c r="V250" s="692" t="n"/>
      <c r="W250" s="692" t="n"/>
      <c r="X250" s="692" t="n"/>
      <c r="Y250" s="692" t="n"/>
      <c r="Z250" s="692" t="n"/>
      <c r="AA250" s="692" t="n"/>
      <c r="AB250" s="692" t="n"/>
      <c r="AC250" s="692" t="n"/>
      <c r="AD250" s="692" t="n"/>
      <c r="AE250" s="692" t="n"/>
      <c r="AF250" s="692" t="n"/>
      <c r="AG250" s="692" t="n"/>
      <c r="AH250" s="760" t="n"/>
      <c r="AI250" s="108" t="n"/>
      <c r="AJ250" s="108" t="n"/>
      <c r="AK250" s="108" t="n"/>
      <c r="AL250" s="108" t="n"/>
      <c r="AM250" s="108" t="n"/>
      <c r="AN250" s="108" t="n"/>
      <c r="AO250" s="108" t="n"/>
      <c r="AP250" s="108" t="n"/>
      <c r="AQ250" s="108" t="n"/>
      <c r="AR250" s="108" t="n"/>
      <c r="AS250" s="108" t="n"/>
      <c r="AT250" s="108" t="n"/>
      <c r="AU250" s="108" t="n"/>
      <c r="AV250" s="108" t="n"/>
      <c r="AW250" s="108" t="n"/>
      <c r="AX250" s="108" t="n"/>
      <c r="AY250" s="108" t="n"/>
      <c r="AZ250" s="108" t="n"/>
      <c r="BA250" s="108" t="n"/>
      <c r="BB250" s="108" t="n"/>
      <c r="BC250" s="108" t="n"/>
      <c r="BD250" s="108" t="n"/>
      <c r="BE250" s="108" t="n"/>
      <c r="BF250" s="108" t="n"/>
      <c r="BG250" s="108" t="n"/>
      <c r="BH250" s="108" t="n"/>
      <c r="BI250" s="109" t="n"/>
    </row>
    <row r="251" ht="14.1" customHeight="1" s="2">
      <c r="A251" s="692" t="n"/>
      <c r="B251" s="758" t="n"/>
      <c r="C251" s="692" t="n"/>
      <c r="D251" s="692" t="n"/>
      <c r="E251" s="692" t="n"/>
      <c r="F251" s="692" t="n"/>
      <c r="G251" s="692" t="n"/>
      <c r="H251" s="692" t="n"/>
      <c r="I251" s="692" t="n"/>
      <c r="J251" s="692" t="n"/>
      <c r="K251" s="692" t="n"/>
      <c r="L251" s="692" t="n"/>
      <c r="M251" s="692" t="n"/>
      <c r="N251" s="692" t="n"/>
      <c r="O251" s="692" t="n"/>
      <c r="P251" s="692" t="n"/>
      <c r="Q251" s="692" t="n"/>
      <c r="R251" s="692" t="n"/>
      <c r="S251" s="692" t="n"/>
      <c r="T251" s="692" t="n"/>
      <c r="U251" s="692" t="n"/>
      <c r="V251" s="692" t="n"/>
      <c r="W251" s="692" t="n"/>
      <c r="X251" s="692" t="n"/>
      <c r="Y251" s="692" t="n"/>
      <c r="Z251" s="692" t="n"/>
      <c r="AA251" s="692" t="n"/>
      <c r="AB251" s="692" t="n"/>
      <c r="AC251" s="692" t="n"/>
      <c r="AD251" s="692" t="n"/>
      <c r="AE251" s="692" t="n"/>
      <c r="AF251" s="692" t="n"/>
      <c r="AG251" s="692" t="n"/>
      <c r="AH251" s="760" t="n"/>
      <c r="AI251" s="108" t="n"/>
      <c r="AJ251" s="108" t="n"/>
      <c r="AK251" s="108" t="n"/>
      <c r="AL251" s="108" t="n"/>
      <c r="AM251" s="108" t="n"/>
      <c r="AN251" s="108" t="n"/>
      <c r="AO251" s="108" t="n"/>
      <c r="AP251" s="108" t="n"/>
      <c r="AQ251" s="108" t="n"/>
      <c r="AR251" s="108" t="n"/>
      <c r="AS251" s="108" t="n"/>
      <c r="AT251" s="108" t="n"/>
      <c r="AU251" s="108" t="n"/>
      <c r="AV251" s="108" t="n"/>
      <c r="AW251" s="108" t="n"/>
      <c r="AX251" s="108" t="n"/>
      <c r="AY251" s="108" t="n"/>
      <c r="AZ251" s="108" t="n"/>
      <c r="BA251" s="108" t="n"/>
      <c r="BB251" s="108" t="n"/>
      <c r="BC251" s="108" t="n"/>
      <c r="BD251" s="108" t="n"/>
      <c r="BE251" s="108" t="n"/>
      <c r="BF251" s="108" t="n"/>
      <c r="BG251" s="108" t="n"/>
      <c r="BH251" s="108" t="n"/>
      <c r="BI251" s="109" t="n"/>
    </row>
    <row r="252" ht="14.1" customHeight="1" s="2">
      <c r="A252" s="692" t="n"/>
      <c r="B252" s="758" t="n"/>
      <c r="C252" s="692" t="n"/>
      <c r="D252" s="692" t="n"/>
      <c r="E252" s="692" t="n"/>
      <c r="F252" s="692" t="n"/>
      <c r="G252" s="692" t="n"/>
      <c r="H252" s="692" t="n"/>
      <c r="I252" s="692" t="n"/>
      <c r="J252" s="692" t="n"/>
      <c r="K252" s="692" t="n"/>
      <c r="L252" s="692" t="n"/>
      <c r="M252" s="692" t="n"/>
      <c r="N252" s="692" t="n"/>
      <c r="O252" s="692" t="n"/>
      <c r="P252" s="692" t="n"/>
      <c r="Q252" s="692" t="n"/>
      <c r="R252" s="692" t="n"/>
      <c r="S252" s="692" t="n"/>
      <c r="T252" s="692" t="n"/>
      <c r="U252" s="692" t="n"/>
      <c r="V252" s="692" t="n"/>
      <c r="W252" s="692" t="n"/>
      <c r="X252" s="692" t="n"/>
      <c r="Y252" s="692" t="n"/>
      <c r="Z252" s="692" t="n"/>
      <c r="AA252" s="692" t="n"/>
      <c r="AB252" s="692" t="n"/>
      <c r="AC252" s="692" t="n"/>
      <c r="AD252" s="692" t="n"/>
      <c r="AE252" s="692" t="n"/>
      <c r="AF252" s="692" t="n"/>
      <c r="AG252" s="692" t="n"/>
      <c r="AH252" s="760" t="n"/>
      <c r="AI252" s="108" t="n"/>
      <c r="AJ252" s="108" t="n"/>
      <c r="AK252" s="108" t="n"/>
      <c r="AL252" s="108" t="n"/>
      <c r="AM252" s="108" t="n"/>
      <c r="AN252" s="108" t="n"/>
      <c r="AO252" s="108" t="n"/>
      <c r="AP252" s="108" t="n"/>
      <c r="AQ252" s="108" t="n"/>
      <c r="AR252" s="108" t="n"/>
      <c r="AS252" s="108" t="n"/>
      <c r="AT252" s="108" t="n"/>
      <c r="AU252" s="108" t="n"/>
      <c r="AV252" s="108" t="n"/>
      <c r="AW252" s="108" t="n"/>
      <c r="AX252" s="108" t="n"/>
      <c r="AY252" s="108" t="n"/>
      <c r="AZ252" s="108" t="n"/>
      <c r="BA252" s="108" t="n"/>
      <c r="BB252" s="108" t="n"/>
      <c r="BC252" s="108" t="n"/>
      <c r="BD252" s="108" t="n"/>
      <c r="BE252" s="108" t="n"/>
      <c r="BF252" s="108" t="n"/>
      <c r="BG252" s="108" t="n"/>
      <c r="BH252" s="108" t="n"/>
      <c r="BI252" s="109" t="n"/>
    </row>
    <row r="253" ht="14.1" customHeight="1" s="2">
      <c r="A253" s="692" t="n"/>
      <c r="B253" s="758" t="n"/>
      <c r="C253" s="692" t="n"/>
      <c r="D253" s="692" t="n"/>
      <c r="E253" s="692" t="n"/>
      <c r="F253" s="692" t="n"/>
      <c r="G253" s="692" t="n"/>
      <c r="H253" s="692" t="n"/>
      <c r="I253" s="692" t="n"/>
      <c r="J253" s="692" t="n"/>
      <c r="K253" s="692" t="n"/>
      <c r="L253" s="692" t="n"/>
      <c r="M253" s="692" t="n"/>
      <c r="N253" s="692" t="n"/>
      <c r="O253" s="692" t="n"/>
      <c r="P253" s="692" t="n"/>
      <c r="Q253" s="692" t="n"/>
      <c r="R253" s="692" t="n"/>
      <c r="S253" s="692" t="n"/>
      <c r="T253" s="692" t="n"/>
      <c r="U253" s="692" t="n"/>
      <c r="V253" s="692" t="n"/>
      <c r="W253" s="692" t="n"/>
      <c r="X253" s="692" t="n"/>
      <c r="Y253" s="692" t="n"/>
      <c r="Z253" s="692" t="n"/>
      <c r="AA253" s="692" t="n"/>
      <c r="AB253" s="692" t="n"/>
      <c r="AC253" s="692" t="n"/>
      <c r="AD253" s="692" t="n"/>
      <c r="AE253" s="692" t="n"/>
      <c r="AF253" s="692" t="n"/>
      <c r="AG253" s="692" t="n"/>
      <c r="AH253" s="760" t="n"/>
      <c r="AI253" s="108" t="n"/>
      <c r="AJ253" s="108" t="n"/>
      <c r="AK253" s="108" t="n"/>
      <c r="AL253" s="108" t="n"/>
      <c r="AM253" s="108" t="n"/>
      <c r="AN253" s="108" t="n"/>
      <c r="AO253" s="108" t="n"/>
      <c r="AP253" s="108" t="n"/>
      <c r="AQ253" s="108" t="n"/>
      <c r="AR253" s="108" t="n"/>
      <c r="AS253" s="108" t="n"/>
      <c r="AT253" s="108" t="n"/>
      <c r="AU253" s="108" t="n"/>
      <c r="AV253" s="108" t="n"/>
      <c r="AW253" s="108" t="n"/>
      <c r="AX253" s="108" t="n"/>
      <c r="AY253" s="108" t="n"/>
      <c r="AZ253" s="108" t="n"/>
      <c r="BA253" s="108" t="n"/>
      <c r="BB253" s="108" t="n"/>
      <c r="BC253" s="108" t="n"/>
      <c r="BD253" s="108" t="n"/>
      <c r="BE253" s="108" t="n"/>
      <c r="BF253" s="108" t="n"/>
      <c r="BG253" s="108" t="n"/>
      <c r="BH253" s="108" t="n"/>
      <c r="BI253" s="109" t="n"/>
    </row>
    <row r="254" ht="14.1" customHeight="1" s="2">
      <c r="A254" s="692" t="n"/>
      <c r="B254" s="758" t="n"/>
      <c r="C254" s="692" t="n"/>
      <c r="D254" s="692" t="n"/>
      <c r="E254" s="692" t="n"/>
      <c r="F254" s="692" t="n"/>
      <c r="G254" s="692" t="n"/>
      <c r="H254" s="692" t="n"/>
      <c r="I254" s="692" t="n"/>
      <c r="J254" s="692" t="n"/>
      <c r="K254" s="692" t="n"/>
      <c r="L254" s="692" t="n"/>
      <c r="M254" s="692" t="n"/>
      <c r="N254" s="692" t="n"/>
      <c r="O254" s="692" t="n"/>
      <c r="P254" s="692" t="n"/>
      <c r="Q254" s="692" t="n"/>
      <c r="R254" s="692" t="n"/>
      <c r="S254" s="692" t="n"/>
      <c r="T254" s="692" t="n"/>
      <c r="U254" s="692" t="n"/>
      <c r="V254" s="692" t="n"/>
      <c r="W254" s="692" t="n"/>
      <c r="X254" s="692" t="n"/>
      <c r="Y254" s="692" t="n"/>
      <c r="Z254" s="692" t="n"/>
      <c r="AA254" s="692" t="n"/>
      <c r="AB254" s="692" t="n"/>
      <c r="AC254" s="692" t="n"/>
      <c r="AD254" s="692" t="n"/>
      <c r="AE254" s="692" t="n"/>
      <c r="AF254" s="692" t="n"/>
      <c r="AG254" s="692" t="n"/>
      <c r="AH254" s="760" t="n"/>
      <c r="AI254" s="108" t="n"/>
      <c r="AJ254" s="108" t="n"/>
      <c r="AK254" s="108" t="n"/>
      <c r="AL254" s="108" t="n"/>
      <c r="AM254" s="108" t="n"/>
      <c r="AN254" s="108" t="n"/>
      <c r="AO254" s="108" t="n"/>
      <c r="AP254" s="108" t="n"/>
      <c r="AQ254" s="108" t="n"/>
      <c r="AR254" s="108" t="n"/>
      <c r="AS254" s="108" t="n"/>
      <c r="AT254" s="108" t="n"/>
      <c r="AU254" s="108" t="n"/>
      <c r="AV254" s="108" t="n"/>
      <c r="AW254" s="108" t="n"/>
      <c r="AX254" s="108" t="n"/>
      <c r="AY254" s="108" t="n"/>
      <c r="AZ254" s="108" t="n"/>
      <c r="BA254" s="108" t="n"/>
      <c r="BB254" s="108" t="n"/>
      <c r="BC254" s="108" t="n"/>
      <c r="BD254" s="108" t="n"/>
      <c r="BE254" s="108" t="n"/>
      <c r="BF254" s="108" t="n"/>
      <c r="BG254" s="108" t="n"/>
      <c r="BH254" s="108" t="n"/>
      <c r="BI254" s="109" t="n"/>
    </row>
    <row r="255" ht="14.1" customHeight="1" s="2">
      <c r="A255" s="692" t="n"/>
      <c r="B255" s="758" t="n"/>
      <c r="C255" s="692" t="n"/>
      <c r="D255" s="692" t="n"/>
      <c r="E255" s="692" t="n"/>
      <c r="F255" s="692" t="n"/>
      <c r="G255" s="692" t="n"/>
      <c r="H255" s="692" t="n"/>
      <c r="I255" s="692" t="n"/>
      <c r="J255" s="692" t="n"/>
      <c r="K255" s="692" t="n"/>
      <c r="L255" s="692" t="n"/>
      <c r="M255" s="692" t="n"/>
      <c r="N255" s="692" t="n"/>
      <c r="O255" s="692" t="n"/>
      <c r="P255" s="692" t="n"/>
      <c r="Q255" s="692" t="n"/>
      <c r="R255" s="692" t="n"/>
      <c r="S255" s="692" t="n"/>
      <c r="T255" s="692" t="n"/>
      <c r="U255" s="692" t="n"/>
      <c r="V255" s="692" t="n"/>
      <c r="W255" s="692" t="n"/>
      <c r="X255" s="692" t="n"/>
      <c r="Y255" s="692" t="n"/>
      <c r="Z255" s="692" t="n"/>
      <c r="AA255" s="692" t="n"/>
      <c r="AB255" s="692" t="n"/>
      <c r="AC255" s="692" t="n"/>
      <c r="AD255" s="692" t="n"/>
      <c r="AE255" s="692" t="n"/>
      <c r="AF255" s="692" t="n"/>
      <c r="AG255" s="692" t="n"/>
      <c r="AH255" s="760" t="n"/>
      <c r="AI255" s="108" t="n"/>
      <c r="AJ255" s="108" t="n"/>
      <c r="AK255" s="108" t="n"/>
      <c r="AL255" s="108" t="n"/>
      <c r="AM255" s="108" t="n"/>
      <c r="AN255" s="108" t="n"/>
      <c r="AO255" s="108" t="n"/>
      <c r="AP255" s="108" t="n"/>
      <c r="AQ255" s="108" t="n"/>
      <c r="AR255" s="108" t="n"/>
      <c r="AS255" s="108" t="n"/>
      <c r="AT255" s="108" t="n"/>
      <c r="AU255" s="108" t="n"/>
      <c r="AV255" s="108" t="n"/>
      <c r="AW255" s="108" t="n"/>
      <c r="AX255" s="108" t="n"/>
      <c r="AY255" s="108" t="n"/>
      <c r="AZ255" s="108" t="n"/>
      <c r="BA255" s="108" t="n"/>
      <c r="BB255" s="108" t="n"/>
      <c r="BC255" s="108" t="n"/>
      <c r="BD255" s="108" t="n"/>
      <c r="BE255" s="108" t="n"/>
      <c r="BF255" s="108" t="n"/>
      <c r="BG255" s="108" t="n"/>
      <c r="BH255" s="108" t="n"/>
      <c r="BI255" s="109" t="n"/>
    </row>
    <row r="256" ht="14.1" customHeight="1" s="2">
      <c r="A256" s="692" t="n"/>
      <c r="B256" s="758" t="n"/>
      <c r="C256" s="692" t="n"/>
      <c r="D256" s="692" t="n"/>
      <c r="E256" s="692" t="n"/>
      <c r="F256" s="692" t="n"/>
      <c r="G256" s="692" t="n"/>
      <c r="H256" s="692" t="n"/>
      <c r="I256" s="692" t="n"/>
      <c r="J256" s="692" t="n"/>
      <c r="K256" s="692" t="n"/>
      <c r="L256" s="692" t="n"/>
      <c r="M256" s="692" t="n"/>
      <c r="N256" s="692" t="n"/>
      <c r="O256" s="692" t="n"/>
      <c r="P256" s="692" t="n"/>
      <c r="Q256" s="692" t="n"/>
      <c r="R256" s="692" t="n"/>
      <c r="S256" s="692" t="n"/>
      <c r="T256" s="692" t="n"/>
      <c r="U256" s="692" t="n"/>
      <c r="V256" s="692" t="n"/>
      <c r="W256" s="692" t="n"/>
      <c r="X256" s="692" t="n"/>
      <c r="Y256" s="692" t="n"/>
      <c r="Z256" s="692" t="n"/>
      <c r="AA256" s="692" t="n"/>
      <c r="AB256" s="692" t="n"/>
      <c r="AC256" s="692" t="n"/>
      <c r="AD256" s="692" t="n"/>
      <c r="AE256" s="692" t="n"/>
      <c r="AF256" s="692" t="n"/>
      <c r="AG256" s="692" t="n"/>
      <c r="AH256" s="760" t="n"/>
      <c r="AI256" s="108" t="n"/>
      <c r="AJ256" s="108" t="n"/>
      <c r="AK256" s="108" t="n"/>
      <c r="AL256" s="108" t="n"/>
      <c r="AM256" s="108" t="n"/>
      <c r="AN256" s="108" t="n"/>
      <c r="AO256" s="108" t="n"/>
      <c r="AP256" s="108" t="n"/>
      <c r="AQ256" s="108" t="n"/>
      <c r="AR256" s="108" t="n"/>
      <c r="AS256" s="108" t="n"/>
      <c r="AT256" s="108" t="n"/>
      <c r="AU256" s="108" t="n"/>
      <c r="AV256" s="108" t="n"/>
      <c r="AW256" s="108" t="n"/>
      <c r="AX256" s="108" t="n"/>
      <c r="AY256" s="108" t="n"/>
      <c r="AZ256" s="108" t="n"/>
      <c r="BA256" s="108" t="n"/>
      <c r="BB256" s="108" t="n"/>
      <c r="BC256" s="108" t="n"/>
      <c r="BD256" s="108" t="n"/>
      <c r="BE256" s="108" t="n"/>
      <c r="BF256" s="108" t="n"/>
      <c r="BG256" s="108" t="n"/>
      <c r="BH256" s="108" t="n"/>
      <c r="BI256" s="109" t="n"/>
    </row>
    <row r="257" ht="15" customHeight="1" s="2">
      <c r="A257" s="692" t="n"/>
      <c r="B257" s="758" t="n"/>
      <c r="C257" s="692" t="n"/>
      <c r="D257" s="692" t="n"/>
      <c r="E257" s="692" t="n"/>
      <c r="F257" s="692" t="n"/>
      <c r="G257" s="692" t="n"/>
      <c r="H257" s="692" t="n"/>
      <c r="I257" s="692" t="n"/>
      <c r="J257" s="692" t="n"/>
      <c r="K257" s="692" t="n"/>
      <c r="L257" s="692" t="n"/>
      <c r="M257" s="692" t="n"/>
      <c r="N257" s="692" t="n"/>
      <c r="O257" s="692" t="n"/>
      <c r="P257" s="692" t="n"/>
      <c r="Q257" s="692" t="n"/>
      <c r="R257" s="692" t="n"/>
      <c r="S257" s="692" t="n"/>
      <c r="T257" s="692" t="n"/>
      <c r="U257" s="692" t="n"/>
      <c r="V257" s="692" t="n"/>
      <c r="W257" s="692" t="n"/>
      <c r="X257" s="692" t="n"/>
      <c r="Y257" s="692" t="n"/>
      <c r="Z257" s="692" t="n"/>
      <c r="AA257" s="692" t="n"/>
      <c r="AB257" s="692" t="n"/>
      <c r="AC257" s="692" t="n"/>
      <c r="AD257" s="692" t="n"/>
      <c r="AE257" s="692" t="n"/>
      <c r="AF257" s="692" t="n"/>
      <c r="AG257" s="692" t="n"/>
      <c r="AH257" s="760" t="n"/>
      <c r="AI257" s="763" t="n"/>
      <c r="AJ257" s="763" t="n"/>
      <c r="AK257" s="763" t="n"/>
      <c r="AL257" s="763" t="n"/>
      <c r="AM257" s="763" t="n"/>
      <c r="AN257" s="763" t="n"/>
      <c r="AO257" s="763" t="n"/>
      <c r="AP257" s="763" t="n"/>
      <c r="AQ257" s="763" t="n"/>
      <c r="AR257" s="763" t="n"/>
      <c r="AS257" s="763" t="n"/>
      <c r="AT257" s="763" t="n"/>
      <c r="AU257" s="763" t="n"/>
      <c r="AV257" s="763" t="n"/>
      <c r="AW257" s="763" t="n"/>
      <c r="AX257" s="763" t="n"/>
      <c r="AY257" s="763" t="n"/>
      <c r="AZ257" s="763" t="n"/>
      <c r="BA257" s="763" t="n"/>
      <c r="BB257" s="763" t="n"/>
      <c r="BC257" s="763" t="n"/>
      <c r="BD257" s="763" t="n"/>
      <c r="BE257" s="763" t="n"/>
      <c r="BF257" s="763" t="n"/>
      <c r="BG257" s="763" t="n"/>
      <c r="BH257" s="763" t="n"/>
      <c r="BI257" s="763" t="n"/>
    </row>
    <row r="258" ht="15" customHeight="1" s="2">
      <c r="A258" s="692" t="n"/>
      <c r="B258" s="758" t="n"/>
      <c r="C258" s="692" t="n"/>
      <c r="D258" s="692" t="n"/>
      <c r="E258" s="692" t="n"/>
      <c r="F258" s="692" t="n"/>
      <c r="G258" s="692" t="n"/>
      <c r="H258" s="692" t="n"/>
      <c r="I258" s="692" t="n"/>
      <c r="J258" s="692" t="n"/>
      <c r="K258" s="692" t="n"/>
      <c r="L258" s="692" t="n"/>
      <c r="M258" s="692" t="n"/>
      <c r="N258" s="692" t="n"/>
      <c r="O258" s="692" t="n"/>
      <c r="P258" s="692" t="n"/>
      <c r="Q258" s="692" t="n"/>
      <c r="R258" s="692" t="n"/>
      <c r="S258" s="692" t="n"/>
      <c r="T258" s="692" t="n"/>
      <c r="U258" s="692" t="n"/>
      <c r="V258" s="692" t="n"/>
      <c r="W258" s="692" t="n"/>
      <c r="X258" s="692" t="n"/>
      <c r="Y258" s="692" t="n"/>
      <c r="Z258" s="692" t="n"/>
      <c r="AA258" s="692" t="n"/>
      <c r="AB258" s="692" t="n"/>
      <c r="AC258" s="692" t="n"/>
      <c r="AD258" s="692" t="n"/>
      <c r="AE258" s="692" t="n"/>
      <c r="AF258" s="695" t="n"/>
      <c r="AG258" s="692" t="n"/>
      <c r="AH258" s="760" t="n"/>
      <c r="AI258" s="695" t="n"/>
      <c r="AJ258" s="695" t="n"/>
      <c r="AK258" s="695" t="n"/>
      <c r="AL258" s="695" t="n"/>
      <c r="AM258" s="695" t="n"/>
      <c r="AN258" s="695" t="n"/>
      <c r="AO258" s="695" t="n"/>
      <c r="AP258" s="695" t="n"/>
      <c r="AQ258" s="695" t="n"/>
      <c r="AR258" s="695" t="n"/>
      <c r="AS258" s="695" t="n"/>
      <c r="AT258" s="695" t="n"/>
      <c r="AU258" s="695" t="n"/>
      <c r="AV258" s="695" t="n"/>
      <c r="AW258" s="695" t="n"/>
      <c r="AX258" s="695" t="n"/>
      <c r="AY258" s="695" t="n"/>
      <c r="AZ258" s="695" t="n"/>
      <c r="BA258" s="695" t="n"/>
      <c r="BB258" s="695" t="n"/>
      <c r="BC258" s="695" t="n"/>
      <c r="BD258" s="695" t="n"/>
      <c r="BE258" s="695" t="n"/>
      <c r="BF258" s="695" t="n"/>
      <c r="BG258" s="695" t="n"/>
      <c r="BH258" s="695" t="n"/>
      <c r="BI258" s="695" t="n"/>
    </row>
    <row r="259" ht="15" customHeight="1" s="2">
      <c r="A259" s="695" t="n"/>
      <c r="B259" s="762" t="n"/>
      <c r="C259" s="695" t="n"/>
      <c r="D259" s="695" t="n"/>
      <c r="E259" s="695" t="n"/>
      <c r="F259" s="695" t="n"/>
      <c r="G259" s="695" t="n"/>
      <c r="H259" s="695" t="n"/>
      <c r="I259" s="695" t="n"/>
      <c r="J259" s="695" t="n"/>
      <c r="K259" s="695" t="n"/>
      <c r="L259" s="695" t="n"/>
      <c r="M259" s="695" t="n"/>
      <c r="N259" s="695" t="n"/>
      <c r="O259" s="695" t="n"/>
      <c r="P259" s="695" t="n"/>
      <c r="Q259" s="695" t="n"/>
      <c r="R259" s="692" t="n"/>
      <c r="S259" s="695" t="n"/>
      <c r="T259" s="692" t="n"/>
      <c r="U259" s="695" t="n"/>
      <c r="V259" s="695" t="n"/>
      <c r="W259" s="695" t="n"/>
      <c r="X259" s="695" t="n"/>
      <c r="Y259" s="695" t="n"/>
      <c r="Z259" s="695" t="n"/>
      <c r="AA259" s="695" t="n"/>
      <c r="AB259" s="695" t="n"/>
      <c r="AC259" s="695" t="n"/>
      <c r="AD259" s="695" t="n"/>
      <c r="AE259" s="695" t="n"/>
      <c r="AF259" s="695" t="n"/>
      <c r="AG259" s="695" t="n"/>
      <c r="AH259" s="695" t="n"/>
      <c r="AI259" s="695" t="n"/>
      <c r="AJ259" s="695" t="n"/>
      <c r="AK259" s="695" t="n"/>
      <c r="AL259" s="695" t="n"/>
      <c r="AM259" s="695" t="n"/>
      <c r="AN259" s="695" t="n"/>
      <c r="AO259" s="695" t="n"/>
      <c r="AP259" s="695" t="n"/>
      <c r="AQ259" s="695" t="n"/>
      <c r="AR259" s="695" t="n"/>
      <c r="AS259" s="695" t="n"/>
      <c r="AT259" s="695" t="n"/>
      <c r="AU259" s="695" t="n"/>
      <c r="AV259" s="695" t="n"/>
      <c r="AW259" s="695" t="n"/>
      <c r="AX259" s="695" t="n"/>
      <c r="AY259" s="695" t="n"/>
      <c r="AZ259" s="695" t="n"/>
      <c r="BA259" s="695" t="n"/>
      <c r="BB259" s="695" t="n"/>
      <c r="BC259" s="695" t="n"/>
      <c r="BD259" s="695" t="n"/>
      <c r="BE259" s="695" t="n"/>
      <c r="BF259" s="695" t="n"/>
      <c r="BG259" s="695" t="n"/>
      <c r="BH259" s="695" t="n"/>
      <c r="BI259" s="695" t="n"/>
    </row>
    <row r="260" ht="15" customHeight="1" s="2">
      <c r="A260" s="695" t="n"/>
      <c r="B260" s="762" t="n"/>
      <c r="C260" s="695" t="n"/>
      <c r="D260" s="695" t="n"/>
      <c r="E260" s="695" t="n"/>
      <c r="F260" s="695" t="n"/>
      <c r="G260" s="695" t="n"/>
      <c r="H260" s="695" t="n"/>
      <c r="I260" s="695" t="n"/>
      <c r="J260" s="695" t="n"/>
      <c r="K260" s="695" t="n"/>
      <c r="L260" s="695" t="n"/>
      <c r="M260" s="695" t="n"/>
      <c r="N260" s="695" t="n"/>
      <c r="O260" s="695" t="n"/>
      <c r="P260" s="695" t="n"/>
      <c r="Q260" s="695" t="n"/>
      <c r="R260" s="692" t="n"/>
      <c r="S260" s="695" t="n"/>
      <c r="T260" s="692" t="n"/>
      <c r="U260" s="695" t="n"/>
      <c r="V260" s="695" t="n"/>
      <c r="W260" s="695" t="n"/>
      <c r="X260" s="695" t="n"/>
      <c r="Y260" s="695" t="n"/>
      <c r="Z260" s="695" t="n"/>
      <c r="AA260" s="695" t="n"/>
      <c r="AB260" s="695" t="n"/>
      <c r="AC260" s="695" t="n"/>
      <c r="AD260" s="695" t="n"/>
      <c r="AE260" s="695" t="n"/>
      <c r="AF260" s="695" t="n"/>
      <c r="AG260" s="695" t="n"/>
      <c r="AH260" s="695" t="n"/>
      <c r="AI260" s="695" t="n"/>
      <c r="AJ260" s="695" t="n"/>
      <c r="AK260" s="695" t="n"/>
      <c r="AL260" s="695" t="n"/>
      <c r="AM260" s="695" t="n"/>
      <c r="AN260" s="695" t="n"/>
      <c r="AO260" s="695" t="n"/>
      <c r="AP260" s="695" t="n"/>
      <c r="AQ260" s="695" t="n"/>
      <c r="AR260" s="695" t="n"/>
      <c r="AS260" s="695" t="n"/>
      <c r="AT260" s="695" t="n"/>
      <c r="AU260" s="695" t="n"/>
      <c r="AV260" s="695" t="n"/>
      <c r="AW260" s="695" t="n"/>
      <c r="AX260" s="695" t="n"/>
      <c r="AY260" s="695" t="n"/>
      <c r="AZ260" s="695" t="n"/>
      <c r="BA260" s="695" t="n"/>
      <c r="BB260" s="695" t="n"/>
      <c r="BC260" s="695" t="n"/>
      <c r="BD260" s="695" t="n"/>
      <c r="BE260" s="695" t="n"/>
      <c r="BF260" s="695" t="n"/>
      <c r="BG260" s="695" t="n"/>
      <c r="BH260" s="695" t="n"/>
      <c r="BI260" s="695" t="n"/>
    </row>
    <row r="261" ht="15" customHeight="1" s="2">
      <c r="A261" s="695" t="n"/>
      <c r="B261" s="762" t="n"/>
      <c r="C261" s="695" t="n"/>
      <c r="D261" s="695" t="n"/>
      <c r="E261" s="695" t="n"/>
      <c r="F261" s="695" t="n"/>
      <c r="G261" s="695" t="n"/>
      <c r="H261" s="695" t="n"/>
      <c r="I261" s="695" t="n"/>
      <c r="J261" s="695" t="n"/>
      <c r="K261" s="695" t="n"/>
      <c r="L261" s="695" t="n"/>
      <c r="M261" s="695" t="n"/>
      <c r="N261" s="695" t="n"/>
      <c r="O261" s="695" t="n"/>
      <c r="P261" s="695" t="n"/>
      <c r="Q261" s="695" t="n"/>
      <c r="R261" s="692" t="n"/>
      <c r="S261" s="695" t="n"/>
      <c r="T261" s="692" t="n"/>
      <c r="U261" s="695" t="n"/>
      <c r="V261" s="695" t="n"/>
      <c r="W261" s="695" t="n"/>
      <c r="X261" s="695" t="n"/>
      <c r="Y261" s="695" t="n"/>
      <c r="Z261" s="695" t="n"/>
      <c r="AA261" s="695" t="n"/>
      <c r="AB261" s="695" t="n"/>
      <c r="AC261" s="695" t="n"/>
      <c r="AD261" s="695" t="n"/>
      <c r="AE261" s="695" t="n"/>
      <c r="AF261" s="695" t="n"/>
      <c r="AG261" s="695" t="n"/>
      <c r="AH261" s="695" t="n"/>
      <c r="AI261" s="695" t="n"/>
      <c r="AJ261" s="695" t="n"/>
      <c r="AK261" s="695" t="n"/>
      <c r="AL261" s="695" t="n"/>
      <c r="AM261" s="695" t="n"/>
      <c r="AN261" s="695" t="n"/>
      <c r="AO261" s="695" t="n"/>
      <c r="AP261" s="695" t="n"/>
      <c r="AQ261" s="695" t="n"/>
      <c r="AR261" s="695" t="n"/>
      <c r="AS261" s="695" t="n"/>
      <c r="AT261" s="695" t="n"/>
      <c r="AU261" s="695" t="n"/>
      <c r="AV261" s="695" t="n"/>
      <c r="AW261" s="695" t="n"/>
      <c r="AX261" s="695" t="n"/>
      <c r="AY261" s="695" t="n"/>
      <c r="AZ261" s="695" t="n"/>
      <c r="BA261" s="695" t="n"/>
      <c r="BB261" s="695" t="n"/>
      <c r="BC261" s="695" t="n"/>
      <c r="BD261" s="695" t="n"/>
      <c r="BE261" s="695" t="n"/>
      <c r="BF261" s="695" t="n"/>
      <c r="BG261" s="695" t="n"/>
      <c r="BH261" s="695" t="n"/>
      <c r="BI261" s="695" t="n"/>
    </row>
    <row r="262" ht="15" customHeight="1" s="2">
      <c r="A262" s="695" t="n"/>
      <c r="B262" s="762" t="n"/>
      <c r="C262" s="695" t="n"/>
      <c r="D262" s="695" t="n"/>
      <c r="E262" s="695" t="n"/>
      <c r="F262" s="695" t="n"/>
      <c r="G262" s="695" t="n"/>
      <c r="H262" s="695" t="n"/>
      <c r="I262" s="695" t="n"/>
      <c r="J262" s="695" t="n"/>
      <c r="K262" s="695" t="n"/>
      <c r="L262" s="695" t="n"/>
      <c r="M262" s="695" t="n"/>
      <c r="N262" s="695" t="n"/>
      <c r="O262" s="695" t="n"/>
      <c r="P262" s="695" t="n"/>
      <c r="Q262" s="695" t="n"/>
      <c r="R262" s="692" t="n"/>
      <c r="S262" s="695" t="n"/>
      <c r="T262" s="692" t="n"/>
      <c r="U262" s="695" t="n"/>
      <c r="V262" s="695" t="n"/>
      <c r="W262" s="695" t="n"/>
      <c r="X262" s="695" t="n"/>
      <c r="Y262" s="695" t="n"/>
      <c r="Z262" s="695" t="n"/>
      <c r="AA262" s="695" t="n"/>
      <c r="AB262" s="695" t="n"/>
      <c r="AC262" s="695" t="n"/>
      <c r="AD262" s="695" t="n"/>
      <c r="AE262" s="695" t="n"/>
      <c r="AF262" s="695" t="n"/>
      <c r="AG262" s="695" t="n"/>
      <c r="AH262" s="695" t="n"/>
      <c r="AI262" s="695" t="n"/>
      <c r="AJ262" s="695" t="n"/>
      <c r="AK262" s="695" t="n"/>
      <c r="AL262" s="695" t="n"/>
      <c r="AM262" s="695" t="n"/>
      <c r="AN262" s="695" t="n"/>
      <c r="AO262" s="695" t="n"/>
      <c r="AP262" s="695" t="n"/>
      <c r="AQ262" s="695" t="n"/>
      <c r="AR262" s="695" t="n"/>
      <c r="AS262" s="695" t="n"/>
      <c r="AT262" s="695" t="n"/>
      <c r="AU262" s="695" t="n"/>
      <c r="AV262" s="695" t="n"/>
      <c r="AW262" s="695" t="n"/>
      <c r="AX262" s="695" t="n"/>
      <c r="AY262" s="695" t="n"/>
      <c r="AZ262" s="695" t="n"/>
      <c r="BA262" s="695" t="n"/>
      <c r="BB262" s="695" t="n"/>
      <c r="BC262" s="695" t="n"/>
      <c r="BD262" s="695" t="n"/>
      <c r="BE262" s="695" t="n"/>
      <c r="BF262" s="695" t="n"/>
      <c r="BG262" s="695" t="n"/>
      <c r="BH262" s="695" t="n"/>
      <c r="BI262" s="695" t="n"/>
    </row>
    <row r="263" ht="15" customHeight="1" s="2">
      <c r="A263" s="695" t="n"/>
      <c r="B263" s="762" t="n"/>
      <c r="C263" s="695" t="n"/>
      <c r="D263" s="695" t="n"/>
      <c r="E263" s="695" t="n"/>
      <c r="F263" s="695" t="n"/>
      <c r="G263" s="695" t="n"/>
      <c r="H263" s="695" t="n"/>
      <c r="I263" s="695" t="n"/>
      <c r="J263" s="695" t="n"/>
      <c r="K263" s="695" t="n"/>
      <c r="L263" s="695" t="n"/>
      <c r="M263" s="695" t="n"/>
      <c r="N263" s="695" t="n"/>
      <c r="O263" s="695" t="n"/>
      <c r="P263" s="695" t="n"/>
      <c r="Q263" s="695" t="n"/>
      <c r="R263" s="692" t="n"/>
      <c r="S263" s="695" t="n"/>
      <c r="T263" s="692" t="n"/>
      <c r="U263" s="695" t="n"/>
      <c r="V263" s="695" t="n"/>
      <c r="W263" s="695" t="n"/>
      <c r="X263" s="695" t="n"/>
      <c r="Y263" s="695" t="n"/>
      <c r="Z263" s="695" t="n"/>
      <c r="AA263" s="695" t="n"/>
      <c r="AB263" s="695" t="n"/>
      <c r="AC263" s="695" t="n"/>
      <c r="AD263" s="695" t="n"/>
      <c r="AE263" s="695" t="n"/>
      <c r="AF263" s="695" t="n"/>
      <c r="AG263" s="695" t="n"/>
      <c r="AH263" s="695" t="n"/>
      <c r="AI263" s="695" t="n"/>
      <c r="AJ263" s="695" t="n"/>
      <c r="AK263" s="695" t="n"/>
      <c r="AL263" s="695" t="n"/>
      <c r="AM263" s="695" t="n"/>
      <c r="AN263" s="695" t="n"/>
      <c r="AO263" s="695" t="n"/>
      <c r="AP263" s="695" t="n"/>
      <c r="AQ263" s="695" t="n"/>
      <c r="AR263" s="695" t="n"/>
      <c r="AS263" s="695" t="n"/>
      <c r="AT263" s="695" t="n"/>
      <c r="AU263" s="695" t="n"/>
      <c r="AV263" s="695" t="n"/>
      <c r="AW263" s="695" t="n"/>
      <c r="AX263" s="695" t="n"/>
      <c r="AY263" s="695" t="n"/>
      <c r="AZ263" s="695" t="n"/>
      <c r="BA263" s="695" t="n"/>
      <c r="BB263" s="695" t="n"/>
      <c r="BC263" s="695" t="n"/>
      <c r="BD263" s="695" t="n"/>
      <c r="BE263" s="695" t="n"/>
      <c r="BF263" s="695" t="n"/>
      <c r="BG263" s="695" t="n"/>
      <c r="BH263" s="695" t="n"/>
      <c r="BI263" s="695" t="n"/>
    </row>
    <row r="264" ht="15" customHeight="1" s="2">
      <c r="A264" s="695" t="n"/>
      <c r="B264" s="762" t="n"/>
      <c r="C264" s="695" t="n"/>
      <c r="D264" s="695" t="n"/>
      <c r="E264" s="695" t="n"/>
      <c r="F264" s="695" t="n"/>
      <c r="G264" s="695" t="n"/>
      <c r="H264" s="695" t="n"/>
      <c r="I264" s="695" t="n"/>
      <c r="J264" s="695" t="n"/>
      <c r="K264" s="695" t="n"/>
      <c r="L264" s="695" t="n"/>
      <c r="M264" s="695" t="n"/>
      <c r="N264" s="695" t="n"/>
      <c r="O264" s="695" t="n"/>
      <c r="P264" s="695" t="n"/>
      <c r="Q264" s="695" t="n"/>
      <c r="R264" s="692" t="n"/>
      <c r="S264" s="695" t="n"/>
      <c r="T264" s="692" t="n"/>
      <c r="U264" s="695" t="n"/>
      <c r="V264" s="695" t="n"/>
      <c r="W264" s="695" t="n"/>
      <c r="X264" s="695" t="n"/>
      <c r="Y264" s="695" t="n"/>
      <c r="Z264" s="695" t="n"/>
      <c r="AA264" s="695" t="n"/>
      <c r="AB264" s="695" t="n"/>
      <c r="AC264" s="695" t="n"/>
      <c r="AD264" s="695" t="n"/>
      <c r="AE264" s="695" t="n"/>
      <c r="AF264" s="695" t="n"/>
      <c r="AG264" s="695" t="n"/>
      <c r="AH264" s="695" t="n"/>
      <c r="AI264" s="695" t="n"/>
      <c r="AJ264" s="695" t="n"/>
      <c r="AK264" s="695" t="n"/>
      <c r="AL264" s="695" t="n"/>
      <c r="AM264" s="695" t="n"/>
      <c r="AN264" s="695" t="n"/>
      <c r="AO264" s="695" t="n"/>
      <c r="AP264" s="695" t="n"/>
      <c r="AQ264" s="695" t="n"/>
      <c r="AR264" s="695" t="n"/>
      <c r="AS264" s="695" t="n"/>
      <c r="AT264" s="695" t="n"/>
      <c r="AU264" s="695" t="n"/>
      <c r="AV264" s="695" t="n"/>
      <c r="AW264" s="695" t="n"/>
      <c r="AX264" s="695" t="n"/>
      <c r="AY264" s="695" t="n"/>
      <c r="AZ264" s="695" t="n"/>
      <c r="BA264" s="695" t="n"/>
      <c r="BB264" s="695" t="n"/>
      <c r="BC264" s="695" t="n"/>
      <c r="BD264" s="695" t="n"/>
      <c r="BE264" s="695" t="n"/>
      <c r="BF264" s="695" t="n"/>
      <c r="BG264" s="695" t="n"/>
      <c r="BH264" s="695" t="n"/>
      <c r="BI264" s="695" t="n"/>
    </row>
    <row r="265" ht="15" customHeight="1" s="2">
      <c r="A265" s="695" t="n"/>
      <c r="B265" s="762" t="n"/>
      <c r="C265" s="695" t="n"/>
      <c r="D265" s="695" t="n"/>
      <c r="E265" s="695" t="n"/>
      <c r="F265" s="695" t="n"/>
      <c r="G265" s="695" t="n"/>
      <c r="H265" s="695" t="n"/>
      <c r="I265" s="695" t="n"/>
      <c r="J265" s="695" t="n"/>
      <c r="K265" s="695" t="n"/>
      <c r="L265" s="695" t="n"/>
      <c r="M265" s="695" t="n"/>
      <c r="N265" s="695" t="n"/>
      <c r="O265" s="695" t="n"/>
      <c r="P265" s="695" t="n"/>
      <c r="Q265" s="695" t="n"/>
      <c r="R265" s="692" t="n"/>
      <c r="S265" s="695" t="n"/>
      <c r="T265" s="692" t="n"/>
      <c r="U265" s="695" t="n"/>
      <c r="V265" s="695" t="n"/>
      <c r="W265" s="695" t="n"/>
      <c r="X265" s="695" t="n"/>
      <c r="Y265" s="695" t="n"/>
      <c r="Z265" s="695" t="n"/>
      <c r="AA265" s="695" t="n"/>
      <c r="AB265" s="695" t="n"/>
      <c r="AC265" s="695" t="n"/>
      <c r="AD265" s="695" t="n"/>
      <c r="AE265" s="695" t="n"/>
      <c r="AF265" s="695" t="n"/>
      <c r="AG265" s="695" t="n"/>
      <c r="AH265" s="695" t="n"/>
      <c r="AI265" s="695" t="n"/>
      <c r="AJ265" s="695" t="n"/>
      <c r="AK265" s="695" t="n"/>
      <c r="AL265" s="695" t="n"/>
      <c r="AM265" s="695" t="n"/>
      <c r="AN265" s="695" t="n"/>
      <c r="AO265" s="695" t="n"/>
      <c r="AP265" s="695" t="n"/>
      <c r="AQ265" s="695" t="n"/>
      <c r="AR265" s="695" t="n"/>
      <c r="AS265" s="695" t="n"/>
      <c r="AT265" s="695" t="n"/>
      <c r="AU265" s="695" t="n"/>
      <c r="AV265" s="695" t="n"/>
      <c r="AW265" s="695" t="n"/>
      <c r="AX265" s="695" t="n"/>
      <c r="AY265" s="695" t="n"/>
      <c r="AZ265" s="695" t="n"/>
      <c r="BA265" s="695" t="n"/>
      <c r="BB265" s="695" t="n"/>
      <c r="BC265" s="695" t="n"/>
      <c r="BD265" s="695" t="n"/>
      <c r="BE265" s="695" t="n"/>
      <c r="BF265" s="695" t="n"/>
      <c r="BG265" s="695" t="n"/>
      <c r="BH265" s="695" t="n"/>
      <c r="BI265" s="695" t="n"/>
    </row>
    <row r="266" ht="15" customHeight="1" s="2">
      <c r="A266" s="695" t="n"/>
      <c r="B266" s="762" t="n"/>
      <c r="C266" s="695" t="n"/>
      <c r="D266" s="695" t="n"/>
      <c r="E266" s="695" t="n"/>
      <c r="F266" s="695" t="n"/>
      <c r="G266" s="695" t="n"/>
      <c r="H266" s="695" t="n"/>
      <c r="I266" s="695" t="n"/>
      <c r="J266" s="695" t="n"/>
      <c r="K266" s="695" t="n"/>
      <c r="L266" s="695" t="n"/>
      <c r="M266" s="695" t="n"/>
      <c r="N266" s="695" t="n"/>
      <c r="O266" s="695" t="n"/>
      <c r="P266" s="695" t="n"/>
      <c r="Q266" s="695" t="n"/>
      <c r="R266" s="692" t="n"/>
      <c r="S266" s="695" t="n"/>
      <c r="T266" s="692" t="n"/>
      <c r="U266" s="695" t="n"/>
      <c r="V266" s="695" t="n"/>
      <c r="W266" s="695" t="n"/>
      <c r="X266" s="695" t="n"/>
      <c r="Y266" s="695" t="n"/>
      <c r="Z266" s="695" t="n"/>
      <c r="AA266" s="695" t="n"/>
      <c r="AB266" s="695" t="n"/>
      <c r="AC266" s="695" t="n"/>
      <c r="AD266" s="695" t="n"/>
      <c r="AE266" s="695" t="n"/>
      <c r="AF266" s="695" t="n"/>
      <c r="AG266" s="695" t="n"/>
      <c r="AH266" s="695" t="n"/>
      <c r="AI266" s="695" t="n"/>
      <c r="AJ266" s="695" t="n"/>
      <c r="AK266" s="695" t="n"/>
      <c r="AL266" s="695" t="n"/>
      <c r="AM266" s="695" t="n"/>
      <c r="AN266" s="695" t="n"/>
      <c r="AO266" s="695" t="n"/>
      <c r="AP266" s="695" t="n"/>
      <c r="AQ266" s="695" t="n"/>
      <c r="AR266" s="695" t="n"/>
      <c r="AS266" s="695" t="n"/>
      <c r="AT266" s="695" t="n"/>
      <c r="AU266" s="695" t="n"/>
      <c r="AV266" s="695" t="n"/>
      <c r="AW266" s="695" t="n"/>
      <c r="AX266" s="695" t="n"/>
      <c r="AY266" s="695" t="n"/>
      <c r="AZ266" s="695" t="n"/>
      <c r="BA266" s="695" t="n"/>
      <c r="BB266" s="695" t="n"/>
      <c r="BC266" s="695" t="n"/>
      <c r="BD266" s="695" t="n"/>
      <c r="BE266" s="695" t="n"/>
      <c r="BF266" s="695" t="n"/>
      <c r="BG266" s="695" t="n"/>
      <c r="BH266" s="695" t="n"/>
      <c r="BI266" s="695" t="n"/>
    </row>
    <row r="267" ht="12" customHeight="1" s="2">
      <c r="A267" s="695" t="n"/>
      <c r="B267" s="762" t="n"/>
      <c r="C267" s="695" t="n"/>
      <c r="D267" s="695" t="n"/>
      <c r="E267" s="695" t="n"/>
      <c r="F267" s="695" t="n"/>
      <c r="G267" s="695" t="n"/>
      <c r="H267" s="695" t="n"/>
      <c r="I267" s="695" t="n"/>
      <c r="J267" s="695" t="n"/>
      <c r="K267" s="695" t="n"/>
      <c r="L267" s="695" t="n"/>
      <c r="M267" s="695" t="n"/>
      <c r="N267" s="695" t="n"/>
      <c r="O267" s="695" t="n"/>
      <c r="P267" s="695" t="n"/>
      <c r="Q267" s="695" t="n"/>
      <c r="R267" s="692" t="n"/>
      <c r="S267" s="695" t="n"/>
      <c r="T267" s="692" t="n"/>
      <c r="U267" s="695" t="n"/>
      <c r="V267" s="695" t="n"/>
      <c r="W267" s="695" t="n"/>
      <c r="X267" s="695" t="n"/>
      <c r="Y267" s="695" t="n"/>
      <c r="Z267" s="695" t="n"/>
      <c r="AA267" s="695" t="n"/>
      <c r="AB267" s="695" t="n"/>
      <c r="AC267" s="695" t="n"/>
      <c r="AD267" s="695" t="n"/>
      <c r="AE267" s="695" t="n"/>
      <c r="AF267" s="695" t="n"/>
      <c r="AG267" s="695" t="n"/>
      <c r="AH267" s="695" t="n"/>
    </row>
    <row r="268" ht="12" customHeight="1" s="2">
      <c r="A268" s="695" t="n"/>
      <c r="B268" s="762" t="n"/>
      <c r="C268" s="695" t="n"/>
      <c r="D268" s="695" t="n"/>
      <c r="E268" s="695" t="n"/>
      <c r="F268" s="695" t="n"/>
      <c r="G268" s="695" t="n"/>
      <c r="H268" s="695" t="n"/>
      <c r="I268" s="695" t="n"/>
      <c r="J268" s="695" t="n"/>
      <c r="K268" s="695" t="n"/>
      <c r="L268" s="695" t="n"/>
      <c r="M268" s="695" t="n"/>
      <c r="N268" s="695" t="n"/>
      <c r="O268" s="695" t="n"/>
      <c r="P268" s="695" t="n"/>
      <c r="Q268" s="695" t="n"/>
      <c r="R268" s="692" t="n"/>
      <c r="S268" s="695" t="n"/>
      <c r="T268" s="692" t="n"/>
      <c r="U268" s="695" t="n"/>
      <c r="V268" s="695" t="n"/>
      <c r="W268" s="695" t="n"/>
      <c r="X268" s="695" t="n"/>
      <c r="Y268" s="695" t="n"/>
      <c r="Z268" s="695" t="n"/>
      <c r="AA268" s="695" t="n"/>
      <c r="AB268" s="695" t="n"/>
      <c r="AC268" s="695" t="n"/>
      <c r="AD268" s="695" t="n"/>
      <c r="AE268" s="695" t="n"/>
      <c r="AG268" s="695" t="n"/>
      <c r="AH268" s="695" t="n"/>
    </row>
  </sheetData>
  <mergeCells count="3">
    <mergeCell ref="Z2:AA2"/>
    <mergeCell ref="J2:K2"/>
    <mergeCell ref="A2:C2"/>
  </mergeCells>
  <conditionalFormatting sqref="AC2 AE2:AF2">
    <cfRule type="cellIs" priority="1" operator="lessThan" dxfId="0" stopIfTrue="1">
      <formula>0</formula>
    </cfRule>
  </conditionalFormatting>
  <pageMargins left="0" right="0" top="0.4724409448818898" bottom="0.3937007874015748" header="0.5118110236220472" footer="0.5118110236220472"/>
  <pageSetup orientation="landscape" scale="41" horizontalDpi="4294967293"/>
  <headerFooter>
    <oddHeader/>
    <oddFooter>&amp;C&amp;"Helvetica,Regular"&amp;12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H58"/>
  <sheetViews>
    <sheetView showGridLines="0" tabSelected="1" showRuler="0" topLeftCell="A7" zoomScale="70" zoomScaleNormal="70" zoomScalePageLayoutView="59" workbookViewId="0">
      <selection activeCell="R19" sqref="R19"/>
    </sheetView>
  </sheetViews>
  <sheetFormatPr baseColWidth="8" defaultColWidth="9" defaultRowHeight="12.75" customHeight="1"/>
  <cols>
    <col width="62.42578125" bestFit="1" customWidth="1" style="882" min="1" max="1"/>
    <col width="12.140625" bestFit="1" customWidth="1" style="882" min="2" max="2"/>
    <col width="12.42578125" bestFit="1" customWidth="1" style="882" min="3" max="3"/>
    <col width="12.7109375" customWidth="1" style="882" min="4" max="4"/>
    <col width="10.7109375" bestFit="1" customWidth="1" style="150" min="5" max="5"/>
    <col width="13.42578125" bestFit="1" customWidth="1" style="882" min="6" max="6"/>
    <col width="11.42578125" customWidth="1" style="882" min="7" max="7"/>
    <col width="10.7109375" bestFit="1" customWidth="1" style="150" min="8" max="8"/>
    <col width="12" bestFit="1" customWidth="1" style="882" min="9" max="10"/>
    <col width="9.28515625" bestFit="1" customWidth="1" style="882" min="11" max="11"/>
    <col width="10.5703125" bestFit="1" customWidth="1" style="882" min="12" max="12"/>
    <col width="19.42578125" customWidth="1" style="882" min="13" max="13"/>
    <col width="13.28515625" customWidth="1" style="882" min="14" max="14"/>
    <col width="12.42578125" bestFit="1" customWidth="1" style="882" min="15" max="15"/>
    <col width="10.85546875" customWidth="1" style="882" min="16" max="16"/>
    <col width="12.5703125" customWidth="1" style="882" min="17" max="17"/>
    <col width="12.5703125" bestFit="1" customWidth="1" style="882" min="18" max="18"/>
    <col width="9" customWidth="1" style="882" min="19" max="190"/>
    <col width="9" customWidth="1" style="882" min="191" max="16384"/>
  </cols>
  <sheetData>
    <row r="1" ht="26.1" customHeight="1" s="2" thickBot="1">
      <c r="A1" s="158" t="inlineStr">
        <is>
          <t>POTR - THE ROCKS</t>
        </is>
      </c>
      <c r="B1" s="159">
        <f>'Wage Percentage'!C2</f>
        <v/>
      </c>
      <c r="C1" s="159" t="n"/>
      <c r="D1" s="159" t="n"/>
      <c r="E1" s="733" t="n"/>
      <c r="F1" s="159" t="n"/>
      <c r="G1" s="159" t="n"/>
      <c r="H1" s="733" t="n"/>
      <c r="I1" s="159" t="n"/>
      <c r="J1" s="159" t="n"/>
      <c r="K1" s="160" t="n"/>
      <c r="L1" s="161" t="n"/>
      <c r="M1" s="162" t="n"/>
      <c r="N1" s="162" t="n"/>
      <c r="O1" s="163" t="n"/>
      <c r="P1" s="164" t="n"/>
      <c r="Q1" s="164" t="n"/>
      <c r="R1" s="164" t="n"/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1" t="n"/>
      <c r="AL1" s="141" t="n"/>
      <c r="AM1" s="141" t="n"/>
      <c r="AN1" s="141" t="n"/>
      <c r="AO1" s="141" t="n"/>
      <c r="AP1" s="142" t="n"/>
    </row>
    <row r="2" ht="23.85" customHeight="1" s="2">
      <c r="A2" s="1088" t="inlineStr">
        <is>
          <t>EMPLOYEE</t>
        </is>
      </c>
      <c r="B2" s="1093" t="n"/>
      <c r="C2" s="1079" t="inlineStr">
        <is>
          <t xml:space="preserve">SAT </t>
        </is>
      </c>
      <c r="D2" s="1080" t="inlineStr">
        <is>
          <t xml:space="preserve">SUN </t>
        </is>
      </c>
      <c r="E2" s="1081" t="inlineStr">
        <is>
          <t>O/Time</t>
        </is>
      </c>
      <c r="F2" s="1080" t="inlineStr">
        <is>
          <t xml:space="preserve">O/Time </t>
        </is>
      </c>
      <c r="G2" s="1474" t="inlineStr">
        <is>
          <t>Sat Milko 2.0</t>
        </is>
      </c>
      <c r="H2" s="1081" t="inlineStr">
        <is>
          <t>O/Time</t>
        </is>
      </c>
      <c r="I2" s="1080" t="inlineStr">
        <is>
          <t>P/Hol</t>
        </is>
      </c>
      <c r="J2" s="1080" t="inlineStr">
        <is>
          <t>P/Hol</t>
        </is>
      </c>
      <c r="K2" s="1080" t="inlineStr">
        <is>
          <t>Sick</t>
        </is>
      </c>
      <c r="L2" s="1080" t="inlineStr">
        <is>
          <t>Annual</t>
        </is>
      </c>
      <c r="M2" s="1080" t="inlineStr">
        <is>
          <t>LAUN</t>
        </is>
      </c>
      <c r="N2" s="1080" t="inlineStr">
        <is>
          <t>SUPER</t>
        </is>
      </c>
      <c r="O2" s="1080" t="inlineStr">
        <is>
          <t>PEN</t>
        </is>
      </c>
      <c r="P2" s="1080" t="inlineStr">
        <is>
          <t>PEN</t>
        </is>
      </c>
      <c r="Q2" s="1080" t="inlineStr">
        <is>
          <t>Split</t>
        </is>
      </c>
      <c r="R2" s="1082" t="inlineStr">
        <is>
          <t>TOTAL</t>
        </is>
      </c>
      <c r="S2" s="1037" t="n"/>
      <c r="T2" s="1037" t="n"/>
      <c r="U2" s="1037" t="n"/>
      <c r="V2" s="1037" t="n"/>
      <c r="W2" s="1037" t="n"/>
      <c r="X2" s="1037" t="n"/>
      <c r="Y2" s="1037" t="n"/>
      <c r="Z2" s="1037" t="n"/>
      <c r="AA2" s="1037" t="n"/>
      <c r="AB2" s="1037" t="n"/>
      <c r="AC2" s="1037" t="n"/>
      <c r="AD2" s="1037" t="n"/>
      <c r="AE2" s="1037" t="n"/>
      <c r="AF2" s="1037" t="n"/>
      <c r="AG2" s="1037" t="n"/>
      <c r="AH2" s="1037" t="n"/>
      <c r="AI2" s="1037" t="n"/>
      <c r="AJ2" s="1037" t="n"/>
      <c r="AK2" s="1037" t="n"/>
      <c r="AL2" s="1037" t="n"/>
      <c r="AM2" s="1037" t="n"/>
      <c r="AN2" s="1037" t="n"/>
      <c r="AO2" s="1037" t="n"/>
      <c r="AP2" s="146" t="n"/>
    </row>
    <row r="3" ht="23.45" customHeight="1" s="2">
      <c r="A3" s="1089" t="inlineStr">
        <is>
          <t>NAME</t>
        </is>
      </c>
      <c r="B3" s="1094" t="inlineStr">
        <is>
          <t>ORD</t>
        </is>
      </c>
      <c r="C3" s="1076" t="inlineStr">
        <is>
          <t>1.25</t>
        </is>
      </c>
      <c r="D3" s="1077" t="n">
        <v>1.5</v>
      </c>
      <c r="E3" s="1078" t="n">
        <v>1.5</v>
      </c>
      <c r="F3" s="1077" t="n">
        <v>1.75</v>
      </c>
      <c r="G3" s="1583" t="n"/>
      <c r="H3" s="1078" t="n">
        <v>2</v>
      </c>
      <c r="I3" s="1076" t="inlineStr">
        <is>
          <t>2.25</t>
        </is>
      </c>
      <c r="J3" s="1076" t="inlineStr">
        <is>
          <t>2.5</t>
        </is>
      </c>
      <c r="K3" s="1076" t="inlineStr">
        <is>
          <t>Leave</t>
        </is>
      </c>
      <c r="L3" s="1076" t="inlineStr">
        <is>
          <t>Leave</t>
        </is>
      </c>
      <c r="M3" s="1076" t="inlineStr">
        <is>
          <t>Allow</t>
        </is>
      </c>
      <c r="N3" s="1076" t="inlineStr">
        <is>
          <t>Allow</t>
        </is>
      </c>
      <c r="O3" s="1076" t="inlineStr">
        <is>
          <t>10-12am</t>
        </is>
      </c>
      <c r="P3" s="1076" t="inlineStr">
        <is>
          <t>12-6am</t>
        </is>
      </c>
      <c r="Q3" s="1076" t="inlineStr">
        <is>
          <t>Allow</t>
        </is>
      </c>
      <c r="R3" s="1083" t="n"/>
      <c r="S3" s="1037" t="n"/>
      <c r="T3" s="1037" t="n"/>
      <c r="U3" s="1037" t="n"/>
      <c r="V3" s="1037" t="n"/>
      <c r="W3" s="1037" t="n"/>
      <c r="X3" s="1037" t="n"/>
      <c r="Y3" s="1037" t="n"/>
      <c r="Z3" s="1037" t="n"/>
      <c r="AA3" s="1037" t="n"/>
      <c r="AB3" s="1037" t="n"/>
      <c r="AC3" s="1037" t="n"/>
      <c r="AD3" s="1037" t="n"/>
      <c r="AE3" s="1037" t="n"/>
      <c r="AF3" s="1037" t="n"/>
      <c r="AG3" s="1037" t="n"/>
      <c r="AH3" s="1037" t="n"/>
      <c r="AI3" s="1037" t="n"/>
      <c r="AJ3" s="1037" t="n"/>
      <c r="AK3" s="1037" t="n"/>
      <c r="AL3" s="1037" t="n"/>
      <c r="AM3" s="1037" t="n"/>
      <c r="AN3" s="1037" t="n"/>
      <c r="AO3" s="1037" t="n"/>
      <c r="AP3" s="146" t="n"/>
    </row>
    <row r="4" ht="23.45" customHeight="1" s="2" thickBot="1">
      <c r="A4" s="1090" t="n"/>
      <c r="B4" s="1095" t="n"/>
      <c r="C4" s="1084" t="inlineStr">
        <is>
          <t>ORD CAS</t>
        </is>
      </c>
      <c r="D4" s="1085" t="inlineStr">
        <is>
          <t>SAT CAS</t>
        </is>
      </c>
      <c r="E4" s="1086" t="n"/>
      <c r="F4" s="1085" t="inlineStr">
        <is>
          <t>SUN CAS</t>
        </is>
      </c>
      <c r="G4" s="1584" t="n"/>
      <c r="H4" s="1086" t="n"/>
      <c r="I4" s="1084" t="n"/>
      <c r="J4" s="1084" t="inlineStr">
        <is>
          <t>CAS</t>
        </is>
      </c>
      <c r="K4" s="1084" t="n"/>
      <c r="L4" s="1084" t="n"/>
      <c r="M4" s="1084" t="n"/>
      <c r="N4" s="1084" t="n"/>
      <c r="O4" s="1084" t="n"/>
      <c r="P4" s="1084" t="n"/>
      <c r="Q4" s="1084" t="inlineStr">
        <is>
          <t>11.2</t>
        </is>
      </c>
      <c r="R4" s="1087" t="n"/>
      <c r="S4" s="1037" t="n"/>
      <c r="T4" s="1037" t="n"/>
      <c r="U4" s="1037" t="n"/>
      <c r="V4" s="1037" t="n"/>
      <c r="W4" s="1037" t="n"/>
      <c r="X4" s="1037" t="n"/>
      <c r="Y4" s="1037" t="n"/>
      <c r="Z4" s="1037" t="n"/>
      <c r="AA4" s="1037" t="n"/>
      <c r="AB4" s="1037" t="n"/>
      <c r="AC4" s="1037" t="n"/>
      <c r="AD4" s="1037" t="n"/>
      <c r="AE4" s="1037" t="n"/>
      <c r="AF4" s="1037" t="n"/>
      <c r="AG4" s="1037" t="n"/>
      <c r="AH4" s="1037" t="n"/>
      <c r="AI4" s="1037" t="n"/>
      <c r="AJ4" s="1037" t="n"/>
      <c r="AK4" s="1037" t="n"/>
      <c r="AL4" s="1037" t="n"/>
      <c r="AM4" s="1037" t="n"/>
      <c r="AN4" s="1037" t="n"/>
      <c r="AO4" s="1037" t="n"/>
      <c r="AP4" s="146" t="n"/>
    </row>
    <row r="5" ht="30.2" customHeight="1" s="2">
      <c r="A5" s="1233" t="inlineStr">
        <is>
          <t>AKTER, Nasrin</t>
        </is>
      </c>
      <c r="B5" s="1046" t="n">
        <v>750</v>
      </c>
      <c r="C5" s="963" t="n">
        <v>1000</v>
      </c>
      <c r="D5" s="963" t="n">
        <v>500</v>
      </c>
      <c r="E5" s="963" t="n"/>
      <c r="F5" s="964" t="n"/>
      <c r="G5" s="964" t="n"/>
      <c r="H5" s="964" t="n"/>
      <c r="I5" s="963" t="n"/>
      <c r="J5" s="962" t="n"/>
      <c r="K5" s="963" t="n"/>
      <c r="L5" s="963" t="n"/>
      <c r="M5" s="165" t="n">
        <v>3</v>
      </c>
      <c r="N5" s="964" t="n"/>
      <c r="O5" s="963" t="n"/>
      <c r="P5" s="963" t="n"/>
      <c r="Q5" s="1585" t="n">
        <v>22.4</v>
      </c>
      <c r="R5" s="1038">
        <f>B5+C5+D5+E5+F5+G5+H5+I5+K5+L5+J5</f>
        <v/>
      </c>
      <c r="S5" s="151" t="n"/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51" t="n"/>
      <c r="AP5" s="151" t="n"/>
      <c r="AQ5" s="151" t="n"/>
      <c r="AR5" s="151" t="n"/>
      <c r="AS5" s="151" t="n"/>
      <c r="AT5" s="151" t="n"/>
      <c r="AU5" s="151" t="n"/>
      <c r="AV5" s="151" t="n"/>
      <c r="AW5" s="151" t="n"/>
      <c r="AX5" s="151" t="n"/>
      <c r="AY5" s="151" t="n"/>
      <c r="AZ5" s="151" t="n"/>
      <c r="BA5" s="151" t="n"/>
      <c r="BB5" s="151" t="n"/>
      <c r="BC5" s="151" t="n"/>
      <c r="BD5" s="151" t="n"/>
      <c r="BE5" s="151" t="n"/>
      <c r="BF5" s="151" t="n"/>
      <c r="BG5" s="151" t="n"/>
      <c r="BH5" s="151" t="n"/>
      <c r="BI5" s="151" t="n"/>
      <c r="BJ5" s="151" t="n"/>
      <c r="BK5" s="151" t="n"/>
      <c r="BL5" s="151" t="n"/>
      <c r="BM5" s="151" t="n"/>
      <c r="BN5" s="151" t="n"/>
      <c r="BO5" s="151" t="n"/>
      <c r="BP5" s="151" t="n"/>
      <c r="BQ5" s="151" t="n"/>
      <c r="BR5" s="151" t="n"/>
      <c r="BS5" s="151" t="n"/>
      <c r="BT5" s="151" t="n"/>
      <c r="BU5" s="151" t="n"/>
      <c r="BV5" s="151" t="n"/>
      <c r="BW5" s="151" t="n"/>
      <c r="BX5" s="151" t="n"/>
      <c r="BY5" s="151" t="n"/>
      <c r="BZ5" s="151" t="n"/>
      <c r="CA5" s="151" t="n"/>
      <c r="CB5" s="151" t="n"/>
      <c r="CC5" s="151" t="n"/>
      <c r="CD5" s="151" t="n"/>
      <c r="CE5" s="151" t="n"/>
      <c r="CF5" s="151" t="n"/>
      <c r="CG5" s="151" t="n"/>
      <c r="CH5" s="151" t="n"/>
      <c r="CI5" s="151" t="n"/>
      <c r="CJ5" s="151" t="n"/>
      <c r="CK5" s="151" t="n"/>
      <c r="CL5" s="151" t="n"/>
      <c r="CM5" s="151" t="n"/>
      <c r="CN5" s="151" t="n"/>
      <c r="CO5" s="151" t="n"/>
      <c r="CP5" s="151" t="n"/>
      <c r="CQ5" s="151" t="n"/>
      <c r="CR5" s="151" t="n"/>
      <c r="CS5" s="151" t="n"/>
      <c r="CT5" s="151" t="n"/>
      <c r="CU5" s="151" t="n"/>
      <c r="CV5" s="151" t="n"/>
      <c r="CW5" s="151" t="n"/>
      <c r="CX5" s="151" t="n"/>
      <c r="CY5" s="151" t="n"/>
      <c r="CZ5" s="151" t="n"/>
      <c r="DA5" s="151" t="n"/>
      <c r="DB5" s="151" t="n"/>
      <c r="DC5" s="151" t="n"/>
      <c r="DD5" s="151" t="n"/>
      <c r="DE5" s="151" t="n"/>
      <c r="DF5" s="151" t="n"/>
      <c r="DG5" s="151" t="n"/>
      <c r="DH5" s="151" t="n"/>
      <c r="DI5" s="151" t="n"/>
      <c r="DJ5" s="151" t="n"/>
      <c r="DK5" s="151" t="n"/>
      <c r="DL5" s="151" t="n"/>
      <c r="DM5" s="151" t="n"/>
      <c r="DN5" s="151" t="n"/>
      <c r="DO5" s="151" t="n"/>
      <c r="DP5" s="150" t="n"/>
      <c r="DQ5" s="150" t="n"/>
      <c r="DR5" s="150" t="n"/>
      <c r="DS5" s="150" t="n"/>
      <c r="DT5" s="150" t="n"/>
      <c r="DU5" s="150" t="n"/>
      <c r="DV5" s="150" t="n"/>
      <c r="DW5" s="150" t="n"/>
      <c r="DX5" s="150" t="n"/>
      <c r="DY5" s="150" t="n"/>
      <c r="DZ5" s="150" t="n"/>
      <c r="EA5" s="150" t="n"/>
      <c r="EB5" s="150" t="n"/>
      <c r="EC5" s="150" t="n"/>
      <c r="ED5" s="150" t="n"/>
      <c r="EE5" s="150" t="n"/>
      <c r="EF5" s="150" t="n"/>
      <c r="EG5" s="150" t="n"/>
      <c r="EH5" s="150" t="n"/>
      <c r="EI5" s="150" t="n"/>
      <c r="EJ5" s="150" t="n"/>
      <c r="EK5" s="150" t="n"/>
      <c r="EL5" s="150" t="n"/>
      <c r="EM5" s="150" t="n"/>
      <c r="EN5" s="150" t="n"/>
      <c r="EO5" s="150" t="n"/>
      <c r="EP5" s="150" t="n"/>
      <c r="EQ5" s="150" t="n"/>
      <c r="ER5" s="150" t="n"/>
      <c r="ES5" s="150" t="n"/>
      <c r="ET5" s="150" t="n"/>
      <c r="EU5" s="150" t="n"/>
      <c r="EV5" s="150" t="n"/>
      <c r="EW5" s="150" t="n"/>
      <c r="EX5" s="150" t="n"/>
      <c r="EY5" s="150" t="n"/>
      <c r="EZ5" s="150" t="n"/>
      <c r="FA5" s="150" t="n"/>
      <c r="FB5" s="150" t="n"/>
      <c r="FC5" s="150" t="n"/>
      <c r="FD5" s="150" t="n"/>
      <c r="FE5" s="150" t="n"/>
      <c r="FF5" s="150" t="n"/>
      <c r="FG5" s="150" t="n"/>
      <c r="FH5" s="150" t="n"/>
      <c r="FI5" s="150" t="n"/>
      <c r="FJ5" s="150" t="n"/>
      <c r="FK5" s="150" t="n"/>
      <c r="FL5" s="150" t="n"/>
      <c r="FM5" s="150" t="n"/>
      <c r="FN5" s="150" t="n"/>
      <c r="FO5" s="150" t="n"/>
      <c r="FP5" s="150" t="n"/>
      <c r="FQ5" s="150" t="n"/>
      <c r="FR5" s="150" t="n"/>
      <c r="FS5" s="150" t="n"/>
      <c r="FT5" s="150" t="n"/>
      <c r="FU5" s="150" t="n"/>
      <c r="FV5" s="150" t="n"/>
      <c r="FW5" s="150" t="n"/>
      <c r="FX5" s="150" t="n"/>
      <c r="FY5" s="150" t="n"/>
      <c r="FZ5" s="150" t="n"/>
      <c r="GA5" s="150" t="n"/>
      <c r="GB5" s="150" t="n"/>
      <c r="GC5" s="150" t="n"/>
      <c r="GD5" s="150" t="n"/>
      <c r="GE5" s="150" t="n"/>
      <c r="GF5" s="150" t="n"/>
      <c r="GG5" s="150" t="n"/>
      <c r="GH5" s="150" t="n"/>
    </row>
    <row r="6" ht="30.2" customFormat="1" customHeight="1" s="151">
      <c r="A6" s="1063" t="inlineStr">
        <is>
          <t>BANTHIA, Jiya</t>
        </is>
      </c>
      <c r="B6" s="1046" t="n">
        <v>1000</v>
      </c>
      <c r="C6" s="963" t="n">
        <v>750</v>
      </c>
      <c r="D6" s="963" t="n">
        <v>875</v>
      </c>
      <c r="E6" s="963" t="n"/>
      <c r="F6" s="964" t="n"/>
      <c r="G6" s="964" t="n"/>
      <c r="H6" s="964" t="n"/>
      <c r="I6" s="963" t="n"/>
      <c r="J6" s="962" t="n"/>
      <c r="K6" s="963" t="n"/>
      <c r="L6" s="963" t="n"/>
      <c r="M6" s="165" t="n">
        <v>3</v>
      </c>
      <c r="N6" s="964" t="n"/>
      <c r="O6" s="963" t="n">
        <v>2</v>
      </c>
      <c r="P6" s="963" t="n"/>
      <c r="Q6" s="1585" t="n">
        <v>11.2</v>
      </c>
      <c r="R6" s="1038">
        <f>B6+C6+D6+E6+F6+G6+H6+I6+K6+L6+J6</f>
        <v/>
      </c>
      <c r="AQ6" s="151" t="n"/>
      <c r="AR6" s="151" t="n"/>
      <c r="AS6" s="151" t="n"/>
      <c r="AT6" s="151" t="n"/>
      <c r="AU6" s="151" t="n"/>
      <c r="AV6" s="151" t="n"/>
      <c r="AW6" s="151" t="n"/>
      <c r="AX6" s="151" t="n"/>
      <c r="AY6" s="151" t="n"/>
      <c r="AZ6" s="151" t="n"/>
      <c r="BA6" s="151" t="n"/>
      <c r="BB6" s="151" t="n"/>
      <c r="BC6" s="151" t="n"/>
      <c r="BD6" s="151" t="n"/>
      <c r="BE6" s="151" t="n"/>
      <c r="BF6" s="151" t="n"/>
      <c r="BG6" s="151" t="n"/>
      <c r="BH6" s="151" t="n"/>
      <c r="BI6" s="151" t="n"/>
      <c r="BJ6" s="151" t="n"/>
      <c r="BK6" s="151" t="n"/>
      <c r="BL6" s="151" t="n"/>
      <c r="BM6" s="151" t="n"/>
      <c r="BN6" s="151" t="n"/>
      <c r="BO6" s="151" t="n"/>
      <c r="BP6" s="151" t="n"/>
      <c r="BQ6" s="151" t="n"/>
      <c r="BR6" s="151" t="n"/>
      <c r="BS6" s="151" t="n"/>
      <c r="BT6" s="151" t="n"/>
      <c r="BU6" s="151" t="n"/>
      <c r="BV6" s="151" t="n"/>
      <c r="BW6" s="151" t="n"/>
      <c r="BX6" s="151" t="n"/>
      <c r="BY6" s="151" t="n"/>
      <c r="BZ6" s="151" t="n"/>
      <c r="CA6" s="151" t="n"/>
      <c r="CB6" s="151" t="n"/>
      <c r="CC6" s="151" t="n"/>
      <c r="CD6" s="151" t="n"/>
      <c r="CE6" s="151" t="n"/>
      <c r="CF6" s="151" t="n"/>
      <c r="CG6" s="151" t="n"/>
      <c r="CH6" s="151" t="n"/>
      <c r="CI6" s="151" t="n"/>
      <c r="CJ6" s="151" t="n"/>
      <c r="CK6" s="151" t="n"/>
      <c r="CL6" s="151" t="n"/>
      <c r="CM6" s="151" t="n"/>
      <c r="CN6" s="151" t="n"/>
      <c r="CO6" s="151" t="n"/>
      <c r="CP6" s="151" t="n"/>
      <c r="CQ6" s="151" t="n"/>
      <c r="CR6" s="151" t="n"/>
      <c r="CS6" s="151" t="n"/>
      <c r="CT6" s="151" t="n"/>
      <c r="CU6" s="151" t="n"/>
      <c r="CV6" s="151" t="n"/>
      <c r="CW6" s="151" t="n"/>
      <c r="CX6" s="151" t="n"/>
      <c r="CY6" s="151" t="n"/>
      <c r="CZ6" s="151" t="n"/>
      <c r="DA6" s="151" t="n"/>
      <c r="DB6" s="151" t="n"/>
      <c r="DC6" s="151" t="n"/>
      <c r="DD6" s="151" t="n"/>
      <c r="DE6" s="151" t="n"/>
      <c r="DF6" s="151" t="n"/>
      <c r="DG6" s="151" t="n"/>
      <c r="DH6" s="151" t="n"/>
      <c r="DI6" s="151" t="n"/>
      <c r="DJ6" s="151" t="n"/>
      <c r="DK6" s="151" t="n"/>
      <c r="DL6" s="151" t="n"/>
      <c r="DM6" s="151" t="n"/>
      <c r="DN6" s="151" t="n"/>
      <c r="DO6" s="151" t="n"/>
      <c r="DP6" s="151" t="n"/>
      <c r="DQ6" s="151" t="n"/>
      <c r="DR6" s="151" t="n"/>
      <c r="DS6" s="151" t="n"/>
      <c r="DT6" s="151" t="n"/>
      <c r="DU6" s="151" t="n"/>
      <c r="DV6" s="151" t="n"/>
      <c r="DW6" s="151" t="n"/>
      <c r="DX6" s="151" t="n"/>
      <c r="DY6" s="151" t="n"/>
      <c r="DZ6" s="151" t="n"/>
      <c r="EA6" s="151" t="n"/>
      <c r="EB6" s="151" t="n"/>
      <c r="EC6" s="151" t="n"/>
      <c r="ED6" s="151" t="n"/>
      <c r="EE6" s="151" t="n"/>
      <c r="EF6" s="151" t="n"/>
      <c r="EG6" s="151" t="n"/>
      <c r="EH6" s="151" t="n"/>
      <c r="EI6" s="151" t="n"/>
      <c r="EJ6" s="151" t="n"/>
      <c r="EK6" s="151" t="n"/>
      <c r="EL6" s="151" t="n"/>
      <c r="EM6" s="151" t="n"/>
      <c r="EN6" s="151" t="n"/>
      <c r="EO6" s="151" t="n"/>
      <c r="EP6" s="151" t="n"/>
      <c r="EQ6" s="151" t="n"/>
      <c r="ER6" s="151" t="n"/>
      <c r="ES6" s="151" t="n"/>
      <c r="ET6" s="151" t="n"/>
      <c r="EU6" s="151" t="n"/>
      <c r="EV6" s="151" t="n"/>
      <c r="EW6" s="151" t="n"/>
      <c r="EX6" s="151" t="n"/>
      <c r="EY6" s="151" t="n"/>
      <c r="EZ6" s="151" t="n"/>
      <c r="FA6" s="151" t="n"/>
      <c r="FB6" s="151" t="n"/>
      <c r="FC6" s="151" t="n"/>
      <c r="FD6" s="151" t="n"/>
      <c r="FE6" s="151" t="n"/>
      <c r="FF6" s="151" t="n"/>
      <c r="FG6" s="151" t="n"/>
      <c r="FH6" s="151" t="n"/>
      <c r="FI6" s="151" t="n"/>
      <c r="FJ6" s="151" t="n"/>
      <c r="FK6" s="151" t="n"/>
      <c r="FL6" s="151" t="n"/>
      <c r="FM6" s="151" t="n"/>
      <c r="FN6" s="151" t="n"/>
      <c r="FO6" s="151" t="n"/>
      <c r="FP6" s="151" t="n"/>
      <c r="FQ6" s="151" t="n"/>
      <c r="FR6" s="151" t="n"/>
      <c r="FS6" s="151" t="n"/>
      <c r="FT6" s="151" t="n"/>
      <c r="FU6" s="151" t="n"/>
      <c r="FV6" s="151" t="n"/>
      <c r="FW6" s="151" t="n"/>
      <c r="FX6" s="151" t="n"/>
      <c r="FY6" s="151" t="n"/>
      <c r="FZ6" s="151" t="n"/>
      <c r="GA6" s="151" t="n"/>
      <c r="GB6" s="151" t="n"/>
      <c r="GC6" s="151" t="n"/>
      <c r="GD6" s="151" t="n"/>
      <c r="GE6" s="151" t="n"/>
      <c r="GF6" s="151" t="n"/>
      <c r="GG6" s="151" t="n"/>
      <c r="GH6" s="151" t="n"/>
    </row>
    <row r="7" ht="30.2" customFormat="1" customHeight="1" s="151">
      <c r="A7" s="1063" t="inlineStr">
        <is>
          <t>BHATTARAI, Abisekh</t>
        </is>
      </c>
      <c r="B7" s="1046" t="n">
        <v>1250</v>
      </c>
      <c r="C7" s="963" t="n">
        <v>725</v>
      </c>
      <c r="D7" s="963" t="n">
        <v>25</v>
      </c>
      <c r="E7" s="963" t="n"/>
      <c r="F7" s="964" t="n"/>
      <c r="G7" s="964" t="n"/>
      <c r="H7" s="964" t="n"/>
      <c r="I7" s="963" t="n"/>
      <c r="J7" s="962" t="n"/>
      <c r="K7" s="963" t="n">
        <v>500</v>
      </c>
      <c r="L7" s="963" t="n"/>
      <c r="M7" s="165" t="n">
        <v>3</v>
      </c>
      <c r="N7" s="964" t="n"/>
      <c r="O7" s="963" t="n">
        <v>2</v>
      </c>
      <c r="P7" s="963" t="n">
        <v>1</v>
      </c>
      <c r="Q7" s="1585" t="n"/>
      <c r="R7" s="1038">
        <f>B7+C7+D7+E7+F7+G7+H7+I7+K7+L7+J7</f>
        <v/>
      </c>
      <c r="AQ7" s="151" t="n"/>
      <c r="AR7" s="151" t="n"/>
      <c r="AS7" s="151" t="n"/>
      <c r="AT7" s="151" t="n"/>
      <c r="AU7" s="151" t="n"/>
      <c r="AV7" s="151" t="n"/>
      <c r="AW7" s="151" t="n"/>
      <c r="AX7" s="151" t="n"/>
      <c r="AY7" s="151" t="n"/>
      <c r="AZ7" s="151" t="n"/>
      <c r="BA7" s="151" t="n"/>
      <c r="BB7" s="151" t="n"/>
      <c r="BC7" s="151" t="n"/>
      <c r="BD7" s="151" t="n"/>
      <c r="BE7" s="151" t="n"/>
      <c r="BF7" s="151" t="n"/>
      <c r="BG7" s="151" t="n"/>
      <c r="BH7" s="151" t="n"/>
      <c r="BI7" s="151" t="n"/>
      <c r="BJ7" s="151" t="n"/>
      <c r="BK7" s="151" t="n"/>
      <c r="BL7" s="151" t="n"/>
      <c r="BM7" s="151" t="n"/>
      <c r="BN7" s="151" t="n"/>
      <c r="BO7" s="151" t="n"/>
      <c r="BP7" s="151" t="n"/>
      <c r="BQ7" s="151" t="n"/>
      <c r="BR7" s="151" t="n"/>
      <c r="BS7" s="151" t="n"/>
      <c r="BT7" s="151" t="n"/>
      <c r="BU7" s="151" t="n"/>
      <c r="BV7" s="151" t="n"/>
      <c r="BW7" s="151" t="n"/>
      <c r="BX7" s="151" t="n"/>
      <c r="BY7" s="151" t="n"/>
      <c r="BZ7" s="151" t="n"/>
      <c r="CA7" s="151" t="n"/>
      <c r="CB7" s="151" t="n"/>
      <c r="CC7" s="151" t="n"/>
      <c r="CD7" s="151" t="n"/>
      <c r="CE7" s="151" t="n"/>
      <c r="CF7" s="151" t="n"/>
      <c r="CG7" s="151" t="n"/>
      <c r="CH7" s="151" t="n"/>
      <c r="CI7" s="151" t="n"/>
      <c r="CJ7" s="151" t="n"/>
      <c r="CK7" s="151" t="n"/>
      <c r="CL7" s="151" t="n"/>
      <c r="CM7" s="151" t="n"/>
      <c r="CN7" s="151" t="n"/>
      <c r="CO7" s="151" t="n"/>
      <c r="CP7" s="151" t="n"/>
      <c r="CQ7" s="151" t="n"/>
      <c r="CR7" s="151" t="n"/>
      <c r="CS7" s="151" t="n"/>
      <c r="CT7" s="151" t="n"/>
      <c r="CU7" s="151" t="n"/>
      <c r="CV7" s="151" t="n"/>
      <c r="CW7" s="151" t="n"/>
      <c r="CX7" s="151" t="n"/>
      <c r="CY7" s="151" t="n"/>
      <c r="CZ7" s="151" t="n"/>
      <c r="DA7" s="151" t="n"/>
      <c r="DB7" s="151" t="n"/>
      <c r="DC7" s="151" t="n"/>
      <c r="DD7" s="151" t="n"/>
      <c r="DE7" s="151" t="n"/>
      <c r="DF7" s="151" t="n"/>
      <c r="DG7" s="151" t="n"/>
      <c r="DH7" s="151" t="n"/>
      <c r="DI7" s="151" t="n"/>
      <c r="DJ7" s="151" t="n"/>
      <c r="DK7" s="151" t="n"/>
      <c r="DL7" s="151" t="n"/>
      <c r="DM7" s="151" t="n"/>
      <c r="DN7" s="151" t="n"/>
      <c r="DO7" s="151" t="n"/>
      <c r="DP7" s="151" t="n"/>
      <c r="DQ7" s="151" t="n"/>
      <c r="DR7" s="151" t="n"/>
      <c r="DS7" s="151" t="n"/>
      <c r="DT7" s="151" t="n"/>
      <c r="DU7" s="151" t="n"/>
      <c r="DV7" s="151" t="n"/>
      <c r="DW7" s="151" t="n"/>
      <c r="DX7" s="151" t="n"/>
      <c r="DY7" s="151" t="n"/>
      <c r="DZ7" s="151" t="n"/>
      <c r="EA7" s="151" t="n"/>
      <c r="EB7" s="151" t="n"/>
      <c r="EC7" s="151" t="n"/>
      <c r="ED7" s="151" t="n"/>
      <c r="EE7" s="151" t="n"/>
      <c r="EF7" s="151" t="n"/>
      <c r="EG7" s="151" t="n"/>
      <c r="EH7" s="151" t="n"/>
      <c r="EI7" s="151" t="n"/>
      <c r="EJ7" s="151" t="n"/>
      <c r="EK7" s="151" t="n"/>
      <c r="EL7" s="151" t="n"/>
      <c r="EM7" s="151" t="n"/>
      <c r="EN7" s="151" t="n"/>
      <c r="EO7" s="151" t="n"/>
      <c r="EP7" s="151" t="n"/>
      <c r="EQ7" s="151" t="n"/>
      <c r="ER7" s="151" t="n"/>
      <c r="ES7" s="151" t="n"/>
      <c r="ET7" s="151" t="n"/>
      <c r="EU7" s="151" t="n"/>
      <c r="EV7" s="151" t="n"/>
      <c r="EW7" s="151" t="n"/>
      <c r="EX7" s="151" t="n"/>
      <c r="EY7" s="151" t="n"/>
      <c r="EZ7" s="151" t="n"/>
      <c r="FA7" s="151" t="n"/>
      <c r="FB7" s="151" t="n"/>
      <c r="FC7" s="151" t="n"/>
      <c r="FD7" s="151" t="n"/>
      <c r="FE7" s="151" t="n"/>
      <c r="FF7" s="151" t="n"/>
      <c r="FG7" s="151" t="n"/>
      <c r="FH7" s="151" t="n"/>
      <c r="FI7" s="151" t="n"/>
      <c r="FJ7" s="151" t="n"/>
      <c r="FK7" s="151" t="n"/>
      <c r="FL7" s="151" t="n"/>
      <c r="FM7" s="151" t="n"/>
      <c r="FN7" s="151" t="n"/>
      <c r="FO7" s="151" t="n"/>
      <c r="FP7" s="151" t="n"/>
      <c r="FQ7" s="151" t="n"/>
      <c r="FR7" s="151" t="n"/>
      <c r="FS7" s="151" t="n"/>
      <c r="FT7" s="151" t="n"/>
      <c r="FU7" s="151" t="n"/>
      <c r="FV7" s="151" t="n"/>
      <c r="FW7" s="151" t="n"/>
      <c r="FX7" s="151" t="n"/>
      <c r="FY7" s="151" t="n"/>
      <c r="FZ7" s="151" t="n"/>
      <c r="GA7" s="151" t="n"/>
      <c r="GB7" s="151" t="n"/>
      <c r="GC7" s="151" t="n"/>
      <c r="GD7" s="151" t="n"/>
      <c r="GE7" s="151" t="n"/>
      <c r="GF7" s="151" t="n"/>
      <c r="GG7" s="151" t="n"/>
      <c r="GH7" s="151" t="n"/>
    </row>
    <row r="8" ht="30.2" customFormat="1" customHeight="1" s="151">
      <c r="A8" s="1368" t="inlineStr">
        <is>
          <t>B.K, Sanjay</t>
        </is>
      </c>
      <c r="B8" s="1046" t="n">
        <v>1750</v>
      </c>
      <c r="C8" s="963" t="n">
        <v>950</v>
      </c>
      <c r="D8" s="963" t="n">
        <v>950</v>
      </c>
      <c r="E8" s="963" t="n"/>
      <c r="F8" s="964" t="n"/>
      <c r="G8" s="964" t="n"/>
      <c r="H8" s="964" t="n"/>
      <c r="I8" s="963" t="n"/>
      <c r="J8" s="962" t="n"/>
      <c r="K8" s="963" t="n"/>
      <c r="L8" s="963" t="n"/>
      <c r="M8" s="963" t="n">
        <v>3</v>
      </c>
      <c r="N8" s="964" t="n"/>
      <c r="O8" s="963" t="n">
        <v>4</v>
      </c>
      <c r="P8" s="963" t="n">
        <v>1</v>
      </c>
      <c r="Q8" s="1585" t="n"/>
      <c r="R8" s="1038">
        <f>B8+C8+D8+E8+F8+G8+H8+I8+K8+L8</f>
        <v/>
      </c>
      <c r="AQ8" s="151" t="n"/>
      <c r="AR8" s="151" t="n"/>
      <c r="AS8" s="151" t="n"/>
      <c r="AT8" s="151" t="n"/>
      <c r="AU8" s="151" t="n"/>
      <c r="AV8" s="151" t="n"/>
      <c r="AW8" s="151" t="n"/>
      <c r="AX8" s="151" t="n"/>
      <c r="AY8" s="151" t="n"/>
      <c r="AZ8" s="151" t="n"/>
      <c r="BA8" s="151" t="n"/>
      <c r="BB8" s="151" t="n"/>
      <c r="BC8" s="151" t="n"/>
      <c r="BD8" s="151" t="n"/>
      <c r="BE8" s="151" t="n"/>
      <c r="BF8" s="151" t="n"/>
      <c r="BG8" s="151" t="n"/>
      <c r="BH8" s="151" t="n"/>
      <c r="BI8" s="151" t="n"/>
      <c r="BJ8" s="151" t="n"/>
      <c r="BK8" s="151" t="n"/>
      <c r="BL8" s="151" t="n"/>
      <c r="BM8" s="151" t="n"/>
      <c r="BN8" s="151" t="n"/>
      <c r="BO8" s="151" t="n"/>
      <c r="BP8" s="151" t="n"/>
      <c r="BQ8" s="151" t="n"/>
      <c r="BR8" s="151" t="n"/>
      <c r="BS8" s="151" t="n"/>
      <c r="BT8" s="151" t="n"/>
      <c r="BU8" s="151" t="n"/>
      <c r="BV8" s="151" t="n"/>
      <c r="BW8" s="151" t="n"/>
      <c r="BX8" s="151" t="n"/>
      <c r="BY8" s="151" t="n"/>
      <c r="BZ8" s="151" t="n"/>
      <c r="CA8" s="151" t="n"/>
      <c r="CB8" s="151" t="n"/>
      <c r="CC8" s="151" t="n"/>
      <c r="CD8" s="151" t="n"/>
      <c r="CE8" s="151" t="n"/>
      <c r="CF8" s="151" t="n"/>
      <c r="CG8" s="151" t="n"/>
      <c r="CH8" s="151" t="n"/>
      <c r="CI8" s="151" t="n"/>
      <c r="CJ8" s="151" t="n"/>
      <c r="CK8" s="151" t="n"/>
      <c r="CL8" s="151" t="n"/>
      <c r="CM8" s="151" t="n"/>
      <c r="CN8" s="151" t="n"/>
      <c r="CO8" s="151" t="n"/>
      <c r="CP8" s="151" t="n"/>
      <c r="CQ8" s="151" t="n"/>
      <c r="CR8" s="151" t="n"/>
      <c r="CS8" s="151" t="n"/>
      <c r="CT8" s="151" t="n"/>
      <c r="CU8" s="151" t="n"/>
      <c r="CV8" s="151" t="n"/>
      <c r="CW8" s="151" t="n"/>
      <c r="CX8" s="151" t="n"/>
      <c r="CY8" s="151" t="n"/>
      <c r="CZ8" s="151" t="n"/>
      <c r="DA8" s="151" t="n"/>
      <c r="DB8" s="151" t="n"/>
      <c r="DC8" s="151" t="n"/>
      <c r="DD8" s="151" t="n"/>
      <c r="DE8" s="151" t="n"/>
      <c r="DF8" s="151" t="n"/>
      <c r="DG8" s="151" t="n"/>
      <c r="DH8" s="151" t="n"/>
      <c r="DI8" s="151" t="n"/>
      <c r="DJ8" s="151" t="n"/>
      <c r="DK8" s="151" t="n"/>
      <c r="DL8" s="151" t="n"/>
      <c r="DM8" s="151" t="n"/>
      <c r="DN8" s="151" t="n"/>
      <c r="DO8" s="151" t="n"/>
      <c r="DP8" s="151" t="n"/>
      <c r="DQ8" s="151" t="n"/>
      <c r="DR8" s="151" t="n"/>
      <c r="DS8" s="151" t="n"/>
      <c r="DT8" s="151" t="n"/>
      <c r="DU8" s="151" t="n"/>
      <c r="DV8" s="151" t="n"/>
      <c r="DW8" s="151" t="n"/>
      <c r="DX8" s="151" t="n"/>
      <c r="DY8" s="151" t="n"/>
      <c r="DZ8" s="151" t="n"/>
      <c r="EA8" s="151" t="n"/>
      <c r="EB8" s="151" t="n"/>
      <c r="EC8" s="151" t="n"/>
      <c r="ED8" s="151" t="n"/>
      <c r="EE8" s="151" t="n"/>
      <c r="EF8" s="151" t="n"/>
      <c r="EG8" s="151" t="n"/>
      <c r="EH8" s="151" t="n"/>
      <c r="EI8" s="151" t="n"/>
      <c r="EJ8" s="151" t="n"/>
      <c r="EK8" s="151" t="n"/>
      <c r="EL8" s="151" t="n"/>
      <c r="EM8" s="151" t="n"/>
      <c r="EN8" s="151" t="n"/>
      <c r="EO8" s="151" t="n"/>
      <c r="EP8" s="151" t="n"/>
      <c r="EQ8" s="151" t="n"/>
      <c r="ER8" s="151" t="n"/>
      <c r="ES8" s="151" t="n"/>
      <c r="ET8" s="151" t="n"/>
      <c r="EU8" s="151" t="n"/>
      <c r="EV8" s="151" t="n"/>
      <c r="EW8" s="151" t="n"/>
      <c r="EX8" s="151" t="n"/>
      <c r="EY8" s="151" t="n"/>
      <c r="EZ8" s="151" t="n"/>
      <c r="FA8" s="151" t="n"/>
      <c r="FB8" s="151" t="n"/>
      <c r="FC8" s="151" t="n"/>
      <c r="FD8" s="151" t="n"/>
      <c r="FE8" s="151" t="n"/>
      <c r="FF8" s="151" t="n"/>
      <c r="FG8" s="151" t="n"/>
      <c r="FH8" s="151" t="n"/>
      <c r="FI8" s="151" t="n"/>
      <c r="FJ8" s="151" t="n"/>
      <c r="FK8" s="151" t="n"/>
      <c r="FL8" s="151" t="n"/>
      <c r="FM8" s="151" t="n"/>
      <c r="FN8" s="151" t="n"/>
      <c r="FO8" s="151" t="n"/>
      <c r="FP8" s="151" t="n"/>
      <c r="FQ8" s="151" t="n"/>
      <c r="FR8" s="151" t="n"/>
      <c r="FS8" s="151" t="n"/>
      <c r="FT8" s="151" t="n"/>
      <c r="FU8" s="151" t="n"/>
      <c r="FV8" s="151" t="n"/>
      <c r="FW8" s="151" t="n"/>
      <c r="FX8" s="151" t="n"/>
      <c r="FY8" s="151" t="n"/>
      <c r="FZ8" s="151" t="n"/>
      <c r="GA8" s="151" t="n"/>
      <c r="GB8" s="151" t="n"/>
      <c r="GC8" s="151" t="n"/>
      <c r="GD8" s="151" t="n"/>
      <c r="GE8" s="151" t="n"/>
      <c r="GF8" s="151" t="n"/>
      <c r="GG8" s="151" t="n"/>
      <c r="GH8" s="151" t="n"/>
    </row>
    <row r="9" ht="30.2" customFormat="1" customHeight="1" s="151">
      <c r="A9" s="1091" t="inlineStr">
        <is>
          <t>BOSC, Melissa</t>
        </is>
      </c>
      <c r="B9" s="1046" t="n"/>
      <c r="C9" s="963" t="n"/>
      <c r="D9" s="963" t="n"/>
      <c r="E9" s="963" t="n"/>
      <c r="F9" s="964" t="n"/>
      <c r="G9" s="964" t="n"/>
      <c r="H9" s="964" t="n"/>
      <c r="I9" s="963" t="n"/>
      <c r="J9" s="962" t="n"/>
      <c r="K9" s="963" t="n"/>
      <c r="L9" s="963" t="n"/>
      <c r="M9" s="963" t="n"/>
      <c r="N9" s="964" t="n"/>
      <c r="O9" s="963" t="n"/>
      <c r="P9" s="963" t="n"/>
      <c r="Q9" s="1585" t="n"/>
      <c r="R9" s="1038">
        <f>B9+C9+D9+E9+F9+G9+H9+I9+K9+L9+J9</f>
        <v/>
      </c>
      <c r="AQ9" s="151" t="n"/>
      <c r="AR9" s="151" t="n"/>
      <c r="AS9" s="151" t="n"/>
      <c r="AT9" s="151" t="n"/>
      <c r="AU9" s="151" t="n"/>
      <c r="AV9" s="151" t="n"/>
      <c r="AW9" s="151" t="n"/>
      <c r="AX9" s="151" t="n"/>
      <c r="AY9" s="151" t="n"/>
      <c r="AZ9" s="151" t="n"/>
      <c r="BA9" s="151" t="n"/>
      <c r="BB9" s="151" t="n"/>
      <c r="BC9" s="151" t="n"/>
      <c r="BD9" s="151" t="n"/>
      <c r="BE9" s="151" t="n"/>
      <c r="BF9" s="151" t="n"/>
      <c r="BG9" s="151" t="n"/>
      <c r="BH9" s="151" t="n"/>
      <c r="BI9" s="151" t="n"/>
      <c r="BJ9" s="151" t="n"/>
      <c r="BK9" s="151" t="n"/>
      <c r="BL9" s="151" t="n"/>
      <c r="BM9" s="151" t="n"/>
      <c r="BN9" s="151" t="n"/>
      <c r="BO9" s="151" t="n"/>
      <c r="BP9" s="151" t="n"/>
      <c r="BQ9" s="151" t="n"/>
      <c r="BR9" s="151" t="n"/>
      <c r="BS9" s="151" t="n"/>
      <c r="BT9" s="151" t="n"/>
      <c r="BU9" s="151" t="n"/>
      <c r="BV9" s="151" t="n"/>
      <c r="BW9" s="151" t="n"/>
      <c r="BX9" s="151" t="n"/>
      <c r="BY9" s="151" t="n"/>
      <c r="BZ9" s="151" t="n"/>
      <c r="CA9" s="151" t="n"/>
      <c r="CB9" s="151" t="n"/>
      <c r="CC9" s="151" t="n"/>
      <c r="CD9" s="151" t="n"/>
      <c r="CE9" s="151" t="n"/>
      <c r="CF9" s="151" t="n"/>
      <c r="CG9" s="151" t="n"/>
      <c r="CH9" s="151" t="n"/>
      <c r="CI9" s="151" t="n"/>
      <c r="CJ9" s="151" t="n"/>
      <c r="CK9" s="151" t="n"/>
      <c r="CL9" s="151" t="n"/>
      <c r="CM9" s="151" t="n"/>
      <c r="CN9" s="151" t="n"/>
      <c r="CO9" s="151" t="n"/>
      <c r="CP9" s="151" t="n"/>
      <c r="CQ9" s="151" t="n"/>
      <c r="CR9" s="151" t="n"/>
      <c r="CS9" s="151" t="n"/>
      <c r="CT9" s="151" t="n"/>
      <c r="CU9" s="151" t="n"/>
      <c r="CV9" s="151" t="n"/>
      <c r="CW9" s="151" t="n"/>
      <c r="CX9" s="151" t="n"/>
      <c r="CY9" s="151" t="n"/>
      <c r="CZ9" s="151" t="n"/>
      <c r="DA9" s="151" t="n"/>
      <c r="DB9" s="151" t="n"/>
      <c r="DC9" s="151" t="n"/>
      <c r="DD9" s="151" t="n"/>
      <c r="DE9" s="151" t="n"/>
      <c r="DF9" s="151" t="n"/>
      <c r="DG9" s="151" t="n"/>
      <c r="DH9" s="151" t="n"/>
      <c r="DI9" s="151" t="n"/>
      <c r="DJ9" s="151" t="n"/>
      <c r="DK9" s="151" t="n"/>
      <c r="DL9" s="151" t="n"/>
      <c r="DM9" s="151" t="n"/>
      <c r="DN9" s="151" t="n"/>
      <c r="DO9" s="151" t="n"/>
      <c r="DP9" s="151" t="n"/>
      <c r="DQ9" s="151" t="n"/>
      <c r="DR9" s="151" t="n"/>
      <c r="DS9" s="151" t="n"/>
      <c r="DT9" s="151" t="n"/>
      <c r="DU9" s="151" t="n"/>
      <c r="DV9" s="151" t="n"/>
      <c r="DW9" s="151" t="n"/>
      <c r="DX9" s="151" t="n"/>
      <c r="DY9" s="151" t="n"/>
      <c r="DZ9" s="151" t="n"/>
      <c r="EA9" s="151" t="n"/>
      <c r="EB9" s="151" t="n"/>
      <c r="EC9" s="151" t="n"/>
      <c r="ED9" s="151" t="n"/>
      <c r="EE9" s="151" t="n"/>
      <c r="EF9" s="151" t="n"/>
      <c r="EG9" s="151" t="n"/>
      <c r="EH9" s="151" t="n"/>
      <c r="EI9" s="151" t="n"/>
      <c r="EJ9" s="151" t="n"/>
      <c r="EK9" s="151" t="n"/>
      <c r="EL9" s="151" t="n"/>
      <c r="EM9" s="151" t="n"/>
      <c r="EN9" s="151" t="n"/>
      <c r="EO9" s="151" t="n"/>
      <c r="EP9" s="151" t="n"/>
      <c r="EQ9" s="151" t="n"/>
      <c r="ER9" s="151" t="n"/>
      <c r="ES9" s="151" t="n"/>
      <c r="ET9" s="151" t="n"/>
      <c r="EU9" s="151" t="n"/>
      <c r="EV9" s="151" t="n"/>
      <c r="EW9" s="151" t="n"/>
      <c r="EX9" s="151" t="n"/>
      <c r="EY9" s="151" t="n"/>
      <c r="EZ9" s="151" t="n"/>
      <c r="FA9" s="151" t="n"/>
      <c r="FB9" s="151" t="n"/>
      <c r="FC9" s="151" t="n"/>
      <c r="FD9" s="151" t="n"/>
      <c r="FE9" s="151" t="n"/>
      <c r="FF9" s="151" t="n"/>
      <c r="FG9" s="151" t="n"/>
      <c r="FH9" s="151" t="n"/>
      <c r="FI9" s="151" t="n"/>
      <c r="FJ9" s="151" t="n"/>
      <c r="FK9" s="151" t="n"/>
      <c r="FL9" s="151" t="n"/>
      <c r="FM9" s="151" t="n"/>
      <c r="FN9" s="151" t="n"/>
      <c r="FO9" s="151" t="n"/>
      <c r="FP9" s="151" t="n"/>
      <c r="FQ9" s="151" t="n"/>
      <c r="FR9" s="151" t="n"/>
      <c r="FS9" s="151" t="n"/>
      <c r="FT9" s="151" t="n"/>
      <c r="FU9" s="151" t="n"/>
      <c r="FV9" s="151" t="n"/>
      <c r="FW9" s="151" t="n"/>
      <c r="FX9" s="151" t="n"/>
      <c r="FY9" s="151" t="n"/>
      <c r="FZ9" s="151" t="n"/>
      <c r="GA9" s="151" t="n"/>
      <c r="GB9" s="151" t="n"/>
      <c r="GC9" s="151" t="n"/>
      <c r="GD9" s="151" t="n"/>
      <c r="GE9" s="151" t="n"/>
      <c r="GF9" s="151" t="n"/>
      <c r="GG9" s="151" t="n"/>
      <c r="GH9" s="151" t="n"/>
    </row>
    <row r="10" ht="30.2" customFormat="1" customHeight="1" s="151">
      <c r="A10" s="1073" t="inlineStr">
        <is>
          <t>BUTTERS, Gary</t>
        </is>
      </c>
      <c r="B10" s="1046" t="n">
        <v>1600</v>
      </c>
      <c r="C10" s="963" t="n">
        <v>750</v>
      </c>
      <c r="D10" s="963" t="n">
        <v>850</v>
      </c>
      <c r="E10" s="963" t="n"/>
      <c r="F10" s="964" t="n"/>
      <c r="G10" s="964" t="n"/>
      <c r="H10" s="964" t="n"/>
      <c r="I10" s="963" t="n"/>
      <c r="J10" s="962" t="n"/>
      <c r="K10" s="963" t="n"/>
      <c r="L10" s="963" t="n">
        <v>600</v>
      </c>
      <c r="M10" s="963" t="n">
        <v>3</v>
      </c>
      <c r="N10" s="964" t="n">
        <v>30</v>
      </c>
      <c r="O10" s="963" t="n">
        <v>2</v>
      </c>
      <c r="P10" s="963" t="n"/>
      <c r="Q10" s="1585" t="n"/>
      <c r="R10" s="1038">
        <f>B10+C10+D10+E10+F10+G10+H10+I10+K10+L10</f>
        <v/>
      </c>
      <c r="AQ10" s="151" t="n"/>
      <c r="AR10" s="151" t="n"/>
      <c r="AS10" s="151" t="n"/>
      <c r="AT10" s="151" t="n"/>
      <c r="AU10" s="151" t="n"/>
      <c r="AV10" s="151" t="n"/>
      <c r="AW10" s="151" t="n"/>
      <c r="AX10" s="151" t="n"/>
      <c r="AY10" s="151" t="n"/>
      <c r="AZ10" s="151" t="n"/>
      <c r="BA10" s="151" t="n"/>
      <c r="BB10" s="151" t="n"/>
      <c r="BC10" s="151" t="n"/>
      <c r="BD10" s="151" t="n"/>
      <c r="BE10" s="151" t="n"/>
      <c r="BF10" s="151" t="n"/>
      <c r="BG10" s="151" t="n"/>
      <c r="BH10" s="151" t="n"/>
      <c r="BI10" s="151" t="n"/>
      <c r="BJ10" s="151" t="n"/>
      <c r="BK10" s="151" t="n"/>
      <c r="BL10" s="151" t="n"/>
      <c r="BM10" s="151" t="n"/>
      <c r="BN10" s="151" t="n"/>
      <c r="BO10" s="151" t="n"/>
      <c r="BP10" s="151" t="n"/>
      <c r="BQ10" s="151" t="n"/>
      <c r="BR10" s="151" t="n"/>
      <c r="BS10" s="151" t="n"/>
      <c r="BT10" s="151" t="n"/>
      <c r="BU10" s="151" t="n"/>
      <c r="BV10" s="151" t="n"/>
      <c r="BW10" s="151" t="n"/>
      <c r="BX10" s="151" t="n"/>
      <c r="BY10" s="151" t="n"/>
      <c r="BZ10" s="151" t="n"/>
      <c r="CA10" s="151" t="n"/>
      <c r="CB10" s="151" t="n"/>
      <c r="CC10" s="151" t="n"/>
      <c r="CD10" s="151" t="n"/>
      <c r="CE10" s="151" t="n"/>
      <c r="CF10" s="151" t="n"/>
      <c r="CG10" s="151" t="n"/>
      <c r="CH10" s="151" t="n"/>
      <c r="CI10" s="151" t="n"/>
      <c r="CJ10" s="151" t="n"/>
      <c r="CK10" s="151" t="n"/>
      <c r="CL10" s="151" t="n"/>
      <c r="CM10" s="151" t="n"/>
      <c r="CN10" s="151" t="n"/>
      <c r="CO10" s="151" t="n"/>
      <c r="CP10" s="151" t="n"/>
      <c r="CQ10" s="151" t="n"/>
      <c r="CR10" s="151" t="n"/>
      <c r="CS10" s="151" t="n"/>
      <c r="CT10" s="151" t="n"/>
      <c r="CU10" s="151" t="n"/>
      <c r="CV10" s="151" t="n"/>
      <c r="CW10" s="151" t="n"/>
      <c r="CX10" s="151" t="n"/>
      <c r="CY10" s="151" t="n"/>
      <c r="CZ10" s="151" t="n"/>
      <c r="DA10" s="151" t="n"/>
      <c r="DB10" s="151" t="n"/>
      <c r="DC10" s="151" t="n"/>
      <c r="DD10" s="151" t="n"/>
      <c r="DE10" s="151" t="n"/>
      <c r="DF10" s="151" t="n"/>
      <c r="DG10" s="151" t="n"/>
      <c r="DH10" s="151" t="n"/>
      <c r="DI10" s="151" t="n"/>
      <c r="DJ10" s="151" t="n"/>
      <c r="DK10" s="151" t="n"/>
      <c r="DL10" s="151" t="n"/>
      <c r="DM10" s="151" t="n"/>
      <c r="DN10" s="151" t="n"/>
      <c r="DO10" s="151" t="n"/>
      <c r="DP10" s="151" t="n"/>
      <c r="DQ10" s="151" t="n"/>
      <c r="DR10" s="151" t="n"/>
      <c r="DS10" s="151" t="n"/>
      <c r="DT10" s="151" t="n"/>
      <c r="DU10" s="151" t="n"/>
      <c r="DV10" s="151" t="n"/>
      <c r="DW10" s="151" t="n"/>
      <c r="DX10" s="151" t="n"/>
      <c r="DY10" s="151" t="n"/>
      <c r="DZ10" s="151" t="n"/>
      <c r="EA10" s="151" t="n"/>
      <c r="EB10" s="151" t="n"/>
      <c r="EC10" s="151" t="n"/>
      <c r="ED10" s="151" t="n"/>
      <c r="EE10" s="151" t="n"/>
      <c r="EF10" s="151" t="n"/>
      <c r="EG10" s="151" t="n"/>
      <c r="EH10" s="151" t="n"/>
      <c r="EI10" s="151" t="n"/>
      <c r="EJ10" s="151" t="n"/>
      <c r="EK10" s="151" t="n"/>
      <c r="EL10" s="151" t="n"/>
      <c r="EM10" s="151" t="n"/>
      <c r="EN10" s="151" t="n"/>
      <c r="EO10" s="151" t="n"/>
      <c r="EP10" s="151" t="n"/>
      <c r="EQ10" s="151" t="n"/>
      <c r="ER10" s="151" t="n"/>
      <c r="ES10" s="151" t="n"/>
      <c r="ET10" s="151" t="n"/>
      <c r="EU10" s="151" t="n"/>
      <c r="EV10" s="151" t="n"/>
      <c r="EW10" s="151" t="n"/>
      <c r="EX10" s="151" t="n"/>
      <c r="EY10" s="151" t="n"/>
      <c r="EZ10" s="151" t="n"/>
      <c r="FA10" s="151" t="n"/>
      <c r="FB10" s="151" t="n"/>
      <c r="FC10" s="151" t="n"/>
      <c r="FD10" s="151" t="n"/>
      <c r="FE10" s="151" t="n"/>
      <c r="FF10" s="151" t="n"/>
      <c r="FG10" s="151" t="n"/>
      <c r="FH10" s="151" t="n"/>
      <c r="FI10" s="151" t="n"/>
      <c r="FJ10" s="151" t="n"/>
      <c r="FK10" s="151" t="n"/>
      <c r="FL10" s="151" t="n"/>
      <c r="FM10" s="151" t="n"/>
      <c r="FN10" s="151" t="n"/>
      <c r="FO10" s="151" t="n"/>
      <c r="FP10" s="151" t="n"/>
      <c r="FQ10" s="151" t="n"/>
      <c r="FR10" s="151" t="n"/>
      <c r="FS10" s="151" t="n"/>
      <c r="FT10" s="151" t="n"/>
      <c r="FU10" s="151" t="n"/>
      <c r="FV10" s="151" t="n"/>
      <c r="FW10" s="151" t="n"/>
      <c r="FX10" s="151" t="n"/>
      <c r="FY10" s="151" t="n"/>
      <c r="FZ10" s="151" t="n"/>
      <c r="GA10" s="151" t="n"/>
      <c r="GB10" s="151" t="n"/>
      <c r="GC10" s="151" t="n"/>
      <c r="GD10" s="151" t="n"/>
      <c r="GE10" s="151" t="n"/>
      <c r="GF10" s="151" t="n"/>
      <c r="GG10" s="151" t="n"/>
      <c r="GH10" s="151" t="n"/>
    </row>
    <row r="11" ht="30.2" customFormat="1" customHeight="1" s="151">
      <c r="A11" s="1063" t="inlineStr">
        <is>
          <t>CHAULAGAIN, Unisha</t>
        </is>
      </c>
      <c r="B11" s="1046" t="n">
        <v>1500</v>
      </c>
      <c r="C11" s="963" t="n">
        <v>800</v>
      </c>
      <c r="D11" s="963" t="n">
        <v>950</v>
      </c>
      <c r="E11" s="963" t="n"/>
      <c r="F11" s="964" t="n"/>
      <c r="G11" s="964" t="n">
        <v>50</v>
      </c>
      <c r="H11" s="964" t="n"/>
      <c r="I11" s="963" t="n"/>
      <c r="J11" s="962" t="n"/>
      <c r="K11" s="963" t="n"/>
      <c r="L11" s="963" t="n"/>
      <c r="M11" s="165" t="n">
        <v>3</v>
      </c>
      <c r="N11" s="964" t="n"/>
      <c r="O11" s="963" t="n">
        <v>2</v>
      </c>
      <c r="P11" s="963" t="n">
        <v>1</v>
      </c>
      <c r="Q11" s="1585" t="n">
        <v>11.2</v>
      </c>
      <c r="R11" s="1038">
        <f>B11+C11+D11+E11+F11+G11+H11+I11+K11+L11+J11</f>
        <v/>
      </c>
      <c r="AQ11" s="151" t="n"/>
      <c r="AR11" s="151" t="n"/>
      <c r="AS11" s="151" t="n"/>
      <c r="AT11" s="151" t="n"/>
      <c r="AU11" s="151" t="n"/>
      <c r="AV11" s="151" t="n"/>
      <c r="AW11" s="151" t="n"/>
      <c r="AX11" s="151" t="n"/>
      <c r="AY11" s="151" t="n"/>
      <c r="AZ11" s="151" t="n"/>
      <c r="BA11" s="151" t="n"/>
      <c r="BB11" s="151" t="n"/>
      <c r="BC11" s="151" t="n"/>
      <c r="BD11" s="151" t="n"/>
      <c r="BE11" s="151" t="n"/>
      <c r="BF11" s="151" t="n"/>
      <c r="BG11" s="151" t="n"/>
      <c r="BH11" s="151" t="n"/>
      <c r="BI11" s="151" t="n"/>
      <c r="BJ11" s="151" t="n"/>
      <c r="BK11" s="151" t="n"/>
      <c r="BL11" s="151" t="n"/>
      <c r="BM11" s="151" t="n"/>
      <c r="BN11" s="151" t="n"/>
      <c r="BO11" s="151" t="n"/>
      <c r="BP11" s="151" t="n"/>
      <c r="BQ11" s="151" t="n"/>
      <c r="BR11" s="151" t="n"/>
      <c r="BS11" s="151" t="n"/>
      <c r="BT11" s="151" t="n"/>
      <c r="BU11" s="151" t="n"/>
      <c r="BV11" s="151" t="n"/>
      <c r="BW11" s="151" t="n"/>
      <c r="BX11" s="151" t="n"/>
      <c r="BY11" s="151" t="n"/>
      <c r="BZ11" s="151" t="n"/>
      <c r="CA11" s="151" t="n"/>
      <c r="CB11" s="151" t="n"/>
      <c r="CC11" s="151" t="n"/>
      <c r="CD11" s="151" t="n"/>
      <c r="CE11" s="151" t="n"/>
      <c r="CF11" s="151" t="n"/>
      <c r="CG11" s="151" t="n"/>
      <c r="CH11" s="151" t="n"/>
      <c r="CI11" s="151" t="n"/>
      <c r="CJ11" s="151" t="n"/>
      <c r="CK11" s="151" t="n"/>
      <c r="CL11" s="151" t="n"/>
      <c r="CM11" s="151" t="n"/>
      <c r="CN11" s="151" t="n"/>
      <c r="CO11" s="151" t="n"/>
      <c r="CP11" s="151" t="n"/>
      <c r="CQ11" s="151" t="n"/>
      <c r="CR11" s="151" t="n"/>
      <c r="CS11" s="151" t="n"/>
      <c r="CT11" s="151" t="n"/>
      <c r="CU11" s="151" t="n"/>
      <c r="CV11" s="151" t="n"/>
      <c r="CW11" s="151" t="n"/>
      <c r="CX11" s="151" t="n"/>
      <c r="CY11" s="151" t="n"/>
      <c r="CZ11" s="151" t="n"/>
      <c r="DA11" s="151" t="n"/>
      <c r="DB11" s="151" t="n"/>
      <c r="DC11" s="151" t="n"/>
      <c r="DD11" s="151" t="n"/>
      <c r="DE11" s="151" t="n"/>
      <c r="DF11" s="151" t="n"/>
      <c r="DG11" s="151" t="n"/>
      <c r="DH11" s="151" t="n"/>
      <c r="DI11" s="151" t="n"/>
      <c r="DJ11" s="151" t="n"/>
      <c r="DK11" s="151" t="n"/>
      <c r="DL11" s="151" t="n"/>
      <c r="DM11" s="151" t="n"/>
      <c r="DN11" s="151" t="n"/>
      <c r="DO11" s="151" t="n"/>
      <c r="DP11" s="151" t="n"/>
      <c r="DQ11" s="151" t="n"/>
      <c r="DR11" s="151" t="n"/>
      <c r="DS11" s="151" t="n"/>
      <c r="DT11" s="151" t="n"/>
      <c r="DU11" s="151" t="n"/>
      <c r="DV11" s="151" t="n"/>
      <c r="DW11" s="151" t="n"/>
      <c r="DX11" s="151" t="n"/>
      <c r="DY11" s="151" t="n"/>
      <c r="DZ11" s="151" t="n"/>
      <c r="EA11" s="151" t="n"/>
      <c r="EB11" s="151" t="n"/>
      <c r="EC11" s="151" t="n"/>
      <c r="ED11" s="151" t="n"/>
      <c r="EE11" s="151" t="n"/>
      <c r="EF11" s="151" t="n"/>
      <c r="EG11" s="151" t="n"/>
      <c r="EH11" s="151" t="n"/>
      <c r="EI11" s="151" t="n"/>
      <c r="EJ11" s="151" t="n"/>
      <c r="EK11" s="151" t="n"/>
      <c r="EL11" s="151" t="n"/>
      <c r="EM11" s="151" t="n"/>
      <c r="EN11" s="151" t="n"/>
      <c r="EO11" s="151" t="n"/>
      <c r="EP11" s="151" t="n"/>
      <c r="EQ11" s="151" t="n"/>
      <c r="ER11" s="151" t="n"/>
      <c r="ES11" s="151" t="n"/>
      <c r="ET11" s="151" t="n"/>
      <c r="EU11" s="151" t="n"/>
      <c r="EV11" s="151" t="n"/>
      <c r="EW11" s="151" t="n"/>
      <c r="EX11" s="151" t="n"/>
      <c r="EY11" s="151" t="n"/>
      <c r="EZ11" s="151" t="n"/>
      <c r="FA11" s="151" t="n"/>
      <c r="FB11" s="151" t="n"/>
      <c r="FC11" s="151" t="n"/>
      <c r="FD11" s="151" t="n"/>
      <c r="FE11" s="151" t="n"/>
      <c r="FF11" s="151" t="n"/>
      <c r="FG11" s="151" t="n"/>
      <c r="FH11" s="151" t="n"/>
      <c r="FI11" s="151" t="n"/>
      <c r="FJ11" s="151" t="n"/>
      <c r="FK11" s="151" t="n"/>
      <c r="FL11" s="151" t="n"/>
      <c r="FM11" s="151" t="n"/>
      <c r="FN11" s="151" t="n"/>
      <c r="FO11" s="151" t="n"/>
      <c r="FP11" s="151" t="n"/>
      <c r="FQ11" s="151" t="n"/>
      <c r="FR11" s="151" t="n"/>
      <c r="FS11" s="151" t="n"/>
      <c r="FT11" s="151" t="n"/>
      <c r="FU11" s="151" t="n"/>
      <c r="FV11" s="151" t="n"/>
      <c r="FW11" s="151" t="n"/>
      <c r="FX11" s="151" t="n"/>
      <c r="FY11" s="151" t="n"/>
      <c r="FZ11" s="151" t="n"/>
      <c r="GA11" s="151" t="n"/>
      <c r="GB11" s="151" t="n"/>
      <c r="GC11" s="151" t="n"/>
      <c r="GD11" s="151" t="n"/>
      <c r="GE11" s="151" t="n"/>
      <c r="GF11" s="151" t="n"/>
      <c r="GG11" s="151" t="n"/>
      <c r="GH11" s="151" t="n"/>
    </row>
    <row r="12" ht="30.2" customFormat="1" customHeight="1" s="151" thickBot="1">
      <c r="A12" s="1091" t="inlineStr">
        <is>
          <t>DALSANIYA, Vismay</t>
        </is>
      </c>
      <c r="B12" s="1046" t="n">
        <v>2300</v>
      </c>
      <c r="C12" s="963" t="n">
        <v>800</v>
      </c>
      <c r="D12" s="963" t="n">
        <v>750</v>
      </c>
      <c r="E12" s="963" t="n">
        <v>100</v>
      </c>
      <c r="F12" s="964" t="n"/>
      <c r="G12" s="964" t="n"/>
      <c r="H12" s="964" t="n"/>
      <c r="I12" s="963" t="n"/>
      <c r="J12" s="962" t="n"/>
      <c r="K12" s="963" t="n"/>
      <c r="L12" s="963" t="n"/>
      <c r="M12" s="963" t="n">
        <v>3</v>
      </c>
      <c r="N12" s="964" t="n"/>
      <c r="O12" s="963" t="n">
        <v>2</v>
      </c>
      <c r="P12" s="963" t="n">
        <v>1</v>
      </c>
      <c r="Q12" s="1585" t="n"/>
      <c r="R12" s="1038">
        <f>B12+C12+D12+E12+F12+G12+H12+I12+K12+L12+J12</f>
        <v/>
      </c>
      <c r="AQ12" s="151" t="n"/>
      <c r="AR12" s="151" t="n"/>
      <c r="AS12" s="151" t="n"/>
      <c r="AT12" s="151" t="n"/>
      <c r="AU12" s="151" t="n"/>
      <c r="AV12" s="151" t="n"/>
      <c r="AW12" s="151" t="n"/>
      <c r="AX12" s="151" t="n"/>
      <c r="AY12" s="151" t="n"/>
      <c r="AZ12" s="151" t="n"/>
      <c r="BA12" s="151" t="n"/>
      <c r="BB12" s="151" t="n"/>
      <c r="BC12" s="151" t="n"/>
      <c r="BD12" s="151" t="n"/>
      <c r="BE12" s="151" t="n"/>
      <c r="BF12" s="151" t="n"/>
      <c r="BG12" s="151" t="n"/>
      <c r="BH12" s="151" t="n"/>
      <c r="BI12" s="151" t="n"/>
      <c r="BJ12" s="151" t="n"/>
      <c r="BK12" s="151" t="n"/>
      <c r="BL12" s="151" t="n"/>
      <c r="BM12" s="151" t="n"/>
      <c r="BN12" s="151" t="n"/>
      <c r="BO12" s="151" t="n"/>
      <c r="BP12" s="151" t="n"/>
      <c r="BQ12" s="151" t="n"/>
      <c r="BR12" s="151" t="n"/>
      <c r="BS12" s="151" t="n"/>
      <c r="BT12" s="151" t="n"/>
      <c r="BU12" s="151" t="n"/>
      <c r="BV12" s="151" t="n"/>
      <c r="BW12" s="151" t="n"/>
      <c r="BX12" s="151" t="n"/>
      <c r="BY12" s="151" t="n"/>
      <c r="BZ12" s="151" t="n"/>
      <c r="CA12" s="151" t="n"/>
      <c r="CB12" s="151" t="n"/>
      <c r="CC12" s="151" t="n"/>
      <c r="CD12" s="151" t="n"/>
      <c r="CE12" s="151" t="n"/>
      <c r="CF12" s="151" t="n"/>
      <c r="CG12" s="151" t="n"/>
      <c r="CH12" s="151" t="n"/>
      <c r="CI12" s="151" t="n"/>
      <c r="CJ12" s="151" t="n"/>
      <c r="CK12" s="151" t="n"/>
      <c r="CL12" s="151" t="n"/>
      <c r="CM12" s="151" t="n"/>
      <c r="CN12" s="151" t="n"/>
      <c r="CO12" s="151" t="n"/>
      <c r="CP12" s="151" t="n"/>
      <c r="CQ12" s="151" t="n"/>
      <c r="CR12" s="151" t="n"/>
      <c r="CS12" s="151" t="n"/>
      <c r="CT12" s="151" t="n"/>
      <c r="CU12" s="151" t="n"/>
      <c r="CV12" s="151" t="n"/>
      <c r="CW12" s="151" t="n"/>
      <c r="CX12" s="151" t="n"/>
      <c r="CY12" s="151" t="n"/>
      <c r="CZ12" s="151" t="n"/>
      <c r="DA12" s="151" t="n"/>
      <c r="DB12" s="151" t="n"/>
      <c r="DC12" s="151" t="n"/>
      <c r="DD12" s="151" t="n"/>
      <c r="DE12" s="151" t="n"/>
      <c r="DF12" s="151" t="n"/>
      <c r="DG12" s="151" t="n"/>
      <c r="DH12" s="151" t="n"/>
      <c r="DI12" s="151" t="n"/>
      <c r="DJ12" s="151" t="n"/>
      <c r="DK12" s="151" t="n"/>
      <c r="DL12" s="151" t="n"/>
      <c r="DM12" s="151" t="n"/>
      <c r="DN12" s="151" t="n"/>
      <c r="DO12" s="151" t="n"/>
      <c r="DP12" s="151" t="n"/>
      <c r="DQ12" s="151" t="n"/>
      <c r="DR12" s="151" t="n"/>
      <c r="DS12" s="151" t="n"/>
      <c r="DT12" s="151" t="n"/>
      <c r="DU12" s="151" t="n"/>
      <c r="DV12" s="151" t="n"/>
      <c r="DW12" s="151" t="n"/>
      <c r="DX12" s="151" t="n"/>
      <c r="DY12" s="151" t="n"/>
      <c r="DZ12" s="151" t="n"/>
      <c r="EA12" s="151" t="n"/>
      <c r="EB12" s="151" t="n"/>
      <c r="EC12" s="151" t="n"/>
      <c r="ED12" s="151" t="n"/>
      <c r="EE12" s="151" t="n"/>
      <c r="EF12" s="151" t="n"/>
      <c r="EG12" s="151" t="n"/>
      <c r="EH12" s="151" t="n"/>
      <c r="EI12" s="151" t="n"/>
      <c r="EJ12" s="151" t="n"/>
      <c r="EK12" s="151" t="n"/>
      <c r="EL12" s="151" t="n"/>
      <c r="EM12" s="151" t="n"/>
      <c r="EN12" s="151" t="n"/>
      <c r="EO12" s="151" t="n"/>
      <c r="EP12" s="151" t="n"/>
      <c r="EQ12" s="151" t="n"/>
      <c r="ER12" s="151" t="n"/>
      <c r="ES12" s="151" t="n"/>
      <c r="ET12" s="151" t="n"/>
      <c r="EU12" s="151" t="n"/>
      <c r="EV12" s="151" t="n"/>
      <c r="EW12" s="151" t="n"/>
      <c r="EX12" s="151" t="n"/>
      <c r="EY12" s="151" t="n"/>
      <c r="EZ12" s="151" t="n"/>
      <c r="FA12" s="151" t="n"/>
      <c r="FB12" s="151" t="n"/>
      <c r="FC12" s="151" t="n"/>
      <c r="FD12" s="151" t="n"/>
      <c r="FE12" s="151" t="n"/>
      <c r="FF12" s="151" t="n"/>
      <c r="FG12" s="151" t="n"/>
      <c r="FH12" s="151" t="n"/>
      <c r="FI12" s="151" t="n"/>
      <c r="FJ12" s="151" t="n"/>
      <c r="FK12" s="151" t="n"/>
      <c r="FL12" s="151" t="n"/>
      <c r="FM12" s="151" t="n"/>
      <c r="FN12" s="151" t="n"/>
      <c r="FO12" s="151" t="n"/>
      <c r="FP12" s="151" t="n"/>
      <c r="FQ12" s="151" t="n"/>
      <c r="FR12" s="151" t="n"/>
      <c r="FS12" s="151" t="n"/>
      <c r="FT12" s="151" t="n"/>
      <c r="FU12" s="151" t="n"/>
      <c r="FV12" s="151" t="n"/>
      <c r="FW12" s="151" t="n"/>
      <c r="FX12" s="151" t="n"/>
      <c r="FY12" s="151" t="n"/>
      <c r="FZ12" s="151" t="n"/>
      <c r="GA12" s="151" t="n"/>
      <c r="GB12" s="151" t="n"/>
      <c r="GC12" s="151" t="n"/>
      <c r="GD12" s="151" t="n"/>
      <c r="GE12" s="151" t="n"/>
      <c r="GF12" s="151" t="n"/>
      <c r="GG12" s="151" t="n"/>
      <c r="GH12" s="151" t="n"/>
    </row>
    <row r="13" ht="30.2" customFormat="1" customHeight="1" s="150">
      <c r="A13" s="1106" t="inlineStr">
        <is>
          <t>DUTTA Pinake</t>
        </is>
      </c>
      <c r="B13" s="1042" t="n">
        <v>4175</v>
      </c>
      <c r="C13" s="951" t="n"/>
      <c r="D13" s="951" t="n"/>
      <c r="E13" s="951" t="n"/>
      <c r="F13" s="952" t="n"/>
      <c r="G13" s="952" t="n"/>
      <c r="H13" s="952" t="n"/>
      <c r="I13" s="951" t="n"/>
      <c r="J13" s="953" t="n"/>
      <c r="K13" s="951" t="n"/>
      <c r="L13" s="951" t="n"/>
      <c r="M13" s="951" t="n">
        <v>15</v>
      </c>
      <c r="N13" s="952" t="n"/>
      <c r="O13" s="951" t="n"/>
      <c r="P13" s="951" t="n"/>
      <c r="Q13" s="1586" t="n"/>
      <c r="R13" s="955">
        <f>(B13+C13+D13+E13+F13+G13+H13+I13+K13+L13+J13)+(E14+F14+H14+I14)</f>
        <v/>
      </c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51" t="n"/>
      <c r="AP13" s="151" t="n"/>
      <c r="AQ13" s="151" t="n"/>
      <c r="AR13" s="151" t="n"/>
      <c r="AS13" s="151" t="n"/>
      <c r="AT13" s="151" t="n"/>
      <c r="AU13" s="151" t="n"/>
      <c r="AV13" s="151" t="n"/>
      <c r="AW13" s="151" t="n"/>
      <c r="AX13" s="151" t="n"/>
      <c r="AY13" s="151" t="n"/>
      <c r="AZ13" s="151" t="n"/>
      <c r="BA13" s="151" t="n"/>
      <c r="BB13" s="151" t="n"/>
      <c r="BC13" s="151" t="n"/>
      <c r="BD13" s="151" t="n"/>
      <c r="BE13" s="151" t="n"/>
      <c r="BF13" s="151" t="n"/>
      <c r="BG13" s="151" t="n"/>
      <c r="BH13" s="151" t="n"/>
      <c r="BI13" s="151" t="n"/>
      <c r="BJ13" s="151" t="n"/>
      <c r="BK13" s="151" t="n"/>
      <c r="BL13" s="151" t="n"/>
      <c r="BM13" s="151" t="n"/>
      <c r="BN13" s="151" t="n"/>
      <c r="BO13" s="151" t="n"/>
      <c r="BP13" s="151" t="n"/>
      <c r="BQ13" s="151" t="n"/>
      <c r="BR13" s="151" t="n"/>
      <c r="BS13" s="151" t="n"/>
      <c r="BT13" s="151" t="n"/>
      <c r="BU13" s="151" t="n"/>
      <c r="BV13" s="151" t="n"/>
      <c r="BW13" s="151" t="n"/>
      <c r="BX13" s="151" t="n"/>
      <c r="BY13" s="151" t="n"/>
      <c r="BZ13" s="151" t="n"/>
      <c r="CA13" s="151" t="n"/>
      <c r="CB13" s="151" t="n"/>
      <c r="CC13" s="151" t="n"/>
      <c r="CD13" s="151" t="n"/>
      <c r="CE13" s="151" t="n"/>
      <c r="CF13" s="151" t="n"/>
      <c r="CG13" s="151" t="n"/>
      <c r="CH13" s="151" t="n"/>
      <c r="CI13" s="151" t="n"/>
      <c r="CJ13" s="151" t="n"/>
      <c r="CK13" s="151" t="n"/>
      <c r="CL13" s="151" t="n"/>
      <c r="CM13" s="151" t="n"/>
      <c r="CN13" s="151" t="n"/>
      <c r="CO13" s="151" t="n"/>
      <c r="CP13" s="151" t="n"/>
      <c r="CQ13" s="151" t="n"/>
      <c r="CR13" s="151" t="n"/>
      <c r="CS13" s="151" t="n"/>
      <c r="CT13" s="151" t="n"/>
      <c r="CU13" s="151" t="n"/>
      <c r="CV13" s="151" t="n"/>
      <c r="CW13" s="151" t="n"/>
      <c r="CX13" s="151" t="n"/>
      <c r="CY13" s="151" t="n"/>
      <c r="CZ13" s="151" t="n"/>
      <c r="DA13" s="151" t="n"/>
      <c r="DB13" s="151" t="n"/>
      <c r="DC13" s="151" t="n"/>
      <c r="DD13" s="151" t="n"/>
      <c r="DE13" s="151" t="n"/>
      <c r="DF13" s="151" t="n"/>
      <c r="DG13" s="151" t="n"/>
      <c r="DH13" s="151" t="n"/>
      <c r="DI13" s="151" t="n"/>
      <c r="DJ13" s="151" t="n"/>
      <c r="DK13" s="151" t="n"/>
      <c r="DL13" s="151" t="n"/>
      <c r="DM13" s="151" t="n"/>
      <c r="DN13" s="151" t="n"/>
      <c r="DO13" s="151" t="n"/>
      <c r="DP13" s="150" t="n"/>
      <c r="DQ13" s="150" t="n"/>
      <c r="DR13" s="150" t="n"/>
      <c r="DS13" s="150" t="n"/>
      <c r="DT13" s="150" t="n"/>
      <c r="DU13" s="150" t="n"/>
      <c r="DV13" s="150" t="n"/>
      <c r="DW13" s="150" t="n"/>
      <c r="DX13" s="150" t="n"/>
      <c r="DY13" s="150" t="n"/>
      <c r="DZ13" s="150" t="n"/>
      <c r="EA13" s="150" t="n"/>
      <c r="EB13" s="150" t="n"/>
      <c r="EC13" s="150" t="n"/>
      <c r="ED13" s="150" t="n"/>
      <c r="EE13" s="150" t="n"/>
      <c r="EF13" s="150" t="n"/>
      <c r="EG13" s="150" t="n"/>
      <c r="EH13" s="150" t="n"/>
      <c r="EI13" s="150" t="n"/>
      <c r="EJ13" s="150" t="n"/>
      <c r="EK13" s="150" t="n"/>
      <c r="EL13" s="150" t="n"/>
      <c r="EM13" s="150" t="n"/>
      <c r="EN13" s="150" t="n"/>
      <c r="EO13" s="150" t="n"/>
      <c r="EP13" s="150" t="n"/>
      <c r="EQ13" s="150" t="n"/>
      <c r="ER13" s="150" t="n"/>
      <c r="ES13" s="150" t="n"/>
      <c r="ET13" s="150" t="n"/>
      <c r="EU13" s="150" t="n"/>
      <c r="EV13" s="150" t="n"/>
      <c r="EW13" s="150" t="n"/>
      <c r="EX13" s="150" t="n"/>
      <c r="EY13" s="150" t="n"/>
      <c r="EZ13" s="150" t="n"/>
      <c r="FA13" s="150" t="n"/>
      <c r="FB13" s="150" t="n"/>
      <c r="FC13" s="150" t="n"/>
      <c r="FD13" s="150" t="n"/>
      <c r="FE13" s="150" t="n"/>
      <c r="FF13" s="150" t="n"/>
      <c r="FG13" s="150" t="n"/>
      <c r="FH13" s="150" t="n"/>
      <c r="FI13" s="150" t="n"/>
      <c r="FJ13" s="150" t="n"/>
      <c r="FK13" s="150" t="n"/>
      <c r="FL13" s="150" t="n"/>
      <c r="FM13" s="150" t="n"/>
      <c r="FN13" s="150" t="n"/>
      <c r="FO13" s="150" t="n"/>
      <c r="FP13" s="150" t="n"/>
      <c r="FQ13" s="150" t="n"/>
      <c r="FR13" s="150" t="n"/>
      <c r="FS13" s="150" t="n"/>
      <c r="FT13" s="150" t="n"/>
      <c r="FU13" s="150" t="n"/>
      <c r="FV13" s="150" t="n"/>
      <c r="FW13" s="150" t="n"/>
      <c r="FX13" s="150" t="n"/>
      <c r="FY13" s="150" t="n"/>
      <c r="FZ13" s="150" t="n"/>
      <c r="GA13" s="150" t="n"/>
      <c r="GB13" s="150" t="n"/>
      <c r="GC13" s="150" t="n"/>
      <c r="GD13" s="150" t="n"/>
      <c r="GE13" s="150" t="n"/>
      <c r="GF13" s="150" t="n"/>
      <c r="GG13" s="150" t="n"/>
      <c r="GH13" s="150" t="n"/>
    </row>
    <row r="14" ht="30.2" customHeight="1" s="2" thickBot="1">
      <c r="A14" s="1107" t="n"/>
      <c r="B14" s="1108" t="n"/>
      <c r="C14" s="1109" t="n"/>
      <c r="D14" s="1109" t="n"/>
      <c r="E14" s="1110" t="n"/>
      <c r="F14" s="1111" t="n"/>
      <c r="G14" s="1112" t="n"/>
      <c r="H14" s="1111" t="n"/>
      <c r="I14" s="1110" t="n"/>
      <c r="J14" s="1109" t="n"/>
      <c r="K14" s="1109" t="n"/>
      <c r="L14" s="1109" t="n"/>
      <c r="M14" s="1109" t="n"/>
      <c r="N14" s="1112" t="n"/>
      <c r="O14" s="1109" t="n"/>
      <c r="P14" s="1109" t="n"/>
      <c r="Q14" s="1587" t="n"/>
      <c r="R14" s="1114" t="n"/>
      <c r="S14" s="151" t="n"/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151" t="n"/>
      <c r="AP14" s="151" t="n"/>
      <c r="AQ14" s="151" t="n"/>
      <c r="AR14" s="151" t="n"/>
      <c r="AS14" s="151" t="n"/>
      <c r="AT14" s="151" t="n"/>
      <c r="AU14" s="151" t="n"/>
      <c r="AV14" s="151" t="n"/>
      <c r="AW14" s="151" t="n"/>
      <c r="AX14" s="151" t="n"/>
      <c r="AY14" s="151" t="n"/>
      <c r="AZ14" s="151" t="n"/>
      <c r="BA14" s="151" t="n"/>
      <c r="BB14" s="151" t="n"/>
      <c r="BC14" s="151" t="n"/>
      <c r="BD14" s="151" t="n"/>
      <c r="BE14" s="151" t="n"/>
      <c r="BF14" s="151" t="n"/>
      <c r="BG14" s="151" t="n"/>
      <c r="BH14" s="151" t="n"/>
      <c r="BI14" s="151" t="n"/>
      <c r="BJ14" s="151" t="n"/>
      <c r="BK14" s="151" t="n"/>
      <c r="BL14" s="151" t="n"/>
      <c r="BM14" s="151" t="n"/>
      <c r="BN14" s="151" t="n"/>
      <c r="BO14" s="151" t="n"/>
      <c r="BP14" s="151" t="n"/>
      <c r="BQ14" s="151" t="n"/>
      <c r="BR14" s="151" t="n"/>
      <c r="BS14" s="151" t="n"/>
      <c r="BT14" s="151" t="n"/>
      <c r="BU14" s="151" t="n"/>
      <c r="BV14" s="151" t="n"/>
      <c r="BW14" s="151" t="n"/>
      <c r="BX14" s="151" t="n"/>
      <c r="BY14" s="151" t="n"/>
      <c r="BZ14" s="151" t="n"/>
      <c r="CA14" s="151" t="n"/>
      <c r="CB14" s="151" t="n"/>
      <c r="CC14" s="151" t="n"/>
      <c r="CD14" s="151" t="n"/>
      <c r="CE14" s="151" t="n"/>
      <c r="CF14" s="151" t="n"/>
      <c r="CG14" s="151" t="n"/>
      <c r="CH14" s="151" t="n"/>
      <c r="CI14" s="151" t="n"/>
      <c r="CJ14" s="151" t="n"/>
      <c r="CK14" s="151" t="n"/>
      <c r="CL14" s="151" t="n"/>
      <c r="CM14" s="151" t="n"/>
      <c r="CN14" s="151" t="n"/>
      <c r="CO14" s="151" t="n"/>
      <c r="CP14" s="151" t="n"/>
      <c r="CQ14" s="151" t="n"/>
      <c r="CR14" s="151" t="n"/>
      <c r="CS14" s="151" t="n"/>
      <c r="CT14" s="151" t="n"/>
      <c r="CU14" s="151" t="n"/>
      <c r="CV14" s="151" t="n"/>
      <c r="CW14" s="151" t="n"/>
      <c r="CX14" s="151" t="n"/>
      <c r="CY14" s="151" t="n"/>
      <c r="CZ14" s="151" t="n"/>
      <c r="DA14" s="151" t="n"/>
      <c r="DB14" s="151" t="n"/>
      <c r="DC14" s="151" t="n"/>
      <c r="DD14" s="151" t="n"/>
      <c r="DE14" s="151" t="n"/>
      <c r="DF14" s="151" t="n"/>
      <c r="DG14" s="151" t="n"/>
      <c r="DH14" s="151" t="n"/>
      <c r="DI14" s="151" t="n"/>
      <c r="DJ14" s="151" t="n"/>
      <c r="DK14" s="151" t="n"/>
      <c r="DL14" s="151" t="n"/>
      <c r="DM14" s="151" t="n"/>
      <c r="DN14" s="151" t="n"/>
      <c r="DO14" s="151" t="n"/>
      <c r="DP14" s="150" t="n"/>
      <c r="DQ14" s="150" t="n"/>
      <c r="DR14" s="150" t="n"/>
      <c r="DS14" s="150" t="n"/>
      <c r="DT14" s="150" t="n"/>
      <c r="DU14" s="150" t="n"/>
      <c r="DV14" s="150" t="n"/>
      <c r="DW14" s="150" t="n"/>
      <c r="DX14" s="150" t="n"/>
      <c r="DY14" s="150" t="n"/>
      <c r="DZ14" s="150" t="n"/>
      <c r="EA14" s="150" t="n"/>
      <c r="EB14" s="150" t="n"/>
      <c r="EC14" s="150" t="n"/>
      <c r="ED14" s="150" t="n"/>
      <c r="EE14" s="150" t="n"/>
      <c r="EF14" s="150" t="n"/>
      <c r="EG14" s="150" t="n"/>
      <c r="EH14" s="150" t="n"/>
      <c r="EI14" s="150" t="n"/>
      <c r="EJ14" s="150" t="n"/>
      <c r="EK14" s="150" t="n"/>
      <c r="EL14" s="150" t="n"/>
      <c r="EM14" s="150" t="n"/>
      <c r="EN14" s="150" t="n"/>
      <c r="EO14" s="150" t="n"/>
      <c r="EP14" s="150" t="n"/>
      <c r="EQ14" s="150" t="n"/>
      <c r="ER14" s="150" t="n"/>
      <c r="ES14" s="150" t="n"/>
      <c r="ET14" s="150" t="n"/>
      <c r="EU14" s="150" t="n"/>
      <c r="EV14" s="150" t="n"/>
      <c r="EW14" s="150" t="n"/>
      <c r="EX14" s="150" t="n"/>
      <c r="EY14" s="150" t="n"/>
      <c r="EZ14" s="150" t="n"/>
      <c r="FA14" s="150" t="n"/>
      <c r="FB14" s="150" t="n"/>
      <c r="FC14" s="150" t="n"/>
      <c r="FD14" s="150" t="n"/>
      <c r="FE14" s="150" t="n"/>
      <c r="FF14" s="150" t="n"/>
      <c r="FG14" s="150" t="n"/>
      <c r="FH14" s="150" t="n"/>
      <c r="FI14" s="150" t="n"/>
      <c r="FJ14" s="150" t="n"/>
      <c r="FK14" s="150" t="n"/>
      <c r="FL14" s="150" t="n"/>
      <c r="FM14" s="150" t="n"/>
      <c r="FN14" s="150" t="n"/>
      <c r="FO14" s="150" t="n"/>
      <c r="FP14" s="150" t="n"/>
      <c r="FQ14" s="150" t="n"/>
      <c r="FR14" s="150" t="n"/>
      <c r="FS14" s="150" t="n"/>
      <c r="FT14" s="150" t="n"/>
      <c r="FU14" s="150" t="n"/>
      <c r="FV14" s="150" t="n"/>
      <c r="FW14" s="150" t="n"/>
      <c r="FX14" s="150" t="n"/>
      <c r="FY14" s="150" t="n"/>
      <c r="FZ14" s="150" t="n"/>
      <c r="GA14" s="150" t="n"/>
      <c r="GB14" s="150" t="n"/>
      <c r="GC14" s="150" t="n"/>
      <c r="GD14" s="150" t="n"/>
      <c r="GE14" s="150" t="n"/>
      <c r="GF14" s="150" t="n"/>
      <c r="GG14" s="150" t="n"/>
      <c r="GH14" s="150" t="n"/>
    </row>
    <row r="15" ht="30.2" customHeight="1" s="2">
      <c r="A15" s="1091" t="inlineStr">
        <is>
          <t>FAN, Yong (Richard)</t>
        </is>
      </c>
      <c r="B15" s="1041" t="n"/>
      <c r="C15" s="963" t="n">
        <v>200</v>
      </c>
      <c r="D15" s="963" t="n">
        <v>350</v>
      </c>
      <c r="E15" s="963" t="n"/>
      <c r="F15" s="964" t="n"/>
      <c r="G15" s="964" t="n"/>
      <c r="H15" s="964" t="n"/>
      <c r="I15" s="962" t="n"/>
      <c r="J15" s="963" t="n"/>
      <c r="K15" s="962" t="n"/>
      <c r="L15" s="962" t="n"/>
      <c r="M15" s="963" t="n">
        <v>2</v>
      </c>
      <c r="N15" s="964" t="n"/>
      <c r="O15" s="963" t="n"/>
      <c r="P15" s="963" t="n"/>
      <c r="Q15" s="1585" t="n"/>
      <c r="R15" s="1038">
        <f>B15+C15+D15+E15+F15+G15+H15+I15+K15+L15+J15</f>
        <v/>
      </c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51" t="n"/>
      <c r="AP15" s="151" t="n"/>
      <c r="AQ15" s="151" t="n"/>
      <c r="AR15" s="151" t="n"/>
      <c r="AS15" s="151" t="n"/>
      <c r="AT15" s="151" t="n"/>
      <c r="AU15" s="151" t="n"/>
      <c r="AV15" s="151" t="n"/>
      <c r="AW15" s="151" t="n"/>
      <c r="AX15" s="151" t="n"/>
      <c r="AY15" s="151" t="n"/>
      <c r="AZ15" s="151" t="n"/>
      <c r="BA15" s="151" t="n"/>
      <c r="BB15" s="151" t="n"/>
      <c r="BC15" s="151" t="n"/>
      <c r="BD15" s="151" t="n"/>
      <c r="BE15" s="151" t="n"/>
      <c r="BF15" s="151" t="n"/>
      <c r="BG15" s="151" t="n"/>
      <c r="BH15" s="151" t="n"/>
      <c r="BI15" s="151" t="n"/>
      <c r="BJ15" s="151" t="n"/>
      <c r="BK15" s="151" t="n"/>
      <c r="BL15" s="151" t="n"/>
      <c r="BM15" s="151" t="n"/>
      <c r="BN15" s="151" t="n"/>
      <c r="BO15" s="151" t="n"/>
      <c r="BP15" s="151" t="n"/>
      <c r="BQ15" s="151" t="n"/>
      <c r="BR15" s="151" t="n"/>
      <c r="BS15" s="151" t="n"/>
      <c r="BT15" s="151" t="n"/>
      <c r="BU15" s="151" t="n"/>
      <c r="BV15" s="151" t="n"/>
      <c r="BW15" s="151" t="n"/>
      <c r="BX15" s="151" t="n"/>
      <c r="BY15" s="151" t="n"/>
      <c r="BZ15" s="151" t="n"/>
      <c r="CA15" s="151" t="n"/>
      <c r="CB15" s="151" t="n"/>
      <c r="CC15" s="151" t="n"/>
      <c r="CD15" s="151" t="n"/>
      <c r="CE15" s="151" t="n"/>
      <c r="CF15" s="151" t="n"/>
      <c r="CG15" s="151" t="n"/>
      <c r="CH15" s="151" t="n"/>
      <c r="CI15" s="151" t="n"/>
      <c r="CJ15" s="151" t="n"/>
      <c r="CK15" s="151" t="n"/>
      <c r="CL15" s="151" t="n"/>
      <c r="CM15" s="151" t="n"/>
      <c r="CN15" s="151" t="n"/>
      <c r="CO15" s="151" t="n"/>
      <c r="CP15" s="151" t="n"/>
      <c r="CQ15" s="151" t="n"/>
      <c r="CR15" s="151" t="n"/>
      <c r="CS15" s="151" t="n"/>
      <c r="CT15" s="151" t="n"/>
      <c r="CU15" s="151" t="n"/>
      <c r="CV15" s="151" t="n"/>
      <c r="CW15" s="151" t="n"/>
      <c r="CX15" s="151" t="n"/>
      <c r="CY15" s="151" t="n"/>
      <c r="CZ15" s="151" t="n"/>
      <c r="DA15" s="151" t="n"/>
      <c r="DB15" s="151" t="n"/>
      <c r="DC15" s="151" t="n"/>
      <c r="DD15" s="151" t="n"/>
      <c r="DE15" s="151" t="n"/>
      <c r="DF15" s="151" t="n"/>
      <c r="DG15" s="151" t="n"/>
      <c r="DH15" s="151" t="n"/>
      <c r="DI15" s="151" t="n"/>
      <c r="DJ15" s="151" t="n"/>
      <c r="DK15" s="151" t="n"/>
      <c r="DL15" s="151" t="n"/>
      <c r="DM15" s="151" t="n"/>
      <c r="DN15" s="151" t="n"/>
      <c r="DO15" s="151" t="n"/>
      <c r="DP15" s="150" t="n"/>
      <c r="DQ15" s="150" t="n"/>
      <c r="DR15" s="150" t="n"/>
      <c r="DS15" s="150" t="n"/>
      <c r="DT15" s="150" t="n"/>
      <c r="DU15" s="150" t="n"/>
      <c r="DV15" s="150" t="n"/>
      <c r="DW15" s="150" t="n"/>
      <c r="DX15" s="150" t="n"/>
      <c r="DY15" s="150" t="n"/>
      <c r="DZ15" s="150" t="n"/>
      <c r="EA15" s="150" t="n"/>
      <c r="EB15" s="150" t="n"/>
      <c r="EC15" s="150" t="n"/>
      <c r="ED15" s="150" t="n"/>
      <c r="EE15" s="150" t="n"/>
      <c r="EF15" s="150" t="n"/>
      <c r="EG15" s="150" t="n"/>
      <c r="EH15" s="150" t="n"/>
      <c r="EI15" s="150" t="n"/>
      <c r="EJ15" s="150" t="n"/>
      <c r="EK15" s="150" t="n"/>
      <c r="EL15" s="150" t="n"/>
      <c r="EM15" s="150" t="n"/>
      <c r="EN15" s="150" t="n"/>
      <c r="EO15" s="150" t="n"/>
      <c r="EP15" s="150" t="n"/>
      <c r="EQ15" s="150" t="n"/>
      <c r="ER15" s="150" t="n"/>
      <c r="ES15" s="150" t="n"/>
      <c r="ET15" s="150" t="n"/>
      <c r="EU15" s="150" t="n"/>
      <c r="EV15" s="150" t="n"/>
      <c r="EW15" s="150" t="n"/>
      <c r="EX15" s="150" t="n"/>
      <c r="EY15" s="150" t="n"/>
      <c r="EZ15" s="150" t="n"/>
      <c r="FA15" s="150" t="n"/>
      <c r="FB15" s="150" t="n"/>
      <c r="FC15" s="150" t="n"/>
      <c r="FD15" s="150" t="n"/>
      <c r="FE15" s="150" t="n"/>
      <c r="FF15" s="150" t="n"/>
      <c r="FG15" s="150" t="n"/>
      <c r="FH15" s="150" t="n"/>
      <c r="FI15" s="150" t="n"/>
      <c r="FJ15" s="150" t="n"/>
      <c r="FK15" s="150" t="n"/>
      <c r="FL15" s="150" t="n"/>
      <c r="FM15" s="150" t="n"/>
      <c r="FN15" s="150" t="n"/>
      <c r="FO15" s="150" t="n"/>
      <c r="FP15" s="150" t="n"/>
      <c r="FQ15" s="150" t="n"/>
      <c r="FR15" s="150" t="n"/>
      <c r="FS15" s="150" t="n"/>
      <c r="FT15" s="150" t="n"/>
      <c r="FU15" s="150" t="n"/>
      <c r="FV15" s="150" t="n"/>
      <c r="FW15" s="150" t="n"/>
      <c r="FX15" s="150" t="n"/>
      <c r="FY15" s="150" t="n"/>
      <c r="FZ15" s="150" t="n"/>
      <c r="GA15" s="150" t="n"/>
      <c r="GB15" s="150" t="n"/>
      <c r="GC15" s="150" t="n"/>
      <c r="GD15" s="150" t="n"/>
      <c r="GE15" s="150" t="n"/>
      <c r="GF15" s="150" t="n"/>
      <c r="GG15" s="150" t="n"/>
      <c r="GH15" s="150" t="n"/>
    </row>
    <row r="16" ht="30.2" customHeight="1" s="2" thickBot="1">
      <c r="A16" s="1091" t="inlineStr">
        <is>
          <t>FEIGE, Oliver</t>
        </is>
      </c>
      <c r="B16" s="1041" t="n"/>
      <c r="C16" s="963" t="n"/>
      <c r="D16" s="963" t="n"/>
      <c r="E16" s="963" t="n"/>
      <c r="F16" s="964" t="n"/>
      <c r="G16" s="964" t="n"/>
      <c r="H16" s="964" t="n"/>
      <c r="I16" s="962" t="n"/>
      <c r="J16" s="963" t="n"/>
      <c r="K16" s="962" t="n"/>
      <c r="L16" s="962" t="n"/>
      <c r="M16" s="963" t="n"/>
      <c r="N16" s="964" t="n"/>
      <c r="O16" s="963" t="n"/>
      <c r="P16" s="963" t="n"/>
      <c r="Q16" s="1585" t="n"/>
      <c r="R16" s="1038">
        <f>B16+C16+D16+E16+F16+G16+H16+I16+K16+L16+J16</f>
        <v/>
      </c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51" t="n"/>
      <c r="AP16" s="151" t="n"/>
      <c r="AQ16" s="151" t="n"/>
      <c r="AR16" s="151" t="n"/>
      <c r="AS16" s="151" t="n"/>
      <c r="AT16" s="151" t="n"/>
      <c r="AU16" s="151" t="n"/>
      <c r="AV16" s="151" t="n"/>
      <c r="AW16" s="151" t="n"/>
      <c r="AX16" s="151" t="n"/>
      <c r="AY16" s="151" t="n"/>
      <c r="AZ16" s="151" t="n"/>
      <c r="BA16" s="151" t="n"/>
      <c r="BB16" s="151" t="n"/>
      <c r="BC16" s="151" t="n"/>
      <c r="BD16" s="151" t="n"/>
      <c r="BE16" s="151" t="n"/>
      <c r="BF16" s="151" t="n"/>
      <c r="BG16" s="151" t="n"/>
      <c r="BH16" s="151" t="n"/>
      <c r="BI16" s="151" t="n"/>
      <c r="BJ16" s="151" t="n"/>
      <c r="BK16" s="151" t="n"/>
      <c r="BL16" s="151" t="n"/>
      <c r="BM16" s="151" t="n"/>
      <c r="BN16" s="151" t="n"/>
      <c r="BO16" s="151" t="n"/>
      <c r="BP16" s="151" t="n"/>
      <c r="BQ16" s="151" t="n"/>
      <c r="BR16" s="151" t="n"/>
      <c r="BS16" s="151" t="n"/>
      <c r="BT16" s="151" t="n"/>
      <c r="BU16" s="151" t="n"/>
      <c r="BV16" s="151" t="n"/>
      <c r="BW16" s="151" t="n"/>
      <c r="BX16" s="151" t="n"/>
      <c r="BY16" s="151" t="n"/>
      <c r="BZ16" s="151" t="n"/>
      <c r="CA16" s="151" t="n"/>
      <c r="CB16" s="151" t="n"/>
      <c r="CC16" s="151" t="n"/>
      <c r="CD16" s="151" t="n"/>
      <c r="CE16" s="151" t="n"/>
      <c r="CF16" s="151" t="n"/>
      <c r="CG16" s="151" t="n"/>
      <c r="CH16" s="151" t="n"/>
      <c r="CI16" s="151" t="n"/>
      <c r="CJ16" s="151" t="n"/>
      <c r="CK16" s="151" t="n"/>
      <c r="CL16" s="151" t="n"/>
      <c r="CM16" s="151" t="n"/>
      <c r="CN16" s="151" t="n"/>
      <c r="CO16" s="151" t="n"/>
      <c r="CP16" s="151" t="n"/>
      <c r="CQ16" s="151" t="n"/>
      <c r="CR16" s="151" t="n"/>
      <c r="CS16" s="151" t="n"/>
      <c r="CT16" s="151" t="n"/>
      <c r="CU16" s="151" t="n"/>
      <c r="CV16" s="151" t="n"/>
      <c r="CW16" s="151" t="n"/>
      <c r="CX16" s="151" t="n"/>
      <c r="CY16" s="151" t="n"/>
      <c r="CZ16" s="151" t="n"/>
      <c r="DA16" s="151" t="n"/>
      <c r="DB16" s="151" t="n"/>
      <c r="DC16" s="151" t="n"/>
      <c r="DD16" s="151" t="n"/>
      <c r="DE16" s="151" t="n"/>
      <c r="DF16" s="151" t="n"/>
      <c r="DG16" s="151" t="n"/>
      <c r="DH16" s="151" t="n"/>
      <c r="DI16" s="151" t="n"/>
      <c r="DJ16" s="151" t="n"/>
      <c r="DK16" s="151" t="n"/>
      <c r="DL16" s="151" t="n"/>
      <c r="DM16" s="151" t="n"/>
      <c r="DN16" s="151" t="n"/>
      <c r="DO16" s="151" t="n"/>
      <c r="DP16" s="150" t="n"/>
      <c r="DQ16" s="150" t="n"/>
      <c r="DR16" s="150" t="n"/>
      <c r="DS16" s="150" t="n"/>
      <c r="DT16" s="150" t="n"/>
      <c r="DU16" s="150" t="n"/>
      <c r="DV16" s="150" t="n"/>
      <c r="DW16" s="150" t="n"/>
      <c r="DX16" s="150" t="n"/>
      <c r="DY16" s="150" t="n"/>
      <c r="DZ16" s="150" t="n"/>
      <c r="EA16" s="150" t="n"/>
      <c r="EB16" s="150" t="n"/>
      <c r="EC16" s="150" t="n"/>
      <c r="ED16" s="150" t="n"/>
      <c r="EE16" s="150" t="n"/>
      <c r="EF16" s="150" t="n"/>
      <c r="EG16" s="150" t="n"/>
      <c r="EH16" s="150" t="n"/>
      <c r="EI16" s="150" t="n"/>
      <c r="EJ16" s="150" t="n"/>
      <c r="EK16" s="150" t="n"/>
      <c r="EL16" s="150" t="n"/>
      <c r="EM16" s="150" t="n"/>
      <c r="EN16" s="150" t="n"/>
      <c r="EO16" s="150" t="n"/>
      <c r="EP16" s="150" t="n"/>
      <c r="EQ16" s="150" t="n"/>
      <c r="ER16" s="150" t="n"/>
      <c r="ES16" s="150" t="n"/>
      <c r="ET16" s="150" t="n"/>
      <c r="EU16" s="150" t="n"/>
      <c r="EV16" s="150" t="n"/>
      <c r="EW16" s="150" t="n"/>
      <c r="EX16" s="150" t="n"/>
      <c r="EY16" s="150" t="n"/>
      <c r="EZ16" s="150" t="n"/>
      <c r="FA16" s="150" t="n"/>
      <c r="FB16" s="150" t="n"/>
      <c r="FC16" s="150" t="n"/>
      <c r="FD16" s="150" t="n"/>
      <c r="FE16" s="150" t="n"/>
      <c r="FF16" s="150" t="n"/>
      <c r="FG16" s="150" t="n"/>
      <c r="FH16" s="150" t="n"/>
      <c r="FI16" s="150" t="n"/>
      <c r="FJ16" s="150" t="n"/>
      <c r="FK16" s="150" t="n"/>
      <c r="FL16" s="150" t="n"/>
      <c r="FM16" s="150" t="n"/>
      <c r="FN16" s="150" t="n"/>
      <c r="FO16" s="150" t="n"/>
      <c r="FP16" s="150" t="n"/>
      <c r="FQ16" s="150" t="n"/>
      <c r="FR16" s="150" t="n"/>
      <c r="FS16" s="150" t="n"/>
      <c r="FT16" s="150" t="n"/>
      <c r="FU16" s="150" t="n"/>
      <c r="FV16" s="150" t="n"/>
      <c r="FW16" s="150" t="n"/>
      <c r="FX16" s="150" t="n"/>
      <c r="FY16" s="150" t="n"/>
      <c r="FZ16" s="150" t="n"/>
      <c r="GA16" s="150" t="n"/>
      <c r="GB16" s="150" t="n"/>
      <c r="GC16" s="150" t="n"/>
      <c r="GD16" s="150" t="n"/>
      <c r="GE16" s="150" t="n"/>
      <c r="GF16" s="150" t="n"/>
      <c r="GG16" s="150" t="n"/>
      <c r="GH16" s="150" t="n"/>
    </row>
    <row r="17" ht="30.2" customFormat="1" customHeight="1" s="150">
      <c r="A17" s="1106" t="inlineStr">
        <is>
          <t>FERNANDES,  Delisha</t>
        </is>
      </c>
      <c r="B17" s="1042" t="n">
        <v>2200</v>
      </c>
      <c r="C17" s="951" t="n"/>
      <c r="D17" s="951" t="n"/>
      <c r="E17" s="951" t="n"/>
      <c r="F17" s="952" t="n"/>
      <c r="G17" s="952" t="n"/>
      <c r="H17" s="952" t="n"/>
      <c r="I17" s="951" t="n"/>
      <c r="J17" s="953" t="n"/>
      <c r="K17" s="951" t="n"/>
      <c r="L17" s="951" t="n">
        <v>1600</v>
      </c>
      <c r="M17" s="951" t="n">
        <v>15</v>
      </c>
      <c r="N17" s="952" t="n"/>
      <c r="O17" s="951" t="n"/>
      <c r="P17" s="951" t="n"/>
      <c r="Q17" s="1586" t="n"/>
      <c r="R17" s="955">
        <f>(B17+C17+D17+E17+F17+G17+H17+I17+K17+L17+J17)+(E18+F18+H18+I18)</f>
        <v/>
      </c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  <c r="AO17" s="151" t="n"/>
      <c r="AP17" s="151" t="n"/>
      <c r="AQ17" s="151" t="n"/>
      <c r="AR17" s="151" t="n"/>
      <c r="AS17" s="151" t="n"/>
      <c r="AT17" s="151" t="n"/>
      <c r="AU17" s="151" t="n"/>
      <c r="AV17" s="151" t="n"/>
      <c r="AW17" s="151" t="n"/>
      <c r="AX17" s="151" t="n"/>
      <c r="AY17" s="151" t="n"/>
      <c r="AZ17" s="151" t="n"/>
      <c r="BA17" s="151" t="n"/>
      <c r="BB17" s="151" t="n"/>
      <c r="BC17" s="151" t="n"/>
      <c r="BD17" s="151" t="n"/>
      <c r="BE17" s="151" t="n"/>
      <c r="BF17" s="151" t="n"/>
      <c r="BG17" s="151" t="n"/>
      <c r="BH17" s="151" t="n"/>
      <c r="BI17" s="151" t="n"/>
      <c r="BJ17" s="151" t="n"/>
      <c r="BK17" s="151" t="n"/>
      <c r="BL17" s="151" t="n"/>
      <c r="BM17" s="151" t="n"/>
      <c r="BN17" s="151" t="n"/>
      <c r="BO17" s="151" t="n"/>
      <c r="BP17" s="151" t="n"/>
      <c r="BQ17" s="151" t="n"/>
      <c r="BR17" s="151" t="n"/>
      <c r="BS17" s="151" t="n"/>
      <c r="BT17" s="151" t="n"/>
      <c r="BU17" s="151" t="n"/>
      <c r="BV17" s="151" t="n"/>
      <c r="BW17" s="151" t="n"/>
      <c r="BX17" s="151" t="n"/>
      <c r="BY17" s="151" t="n"/>
      <c r="BZ17" s="151" t="n"/>
      <c r="CA17" s="151" t="n"/>
      <c r="CB17" s="151" t="n"/>
      <c r="CC17" s="151" t="n"/>
      <c r="CD17" s="151" t="n"/>
      <c r="CE17" s="151" t="n"/>
      <c r="CF17" s="151" t="n"/>
      <c r="CG17" s="151" t="n"/>
      <c r="CH17" s="151" t="n"/>
      <c r="CI17" s="151" t="n"/>
      <c r="CJ17" s="151" t="n"/>
      <c r="CK17" s="151" t="n"/>
      <c r="CL17" s="151" t="n"/>
      <c r="CM17" s="151" t="n"/>
      <c r="CN17" s="151" t="n"/>
      <c r="CO17" s="151" t="n"/>
      <c r="CP17" s="151" t="n"/>
      <c r="CQ17" s="151" t="n"/>
      <c r="CR17" s="151" t="n"/>
      <c r="CS17" s="151" t="n"/>
      <c r="CT17" s="151" t="n"/>
      <c r="CU17" s="151" t="n"/>
      <c r="CV17" s="151" t="n"/>
      <c r="CW17" s="151" t="n"/>
      <c r="CX17" s="151" t="n"/>
      <c r="CY17" s="151" t="n"/>
      <c r="CZ17" s="151" t="n"/>
      <c r="DA17" s="151" t="n"/>
      <c r="DB17" s="151" t="n"/>
      <c r="DC17" s="151" t="n"/>
      <c r="DD17" s="151" t="n"/>
      <c r="DE17" s="151" t="n"/>
      <c r="DF17" s="151" t="n"/>
      <c r="DG17" s="151" t="n"/>
      <c r="DH17" s="151" t="n"/>
      <c r="DI17" s="151" t="n"/>
      <c r="DJ17" s="151" t="n"/>
      <c r="DK17" s="151" t="n"/>
      <c r="DL17" s="151" t="n"/>
      <c r="DM17" s="151" t="n"/>
      <c r="DN17" s="151" t="n"/>
      <c r="DO17" s="151" t="n"/>
      <c r="DP17" s="150" t="n"/>
      <c r="DQ17" s="150" t="n"/>
      <c r="DR17" s="150" t="n"/>
      <c r="DS17" s="150" t="n"/>
      <c r="DT17" s="150" t="n"/>
      <c r="DU17" s="150" t="n"/>
      <c r="DV17" s="150" t="n"/>
      <c r="DW17" s="150" t="n"/>
      <c r="DX17" s="150" t="n"/>
      <c r="DY17" s="150" t="n"/>
      <c r="DZ17" s="150" t="n"/>
      <c r="EA17" s="150" t="n"/>
      <c r="EB17" s="150" t="n"/>
      <c r="EC17" s="150" t="n"/>
      <c r="ED17" s="150" t="n"/>
      <c r="EE17" s="150" t="n"/>
      <c r="EF17" s="150" t="n"/>
      <c r="EG17" s="150" t="n"/>
      <c r="EH17" s="150" t="n"/>
      <c r="EI17" s="150" t="n"/>
      <c r="EJ17" s="150" t="n"/>
      <c r="EK17" s="150" t="n"/>
      <c r="EL17" s="150" t="n"/>
      <c r="EM17" s="150" t="n"/>
      <c r="EN17" s="150" t="n"/>
      <c r="EO17" s="150" t="n"/>
      <c r="EP17" s="150" t="n"/>
      <c r="EQ17" s="150" t="n"/>
      <c r="ER17" s="150" t="n"/>
      <c r="ES17" s="150" t="n"/>
      <c r="ET17" s="150" t="n"/>
      <c r="EU17" s="150" t="n"/>
      <c r="EV17" s="150" t="n"/>
      <c r="EW17" s="150" t="n"/>
      <c r="EX17" s="150" t="n"/>
      <c r="EY17" s="150" t="n"/>
      <c r="EZ17" s="150" t="n"/>
      <c r="FA17" s="150" t="n"/>
      <c r="FB17" s="150" t="n"/>
      <c r="FC17" s="150" t="n"/>
      <c r="FD17" s="150" t="n"/>
      <c r="FE17" s="150" t="n"/>
      <c r="FF17" s="150" t="n"/>
      <c r="FG17" s="150" t="n"/>
      <c r="FH17" s="150" t="n"/>
      <c r="FI17" s="150" t="n"/>
      <c r="FJ17" s="150" t="n"/>
      <c r="FK17" s="150" t="n"/>
      <c r="FL17" s="150" t="n"/>
      <c r="FM17" s="150" t="n"/>
      <c r="FN17" s="150" t="n"/>
      <c r="FO17" s="150" t="n"/>
      <c r="FP17" s="150" t="n"/>
      <c r="FQ17" s="150" t="n"/>
      <c r="FR17" s="150" t="n"/>
      <c r="FS17" s="150" t="n"/>
      <c r="FT17" s="150" t="n"/>
      <c r="FU17" s="150" t="n"/>
      <c r="FV17" s="150" t="n"/>
      <c r="FW17" s="150" t="n"/>
      <c r="FX17" s="150" t="n"/>
      <c r="FY17" s="150" t="n"/>
      <c r="FZ17" s="150" t="n"/>
      <c r="GA17" s="150" t="n"/>
      <c r="GB17" s="150" t="n"/>
      <c r="GC17" s="150" t="n"/>
      <c r="GD17" s="150" t="n"/>
      <c r="GE17" s="150" t="n"/>
      <c r="GF17" s="150" t="n"/>
      <c r="GG17" s="150" t="n"/>
      <c r="GH17" s="150" t="n"/>
    </row>
    <row r="18" ht="30.2" customFormat="1" customHeight="1" s="150" thickBot="1">
      <c r="A18" s="1107" t="n"/>
      <c r="B18" s="1108" t="n"/>
      <c r="C18" s="1109" t="n"/>
      <c r="D18" s="1109" t="n"/>
      <c r="E18" s="1110" t="n"/>
      <c r="F18" s="1111" t="n"/>
      <c r="G18" s="1112" t="n"/>
      <c r="H18" s="1111" t="n"/>
      <c r="I18" s="1110" t="n"/>
      <c r="J18" s="1109" t="n"/>
      <c r="K18" s="1109" t="n"/>
      <c r="L18" s="1109" t="n"/>
      <c r="M18" s="1109" t="n"/>
      <c r="N18" s="1112" t="n"/>
      <c r="O18" s="1109" t="n"/>
      <c r="P18" s="1109" t="n"/>
      <c r="Q18" s="1587" t="n"/>
      <c r="R18" s="1114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  <c r="AO18" s="151" t="n"/>
      <c r="AP18" s="151" t="n"/>
      <c r="AQ18" s="151" t="n"/>
      <c r="AR18" s="151" t="n"/>
      <c r="AS18" s="151" t="n"/>
      <c r="AT18" s="151" t="n"/>
      <c r="AU18" s="151" t="n"/>
      <c r="AV18" s="151" t="n"/>
      <c r="AW18" s="151" t="n"/>
      <c r="AX18" s="151" t="n"/>
      <c r="AY18" s="151" t="n"/>
      <c r="AZ18" s="151" t="n"/>
      <c r="BA18" s="151" t="n"/>
      <c r="BB18" s="151" t="n"/>
      <c r="BC18" s="151" t="n"/>
      <c r="BD18" s="151" t="n"/>
      <c r="BE18" s="151" t="n"/>
      <c r="BF18" s="151" t="n"/>
      <c r="BG18" s="151" t="n"/>
      <c r="BH18" s="151" t="n"/>
      <c r="BI18" s="151" t="n"/>
      <c r="BJ18" s="151" t="n"/>
      <c r="BK18" s="151" t="n"/>
      <c r="BL18" s="151" t="n"/>
      <c r="BM18" s="151" t="n"/>
      <c r="BN18" s="151" t="n"/>
      <c r="BO18" s="151" t="n"/>
      <c r="BP18" s="151" t="n"/>
      <c r="BQ18" s="151" t="n"/>
      <c r="BR18" s="151" t="n"/>
      <c r="BS18" s="151" t="n"/>
      <c r="BT18" s="151" t="n"/>
      <c r="BU18" s="151" t="n"/>
      <c r="BV18" s="151" t="n"/>
      <c r="BW18" s="151" t="n"/>
      <c r="BX18" s="151" t="n"/>
      <c r="BY18" s="151" t="n"/>
      <c r="BZ18" s="151" t="n"/>
      <c r="CA18" s="151" t="n"/>
      <c r="CB18" s="151" t="n"/>
      <c r="CC18" s="151" t="n"/>
      <c r="CD18" s="151" t="n"/>
      <c r="CE18" s="151" t="n"/>
      <c r="CF18" s="151" t="n"/>
      <c r="CG18" s="151" t="n"/>
      <c r="CH18" s="151" t="n"/>
      <c r="CI18" s="151" t="n"/>
      <c r="CJ18" s="151" t="n"/>
      <c r="CK18" s="151" t="n"/>
      <c r="CL18" s="151" t="n"/>
      <c r="CM18" s="151" t="n"/>
      <c r="CN18" s="151" t="n"/>
      <c r="CO18" s="151" t="n"/>
      <c r="CP18" s="151" t="n"/>
      <c r="CQ18" s="151" t="n"/>
      <c r="CR18" s="151" t="n"/>
      <c r="CS18" s="151" t="n"/>
      <c r="CT18" s="151" t="n"/>
      <c r="CU18" s="151" t="n"/>
      <c r="CV18" s="151" t="n"/>
      <c r="CW18" s="151" t="n"/>
      <c r="CX18" s="151" t="n"/>
      <c r="CY18" s="151" t="n"/>
      <c r="CZ18" s="151" t="n"/>
      <c r="DA18" s="151" t="n"/>
      <c r="DB18" s="151" t="n"/>
      <c r="DC18" s="151" t="n"/>
      <c r="DD18" s="151" t="n"/>
      <c r="DE18" s="151" t="n"/>
      <c r="DF18" s="151" t="n"/>
      <c r="DG18" s="151" t="n"/>
      <c r="DH18" s="151" t="n"/>
      <c r="DI18" s="151" t="n"/>
      <c r="DJ18" s="151" t="n"/>
      <c r="DK18" s="151" t="n"/>
      <c r="DL18" s="151" t="n"/>
      <c r="DM18" s="151" t="n"/>
      <c r="DN18" s="151" t="n"/>
      <c r="DO18" s="151" t="n"/>
      <c r="DP18" s="150" t="n"/>
      <c r="DQ18" s="150" t="n"/>
      <c r="DR18" s="150" t="n"/>
      <c r="DS18" s="150" t="n"/>
      <c r="DT18" s="150" t="n"/>
      <c r="DU18" s="150" t="n"/>
      <c r="DV18" s="150" t="n"/>
      <c r="DW18" s="150" t="n"/>
      <c r="DX18" s="150" t="n"/>
      <c r="DY18" s="150" t="n"/>
      <c r="DZ18" s="150" t="n"/>
      <c r="EA18" s="150" t="n"/>
      <c r="EB18" s="150" t="n"/>
      <c r="EC18" s="150" t="n"/>
      <c r="ED18" s="150" t="n"/>
      <c r="EE18" s="150" t="n"/>
      <c r="EF18" s="150" t="n"/>
      <c r="EG18" s="150" t="n"/>
      <c r="EH18" s="150" t="n"/>
      <c r="EI18" s="150" t="n"/>
      <c r="EJ18" s="150" t="n"/>
      <c r="EK18" s="150" t="n"/>
      <c r="EL18" s="150" t="n"/>
      <c r="EM18" s="150" t="n"/>
      <c r="EN18" s="150" t="n"/>
      <c r="EO18" s="150" t="n"/>
      <c r="EP18" s="150" t="n"/>
      <c r="EQ18" s="150" t="n"/>
      <c r="ER18" s="150" t="n"/>
      <c r="ES18" s="150" t="n"/>
      <c r="ET18" s="150" t="n"/>
      <c r="EU18" s="150" t="n"/>
      <c r="EV18" s="150" t="n"/>
      <c r="EW18" s="150" t="n"/>
      <c r="EX18" s="150" t="n"/>
      <c r="EY18" s="150" t="n"/>
      <c r="EZ18" s="150" t="n"/>
      <c r="FA18" s="150" t="n"/>
      <c r="FB18" s="150" t="n"/>
      <c r="FC18" s="150" t="n"/>
      <c r="FD18" s="150" t="n"/>
      <c r="FE18" s="150" t="n"/>
      <c r="FF18" s="150" t="n"/>
      <c r="FG18" s="150" t="n"/>
      <c r="FH18" s="150" t="n"/>
      <c r="FI18" s="150" t="n"/>
      <c r="FJ18" s="150" t="n"/>
      <c r="FK18" s="150" t="n"/>
      <c r="FL18" s="150" t="n"/>
      <c r="FM18" s="150" t="n"/>
      <c r="FN18" s="150" t="n"/>
      <c r="FO18" s="150" t="n"/>
      <c r="FP18" s="150" t="n"/>
      <c r="FQ18" s="150" t="n"/>
      <c r="FR18" s="150" t="n"/>
      <c r="FS18" s="150" t="n"/>
      <c r="FT18" s="150" t="n"/>
      <c r="FU18" s="150" t="n"/>
      <c r="FV18" s="150" t="n"/>
      <c r="FW18" s="150" t="n"/>
      <c r="FX18" s="150" t="n"/>
      <c r="FY18" s="150" t="n"/>
      <c r="FZ18" s="150" t="n"/>
      <c r="GA18" s="150" t="n"/>
      <c r="GB18" s="150" t="n"/>
      <c r="GC18" s="150" t="n"/>
      <c r="GD18" s="150" t="n"/>
      <c r="GE18" s="150" t="n"/>
      <c r="GF18" s="150" t="n"/>
      <c r="GG18" s="150" t="n"/>
      <c r="GH18" s="150" t="n"/>
    </row>
    <row r="19" ht="30.2" customHeight="1" s="2">
      <c r="A19" s="1101" t="inlineStr">
        <is>
          <t>GAUCHAN Bibek</t>
        </is>
      </c>
      <c r="B19" s="1115" t="n"/>
      <c r="C19" s="1103" t="n"/>
      <c r="D19" s="1103" t="n"/>
      <c r="E19" s="1103" t="n"/>
      <c r="F19" s="1104" t="n"/>
      <c r="G19" s="1104" t="n"/>
      <c r="H19" s="1104" t="n"/>
      <c r="I19" s="1103" t="n"/>
      <c r="J19" s="1102" t="n"/>
      <c r="K19" s="1103" t="n"/>
      <c r="L19" s="1103" t="n">
        <v>3800</v>
      </c>
      <c r="M19" s="1103" t="n"/>
      <c r="N19" s="1104" t="n"/>
      <c r="O19" s="1103" t="n"/>
      <c r="P19" s="1103" t="n"/>
      <c r="Q19" s="1588" t="n"/>
      <c r="R19" s="955">
        <f>(B19+C19+D19+E19+F19+G19+H19+I19+K19+L19+J19)+(E20+F20+H20+I20)</f>
        <v/>
      </c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51" t="n"/>
      <c r="AP19" s="151" t="n"/>
      <c r="AQ19" s="151" t="n"/>
      <c r="AR19" s="151" t="n"/>
      <c r="AS19" s="151" t="n"/>
      <c r="AT19" s="151" t="n"/>
      <c r="AU19" s="151" t="n"/>
      <c r="AV19" s="151" t="n"/>
      <c r="AW19" s="151" t="n"/>
      <c r="AX19" s="151" t="n"/>
      <c r="AY19" s="151" t="n"/>
      <c r="AZ19" s="151" t="n"/>
      <c r="BA19" s="151" t="n"/>
      <c r="BB19" s="151" t="n"/>
      <c r="BC19" s="151" t="n"/>
      <c r="BD19" s="151" t="n"/>
      <c r="BE19" s="151" t="n"/>
      <c r="BF19" s="151" t="n"/>
      <c r="BG19" s="151" t="n"/>
      <c r="BH19" s="151" t="n"/>
      <c r="BI19" s="151" t="n"/>
      <c r="BJ19" s="151" t="n"/>
      <c r="BK19" s="151" t="n"/>
      <c r="BL19" s="151" t="n"/>
      <c r="BM19" s="151" t="n"/>
      <c r="BN19" s="151" t="n"/>
      <c r="BO19" s="151" t="n"/>
      <c r="BP19" s="151" t="n"/>
      <c r="BQ19" s="151" t="n"/>
      <c r="BR19" s="151" t="n"/>
      <c r="BS19" s="151" t="n"/>
      <c r="BT19" s="151" t="n"/>
      <c r="BU19" s="151" t="n"/>
      <c r="BV19" s="151" t="n"/>
      <c r="BW19" s="151" t="n"/>
      <c r="BX19" s="151" t="n"/>
      <c r="BY19" s="151" t="n"/>
      <c r="BZ19" s="151" t="n"/>
      <c r="CA19" s="151" t="n"/>
      <c r="CB19" s="151" t="n"/>
      <c r="CC19" s="151" t="n"/>
      <c r="CD19" s="151" t="n"/>
      <c r="CE19" s="151" t="n"/>
      <c r="CF19" s="151" t="n"/>
      <c r="CG19" s="151" t="n"/>
      <c r="CH19" s="151" t="n"/>
      <c r="CI19" s="151" t="n"/>
      <c r="CJ19" s="151" t="n"/>
      <c r="CK19" s="151" t="n"/>
      <c r="CL19" s="151" t="n"/>
      <c r="CM19" s="151" t="n"/>
      <c r="CN19" s="151" t="n"/>
      <c r="CO19" s="151" t="n"/>
      <c r="CP19" s="151" t="n"/>
      <c r="CQ19" s="151" t="n"/>
      <c r="CR19" s="151" t="n"/>
      <c r="CS19" s="151" t="n"/>
      <c r="CT19" s="151" t="n"/>
      <c r="CU19" s="151" t="n"/>
      <c r="CV19" s="151" t="n"/>
      <c r="CW19" s="151" t="n"/>
      <c r="CX19" s="151" t="n"/>
      <c r="CY19" s="151" t="n"/>
      <c r="CZ19" s="151" t="n"/>
      <c r="DA19" s="151" t="n"/>
      <c r="DB19" s="151" t="n"/>
      <c r="DC19" s="151" t="n"/>
      <c r="DD19" s="151" t="n"/>
      <c r="DE19" s="151" t="n"/>
      <c r="DF19" s="151" t="n"/>
      <c r="DG19" s="151" t="n"/>
      <c r="DH19" s="151" t="n"/>
      <c r="DI19" s="151" t="n"/>
      <c r="DJ19" s="151" t="n"/>
      <c r="DK19" s="151" t="n"/>
      <c r="DL19" s="151" t="n"/>
      <c r="DM19" s="151" t="n"/>
      <c r="DN19" s="151" t="n"/>
      <c r="DO19" s="151" t="n"/>
      <c r="DP19" s="150" t="n"/>
      <c r="DQ19" s="150" t="n"/>
      <c r="DR19" s="150" t="n"/>
      <c r="DS19" s="150" t="n"/>
      <c r="DT19" s="150" t="n"/>
      <c r="DU19" s="150" t="n"/>
      <c r="DV19" s="150" t="n"/>
      <c r="DW19" s="150" t="n"/>
      <c r="DX19" s="150" t="n"/>
      <c r="DY19" s="150" t="n"/>
      <c r="DZ19" s="150" t="n"/>
      <c r="EA19" s="150" t="n"/>
      <c r="EB19" s="150" t="n"/>
      <c r="EC19" s="150" t="n"/>
      <c r="ED19" s="150" t="n"/>
      <c r="EE19" s="150" t="n"/>
      <c r="EF19" s="150" t="n"/>
      <c r="EG19" s="150" t="n"/>
      <c r="EH19" s="150" t="n"/>
      <c r="EI19" s="150" t="n"/>
      <c r="EJ19" s="150" t="n"/>
      <c r="EK19" s="150" t="n"/>
      <c r="EL19" s="150" t="n"/>
      <c r="EM19" s="150" t="n"/>
      <c r="EN19" s="150" t="n"/>
      <c r="EO19" s="150" t="n"/>
      <c r="EP19" s="150" t="n"/>
      <c r="EQ19" s="150" t="n"/>
      <c r="ER19" s="150" t="n"/>
      <c r="ES19" s="150" t="n"/>
      <c r="ET19" s="150" t="n"/>
      <c r="EU19" s="150" t="n"/>
      <c r="EV19" s="150" t="n"/>
      <c r="EW19" s="150" t="n"/>
      <c r="EX19" s="150" t="n"/>
      <c r="EY19" s="150" t="n"/>
      <c r="EZ19" s="150" t="n"/>
      <c r="FA19" s="150" t="n"/>
      <c r="FB19" s="150" t="n"/>
      <c r="FC19" s="150" t="n"/>
      <c r="FD19" s="150" t="n"/>
      <c r="FE19" s="150" t="n"/>
      <c r="FF19" s="150" t="n"/>
      <c r="FG19" s="150" t="n"/>
      <c r="FH19" s="150" t="n"/>
      <c r="FI19" s="150" t="n"/>
      <c r="FJ19" s="150" t="n"/>
      <c r="FK19" s="150" t="n"/>
      <c r="FL19" s="150" t="n"/>
      <c r="FM19" s="150" t="n"/>
      <c r="FN19" s="150" t="n"/>
      <c r="FO19" s="150" t="n"/>
      <c r="FP19" s="150" t="n"/>
      <c r="FQ19" s="150" t="n"/>
      <c r="FR19" s="150" t="n"/>
      <c r="FS19" s="150" t="n"/>
      <c r="FT19" s="150" t="n"/>
      <c r="FU19" s="150" t="n"/>
      <c r="FV19" s="150" t="n"/>
      <c r="FW19" s="150" t="n"/>
      <c r="FX19" s="150" t="n"/>
      <c r="FY19" s="150" t="n"/>
      <c r="FZ19" s="150" t="n"/>
      <c r="GA19" s="150" t="n"/>
      <c r="GB19" s="150" t="n"/>
      <c r="GC19" s="150" t="n"/>
      <c r="GD19" s="150" t="n"/>
      <c r="GE19" s="150" t="n"/>
      <c r="GF19" s="150" t="n"/>
      <c r="GG19" s="150" t="n"/>
      <c r="GH19" s="150" t="n"/>
    </row>
    <row r="20" ht="30.2" customHeight="1" s="2" thickBot="1">
      <c r="A20" s="1107" t="n"/>
      <c r="B20" s="1108" t="n"/>
      <c r="C20" s="1109" t="n"/>
      <c r="D20" s="1109" t="n"/>
      <c r="E20" s="1110" t="n"/>
      <c r="F20" s="1111" t="n"/>
      <c r="G20" s="1112" t="n"/>
      <c r="H20" s="1111" t="n"/>
      <c r="I20" s="1110" t="n"/>
      <c r="J20" s="1109" t="n"/>
      <c r="K20" s="1109" t="n"/>
      <c r="L20" s="1109" t="n"/>
      <c r="M20" s="1109" t="n"/>
      <c r="N20" s="1112" t="n"/>
      <c r="O20" s="1109" t="n"/>
      <c r="P20" s="1109" t="n"/>
      <c r="Q20" s="1587" t="n"/>
      <c r="R20" s="1114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51" t="n"/>
      <c r="BN20" s="151" t="n"/>
      <c r="BO20" s="151" t="n"/>
      <c r="BP20" s="151" t="n"/>
      <c r="BQ20" s="151" t="n"/>
      <c r="BR20" s="151" t="n"/>
      <c r="BS20" s="151" t="n"/>
      <c r="BT20" s="151" t="n"/>
      <c r="BU20" s="151" t="n"/>
      <c r="BV20" s="151" t="n"/>
      <c r="BW20" s="151" t="n"/>
      <c r="BX20" s="151" t="n"/>
      <c r="BY20" s="151" t="n"/>
      <c r="BZ20" s="151" t="n"/>
      <c r="CA20" s="151" t="n"/>
      <c r="CB20" s="151" t="n"/>
      <c r="CC20" s="151" t="n"/>
      <c r="CD20" s="151" t="n"/>
      <c r="CE20" s="151" t="n"/>
      <c r="CF20" s="151" t="n"/>
      <c r="CG20" s="151" t="n"/>
      <c r="CH20" s="151" t="n"/>
      <c r="CI20" s="151" t="n"/>
      <c r="CJ20" s="151" t="n"/>
      <c r="CK20" s="151" t="n"/>
      <c r="CL20" s="151" t="n"/>
      <c r="CM20" s="151" t="n"/>
      <c r="CN20" s="151" t="n"/>
      <c r="CO20" s="151" t="n"/>
      <c r="CP20" s="151" t="n"/>
      <c r="CQ20" s="151" t="n"/>
      <c r="CR20" s="151" t="n"/>
      <c r="CS20" s="151" t="n"/>
      <c r="CT20" s="151" t="n"/>
      <c r="CU20" s="151" t="n"/>
      <c r="CV20" s="151" t="n"/>
      <c r="CW20" s="151" t="n"/>
      <c r="CX20" s="151" t="n"/>
      <c r="CY20" s="151" t="n"/>
      <c r="CZ20" s="151" t="n"/>
      <c r="DA20" s="151" t="n"/>
      <c r="DB20" s="151" t="n"/>
      <c r="DC20" s="151" t="n"/>
      <c r="DD20" s="151" t="n"/>
      <c r="DE20" s="151" t="n"/>
      <c r="DF20" s="151" t="n"/>
      <c r="DG20" s="151" t="n"/>
      <c r="DH20" s="151" t="n"/>
      <c r="DI20" s="151" t="n"/>
      <c r="DJ20" s="151" t="n"/>
      <c r="DK20" s="151" t="n"/>
      <c r="DL20" s="151" t="n"/>
      <c r="DM20" s="151" t="n"/>
      <c r="DN20" s="151" t="n"/>
      <c r="DO20" s="151" t="n"/>
      <c r="DP20" s="150" t="n"/>
      <c r="DQ20" s="150" t="n"/>
      <c r="DR20" s="150" t="n"/>
      <c r="DS20" s="150" t="n"/>
      <c r="DT20" s="150" t="n"/>
      <c r="DU20" s="150" t="n"/>
      <c r="DV20" s="150" t="n"/>
      <c r="DW20" s="150" t="n"/>
      <c r="DX20" s="150" t="n"/>
      <c r="DY20" s="150" t="n"/>
      <c r="DZ20" s="150" t="n"/>
      <c r="EA20" s="150" t="n"/>
      <c r="EB20" s="150" t="n"/>
      <c r="EC20" s="150" t="n"/>
      <c r="ED20" s="150" t="n"/>
      <c r="EE20" s="150" t="n"/>
      <c r="EF20" s="150" t="n"/>
      <c r="EG20" s="150" t="n"/>
      <c r="EH20" s="150" t="n"/>
      <c r="EI20" s="150" t="n"/>
      <c r="EJ20" s="150" t="n"/>
      <c r="EK20" s="150" t="n"/>
      <c r="EL20" s="150" t="n"/>
      <c r="EM20" s="150" t="n"/>
      <c r="EN20" s="150" t="n"/>
      <c r="EO20" s="150" t="n"/>
      <c r="EP20" s="150" t="n"/>
      <c r="EQ20" s="150" t="n"/>
      <c r="ER20" s="150" t="n"/>
      <c r="ES20" s="150" t="n"/>
      <c r="ET20" s="150" t="n"/>
      <c r="EU20" s="150" t="n"/>
      <c r="EV20" s="150" t="n"/>
      <c r="EW20" s="150" t="n"/>
      <c r="EX20" s="150" t="n"/>
      <c r="EY20" s="150" t="n"/>
      <c r="EZ20" s="150" t="n"/>
      <c r="FA20" s="150" t="n"/>
      <c r="FB20" s="150" t="n"/>
      <c r="FC20" s="150" t="n"/>
      <c r="FD20" s="150" t="n"/>
      <c r="FE20" s="150" t="n"/>
      <c r="FF20" s="150" t="n"/>
      <c r="FG20" s="150" t="n"/>
      <c r="FH20" s="150" t="n"/>
      <c r="FI20" s="150" t="n"/>
      <c r="FJ20" s="150" t="n"/>
      <c r="FK20" s="150" t="n"/>
      <c r="FL20" s="150" t="n"/>
      <c r="FM20" s="150" t="n"/>
      <c r="FN20" s="150" t="n"/>
      <c r="FO20" s="150" t="n"/>
      <c r="FP20" s="150" t="n"/>
      <c r="FQ20" s="150" t="n"/>
      <c r="FR20" s="150" t="n"/>
      <c r="FS20" s="150" t="n"/>
      <c r="FT20" s="150" t="n"/>
      <c r="FU20" s="150" t="n"/>
      <c r="FV20" s="150" t="n"/>
      <c r="FW20" s="150" t="n"/>
      <c r="FX20" s="150" t="n"/>
      <c r="FY20" s="150" t="n"/>
      <c r="FZ20" s="150" t="n"/>
      <c r="GA20" s="150" t="n"/>
      <c r="GB20" s="150" t="n"/>
      <c r="GC20" s="150" t="n"/>
      <c r="GD20" s="150" t="n"/>
      <c r="GE20" s="150" t="n"/>
      <c r="GF20" s="150" t="n"/>
      <c r="GG20" s="150" t="n"/>
      <c r="GH20" s="150" t="n"/>
    </row>
    <row r="21" ht="30.2" customFormat="1" customHeight="1" s="150">
      <c r="A21" s="1106" t="inlineStr">
        <is>
          <t>GAUCHAN Roshani</t>
        </is>
      </c>
      <c r="B21" s="1042" t="n">
        <v>3825</v>
      </c>
      <c r="C21" s="951" t="n"/>
      <c r="D21" s="951" t="n"/>
      <c r="E21" s="951" t="n"/>
      <c r="F21" s="952" t="n"/>
      <c r="G21" s="952" t="n"/>
      <c r="H21" s="952" t="n"/>
      <c r="I21" s="951" t="n"/>
      <c r="J21" s="953" t="n"/>
      <c r="K21" s="951" t="n"/>
      <c r="L21" s="951" t="n"/>
      <c r="M21" s="1167" t="n">
        <v>15</v>
      </c>
      <c r="N21" s="952" t="n"/>
      <c r="O21" s="951" t="n"/>
      <c r="P21" s="951" t="n"/>
      <c r="Q21" s="1586" t="n"/>
      <c r="R21" s="955">
        <f>(B21+C21+D21+E21+F21+G21+H21+I21+K21+L21+J21)+(E22+F22+H22+I22)</f>
        <v/>
      </c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  <c r="AO21" s="151" t="n"/>
      <c r="AP21" s="151" t="n"/>
      <c r="AQ21" s="151" t="n"/>
      <c r="AR21" s="151" t="n"/>
      <c r="AS21" s="151" t="n"/>
      <c r="AT21" s="151" t="n"/>
      <c r="AU21" s="151" t="n"/>
      <c r="AV21" s="151" t="n"/>
      <c r="AW21" s="151" t="n"/>
      <c r="AX21" s="151" t="n"/>
      <c r="AY21" s="151" t="n"/>
      <c r="AZ21" s="151" t="n"/>
      <c r="BA21" s="151" t="n"/>
      <c r="BB21" s="151" t="n"/>
      <c r="BC21" s="151" t="n"/>
      <c r="BD21" s="151" t="n"/>
      <c r="BE21" s="151" t="n"/>
      <c r="BF21" s="151" t="n"/>
      <c r="BG21" s="151" t="n"/>
      <c r="BH21" s="151" t="n"/>
      <c r="BI21" s="151" t="n"/>
      <c r="BJ21" s="151" t="n"/>
      <c r="BK21" s="151" t="n"/>
      <c r="BL21" s="151" t="n"/>
      <c r="BM21" s="151" t="n"/>
      <c r="BN21" s="151" t="n"/>
      <c r="BO21" s="151" t="n"/>
      <c r="BP21" s="151" t="n"/>
      <c r="BQ21" s="151" t="n"/>
      <c r="BR21" s="151" t="n"/>
      <c r="BS21" s="151" t="n"/>
      <c r="BT21" s="151" t="n"/>
      <c r="BU21" s="151" t="n"/>
      <c r="BV21" s="151" t="n"/>
      <c r="BW21" s="151" t="n"/>
      <c r="BX21" s="151" t="n"/>
      <c r="BY21" s="151" t="n"/>
      <c r="BZ21" s="151" t="n"/>
      <c r="CA21" s="151" t="n"/>
      <c r="CB21" s="151" t="n"/>
      <c r="CC21" s="151" t="n"/>
      <c r="CD21" s="151" t="n"/>
      <c r="CE21" s="151" t="n"/>
      <c r="CF21" s="151" t="n"/>
      <c r="CG21" s="151" t="n"/>
      <c r="CH21" s="151" t="n"/>
      <c r="CI21" s="151" t="n"/>
      <c r="CJ21" s="151" t="n"/>
      <c r="CK21" s="151" t="n"/>
      <c r="CL21" s="151" t="n"/>
      <c r="CM21" s="151" t="n"/>
      <c r="CN21" s="151" t="n"/>
      <c r="CO21" s="151" t="n"/>
      <c r="CP21" s="151" t="n"/>
      <c r="CQ21" s="151" t="n"/>
      <c r="CR21" s="151" t="n"/>
      <c r="CS21" s="151" t="n"/>
      <c r="CT21" s="151" t="n"/>
      <c r="CU21" s="151" t="n"/>
      <c r="CV21" s="151" t="n"/>
      <c r="CW21" s="151" t="n"/>
      <c r="CX21" s="151" t="n"/>
      <c r="CY21" s="151" t="n"/>
      <c r="CZ21" s="151" t="n"/>
      <c r="DA21" s="151" t="n"/>
      <c r="DB21" s="151" t="n"/>
      <c r="DC21" s="151" t="n"/>
      <c r="DD21" s="151" t="n"/>
      <c r="DE21" s="151" t="n"/>
      <c r="DF21" s="151" t="n"/>
      <c r="DG21" s="151" t="n"/>
      <c r="DH21" s="151" t="n"/>
      <c r="DI21" s="151" t="n"/>
      <c r="DJ21" s="151" t="n"/>
      <c r="DK21" s="151" t="n"/>
      <c r="DL21" s="151" t="n"/>
      <c r="DM21" s="151" t="n"/>
      <c r="DN21" s="151" t="n"/>
      <c r="DO21" s="151" t="n"/>
      <c r="DP21" s="150" t="n"/>
      <c r="DQ21" s="150" t="n"/>
      <c r="DR21" s="150" t="n"/>
      <c r="DS21" s="150" t="n"/>
      <c r="DT21" s="150" t="n"/>
      <c r="DU21" s="150" t="n"/>
      <c r="DV21" s="150" t="n"/>
      <c r="DW21" s="150" t="n"/>
      <c r="DX21" s="150" t="n"/>
      <c r="DY21" s="150" t="n"/>
      <c r="DZ21" s="150" t="n"/>
      <c r="EA21" s="150" t="n"/>
      <c r="EB21" s="150" t="n"/>
      <c r="EC21" s="150" t="n"/>
      <c r="ED21" s="150" t="n"/>
      <c r="EE21" s="150" t="n"/>
      <c r="EF21" s="150" t="n"/>
      <c r="EG21" s="150" t="n"/>
      <c r="EH21" s="150" t="n"/>
      <c r="EI21" s="150" t="n"/>
      <c r="EJ21" s="150" t="n"/>
      <c r="EK21" s="150" t="n"/>
      <c r="EL21" s="150" t="n"/>
      <c r="EM21" s="150" t="n"/>
      <c r="EN21" s="150" t="n"/>
      <c r="EO21" s="150" t="n"/>
      <c r="EP21" s="150" t="n"/>
      <c r="EQ21" s="150" t="n"/>
      <c r="ER21" s="150" t="n"/>
      <c r="ES21" s="150" t="n"/>
      <c r="ET21" s="150" t="n"/>
      <c r="EU21" s="150" t="n"/>
      <c r="EV21" s="150" t="n"/>
      <c r="EW21" s="150" t="n"/>
      <c r="EX21" s="150" t="n"/>
      <c r="EY21" s="150" t="n"/>
      <c r="EZ21" s="150" t="n"/>
      <c r="FA21" s="150" t="n"/>
      <c r="FB21" s="150" t="n"/>
      <c r="FC21" s="150" t="n"/>
      <c r="FD21" s="150" t="n"/>
      <c r="FE21" s="150" t="n"/>
      <c r="FF21" s="150" t="n"/>
      <c r="FG21" s="150" t="n"/>
      <c r="FH21" s="150" t="n"/>
      <c r="FI21" s="150" t="n"/>
      <c r="FJ21" s="150" t="n"/>
      <c r="FK21" s="150" t="n"/>
      <c r="FL21" s="150" t="n"/>
      <c r="FM21" s="150" t="n"/>
      <c r="FN21" s="150" t="n"/>
      <c r="FO21" s="150" t="n"/>
      <c r="FP21" s="150" t="n"/>
      <c r="FQ21" s="150" t="n"/>
      <c r="FR21" s="150" t="n"/>
      <c r="FS21" s="150" t="n"/>
      <c r="FT21" s="150" t="n"/>
      <c r="FU21" s="150" t="n"/>
      <c r="FV21" s="150" t="n"/>
      <c r="FW21" s="150" t="n"/>
      <c r="FX21" s="150" t="n"/>
      <c r="FY21" s="150" t="n"/>
      <c r="FZ21" s="150" t="n"/>
      <c r="GA21" s="150" t="n"/>
      <c r="GB21" s="150" t="n"/>
      <c r="GC21" s="150" t="n"/>
      <c r="GD21" s="150" t="n"/>
      <c r="GE21" s="150" t="n"/>
      <c r="GF21" s="150" t="n"/>
      <c r="GG21" s="150" t="n"/>
      <c r="GH21" s="150" t="n"/>
    </row>
    <row r="22" ht="30.2" customHeight="1" s="2" thickBot="1">
      <c r="A22" s="1107" t="n"/>
      <c r="B22" s="1108" t="n"/>
      <c r="C22" s="1109" t="n"/>
      <c r="D22" s="1109" t="n"/>
      <c r="E22" s="1110" t="n"/>
      <c r="F22" s="1111" t="n"/>
      <c r="G22" s="1112" t="n"/>
      <c r="H22" s="1111" t="n"/>
      <c r="I22" s="1110" t="n"/>
      <c r="J22" s="1109" t="n"/>
      <c r="K22" s="1109" t="n"/>
      <c r="L22" s="1109" t="n"/>
      <c r="M22" s="1109" t="n"/>
      <c r="N22" s="1112" t="n"/>
      <c r="O22" s="1109" t="n"/>
      <c r="P22" s="1109" t="n"/>
      <c r="Q22" s="1587" t="n"/>
      <c r="R22" s="1114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  <c r="AO22" s="151" t="n"/>
      <c r="AP22" s="151" t="n"/>
      <c r="AQ22" s="151" t="n"/>
      <c r="AR22" s="151" t="n"/>
      <c r="AS22" s="151" t="n"/>
      <c r="AT22" s="151" t="n"/>
      <c r="AU22" s="151" t="n"/>
      <c r="AV22" s="151" t="n"/>
      <c r="AW22" s="151" t="n"/>
      <c r="AX22" s="151" t="n"/>
      <c r="AY22" s="151" t="n"/>
      <c r="AZ22" s="151" t="n"/>
      <c r="BA22" s="151" t="n"/>
      <c r="BB22" s="151" t="n"/>
      <c r="BC22" s="151" t="n"/>
      <c r="BD22" s="151" t="n"/>
      <c r="BE22" s="151" t="n"/>
      <c r="BF22" s="151" t="n"/>
      <c r="BG22" s="151" t="n"/>
      <c r="BH22" s="151" t="n"/>
      <c r="BI22" s="151" t="n"/>
      <c r="BJ22" s="151" t="n"/>
      <c r="BK22" s="151" t="n"/>
      <c r="BL22" s="151" t="n"/>
      <c r="BM22" s="151" t="n"/>
      <c r="BN22" s="151" t="n"/>
      <c r="BO22" s="151" t="n"/>
      <c r="BP22" s="151" t="n"/>
      <c r="BQ22" s="151" t="n"/>
      <c r="BR22" s="151" t="n"/>
      <c r="BS22" s="151" t="n"/>
      <c r="BT22" s="151" t="n"/>
      <c r="BU22" s="151" t="n"/>
      <c r="BV22" s="151" t="n"/>
      <c r="BW22" s="151" t="n"/>
      <c r="BX22" s="151" t="n"/>
      <c r="BY22" s="151" t="n"/>
      <c r="BZ22" s="151" t="n"/>
      <c r="CA22" s="151" t="n"/>
      <c r="CB22" s="151" t="n"/>
      <c r="CC22" s="151" t="n"/>
      <c r="CD22" s="151" t="n"/>
      <c r="CE22" s="151" t="n"/>
      <c r="CF22" s="151" t="n"/>
      <c r="CG22" s="151" t="n"/>
      <c r="CH22" s="151" t="n"/>
      <c r="CI22" s="151" t="n"/>
      <c r="CJ22" s="151" t="n"/>
      <c r="CK22" s="151" t="n"/>
      <c r="CL22" s="151" t="n"/>
      <c r="CM22" s="151" t="n"/>
      <c r="CN22" s="151" t="n"/>
      <c r="CO22" s="151" t="n"/>
      <c r="CP22" s="151" t="n"/>
      <c r="CQ22" s="151" t="n"/>
      <c r="CR22" s="151" t="n"/>
      <c r="CS22" s="151" t="n"/>
      <c r="CT22" s="151" t="n"/>
      <c r="CU22" s="151" t="n"/>
      <c r="CV22" s="151" t="n"/>
      <c r="CW22" s="151" t="n"/>
      <c r="CX22" s="151" t="n"/>
      <c r="CY22" s="151" t="n"/>
      <c r="CZ22" s="151" t="n"/>
      <c r="DA22" s="151" t="n"/>
      <c r="DB22" s="151" t="n"/>
      <c r="DC22" s="151" t="n"/>
      <c r="DD22" s="151" t="n"/>
      <c r="DE22" s="151" t="n"/>
      <c r="DF22" s="151" t="n"/>
      <c r="DG22" s="151" t="n"/>
      <c r="DH22" s="151" t="n"/>
      <c r="DI22" s="151" t="n"/>
      <c r="DJ22" s="151" t="n"/>
      <c r="DK22" s="151" t="n"/>
      <c r="DL22" s="151" t="n"/>
      <c r="DM22" s="151" t="n"/>
      <c r="DN22" s="151" t="n"/>
      <c r="DO22" s="151" t="n"/>
      <c r="DP22" s="150" t="n"/>
      <c r="DQ22" s="150" t="n"/>
      <c r="DR22" s="150" t="n"/>
      <c r="DS22" s="150" t="n"/>
      <c r="DT22" s="150" t="n"/>
      <c r="DU22" s="150" t="n"/>
      <c r="DV22" s="150" t="n"/>
      <c r="DW22" s="150" t="n"/>
      <c r="DX22" s="150" t="n"/>
      <c r="DY22" s="150" t="n"/>
      <c r="DZ22" s="150" t="n"/>
      <c r="EA22" s="150" t="n"/>
      <c r="EB22" s="150" t="n"/>
      <c r="EC22" s="150" t="n"/>
      <c r="ED22" s="150" t="n"/>
      <c r="EE22" s="150" t="n"/>
      <c r="EF22" s="150" t="n"/>
      <c r="EG22" s="150" t="n"/>
      <c r="EH22" s="150" t="n"/>
      <c r="EI22" s="150" t="n"/>
      <c r="EJ22" s="150" t="n"/>
      <c r="EK22" s="150" t="n"/>
      <c r="EL22" s="150" t="n"/>
      <c r="EM22" s="150" t="n"/>
      <c r="EN22" s="150" t="n"/>
      <c r="EO22" s="150" t="n"/>
      <c r="EP22" s="150" t="n"/>
      <c r="EQ22" s="150" t="n"/>
      <c r="ER22" s="150" t="n"/>
      <c r="ES22" s="150" t="n"/>
      <c r="ET22" s="150" t="n"/>
      <c r="EU22" s="150" t="n"/>
      <c r="EV22" s="150" t="n"/>
      <c r="EW22" s="150" t="n"/>
      <c r="EX22" s="150" t="n"/>
      <c r="EY22" s="150" t="n"/>
      <c r="EZ22" s="150" t="n"/>
      <c r="FA22" s="150" t="n"/>
      <c r="FB22" s="150" t="n"/>
      <c r="FC22" s="150" t="n"/>
      <c r="FD22" s="150" t="n"/>
      <c r="FE22" s="150" t="n"/>
      <c r="FF22" s="150" t="n"/>
      <c r="FG22" s="150" t="n"/>
      <c r="FH22" s="150" t="n"/>
      <c r="FI22" s="150" t="n"/>
      <c r="FJ22" s="150" t="n"/>
      <c r="FK22" s="150" t="n"/>
      <c r="FL22" s="150" t="n"/>
      <c r="FM22" s="150" t="n"/>
      <c r="FN22" s="150" t="n"/>
      <c r="FO22" s="150" t="n"/>
      <c r="FP22" s="150" t="n"/>
      <c r="FQ22" s="150" t="n"/>
      <c r="FR22" s="150" t="n"/>
      <c r="FS22" s="150" t="n"/>
      <c r="FT22" s="150" t="n"/>
      <c r="FU22" s="150" t="n"/>
      <c r="FV22" s="150" t="n"/>
      <c r="FW22" s="150" t="n"/>
      <c r="FX22" s="150" t="n"/>
      <c r="FY22" s="150" t="n"/>
      <c r="FZ22" s="150" t="n"/>
      <c r="GA22" s="150" t="n"/>
      <c r="GB22" s="150" t="n"/>
      <c r="GC22" s="150" t="n"/>
      <c r="GD22" s="150" t="n"/>
      <c r="GE22" s="150" t="n"/>
      <c r="GF22" s="150" t="n"/>
      <c r="GG22" s="150" t="n"/>
      <c r="GH22" s="150" t="n"/>
    </row>
    <row r="23" ht="30.2" customFormat="1" customHeight="1" s="151">
      <c r="A23" s="1063" t="inlineStr">
        <is>
          <t>JAHAN, Nusrat</t>
        </is>
      </c>
      <c r="B23" s="1046" t="n">
        <v>1750</v>
      </c>
      <c r="C23" s="963" t="n">
        <v>750</v>
      </c>
      <c r="D23" s="963" t="n">
        <v>750</v>
      </c>
      <c r="E23" s="963" t="n"/>
      <c r="F23" s="964" t="n">
        <v>200</v>
      </c>
      <c r="G23" s="964" t="n"/>
      <c r="H23" s="964" t="n">
        <v>75</v>
      </c>
      <c r="I23" s="963" t="n"/>
      <c r="J23" s="962" t="n"/>
      <c r="K23" s="963" t="n"/>
      <c r="L23" s="963" t="n"/>
      <c r="M23" s="165" t="n">
        <v>3</v>
      </c>
      <c r="N23" s="964" t="n"/>
      <c r="O23" s="963" t="n"/>
      <c r="P23" s="963" t="n"/>
      <c r="Q23" s="1585" t="n">
        <v>22.4</v>
      </c>
      <c r="R23" s="1038">
        <f>B23+C23+D23+E23+F23+G23+H23+I23+K23+L23+J23</f>
        <v/>
      </c>
      <c r="AQ23" s="151" t="n"/>
      <c r="AR23" s="151" t="n"/>
      <c r="AS23" s="151" t="n"/>
      <c r="AT23" s="151" t="n"/>
      <c r="AU23" s="151" t="n"/>
      <c r="AV23" s="151" t="n"/>
      <c r="AW23" s="151" t="n"/>
      <c r="AX23" s="151" t="n"/>
      <c r="AY23" s="151" t="n"/>
      <c r="AZ23" s="151" t="n"/>
      <c r="BA23" s="151" t="n"/>
      <c r="BB23" s="151" t="n"/>
      <c r="BC23" s="151" t="n"/>
      <c r="BD23" s="151" t="n"/>
      <c r="BE23" s="151" t="n"/>
      <c r="BF23" s="151" t="n"/>
      <c r="BG23" s="151" t="n"/>
      <c r="BH23" s="151" t="n"/>
      <c r="BI23" s="151" t="n"/>
      <c r="BJ23" s="151" t="n"/>
      <c r="BK23" s="151" t="n"/>
      <c r="BL23" s="151" t="n"/>
      <c r="BM23" s="151" t="n"/>
      <c r="BN23" s="151" t="n"/>
      <c r="BO23" s="151" t="n"/>
      <c r="BP23" s="151" t="n"/>
      <c r="BQ23" s="151" t="n"/>
      <c r="BR23" s="151" t="n"/>
      <c r="BS23" s="151" t="n"/>
      <c r="BT23" s="151" t="n"/>
      <c r="BU23" s="151" t="n"/>
      <c r="BV23" s="151" t="n"/>
      <c r="BW23" s="151" t="n"/>
      <c r="BX23" s="151" t="n"/>
      <c r="BY23" s="151" t="n"/>
      <c r="BZ23" s="151" t="n"/>
      <c r="CA23" s="151" t="n"/>
      <c r="CB23" s="151" t="n"/>
      <c r="CC23" s="151" t="n"/>
      <c r="CD23" s="151" t="n"/>
      <c r="CE23" s="151" t="n"/>
      <c r="CF23" s="151" t="n"/>
      <c r="CG23" s="151" t="n"/>
      <c r="CH23" s="151" t="n"/>
      <c r="CI23" s="151" t="n"/>
      <c r="CJ23" s="151" t="n"/>
      <c r="CK23" s="151" t="n"/>
      <c r="CL23" s="151" t="n"/>
      <c r="CM23" s="151" t="n"/>
      <c r="CN23" s="151" t="n"/>
      <c r="CO23" s="151" t="n"/>
      <c r="CP23" s="151" t="n"/>
      <c r="CQ23" s="151" t="n"/>
      <c r="CR23" s="151" t="n"/>
      <c r="CS23" s="151" t="n"/>
      <c r="CT23" s="151" t="n"/>
      <c r="CU23" s="151" t="n"/>
      <c r="CV23" s="151" t="n"/>
      <c r="CW23" s="151" t="n"/>
      <c r="CX23" s="151" t="n"/>
      <c r="CY23" s="151" t="n"/>
      <c r="CZ23" s="151" t="n"/>
      <c r="DA23" s="151" t="n"/>
      <c r="DB23" s="151" t="n"/>
      <c r="DC23" s="151" t="n"/>
      <c r="DD23" s="151" t="n"/>
      <c r="DE23" s="151" t="n"/>
      <c r="DF23" s="151" t="n"/>
      <c r="DG23" s="151" t="n"/>
      <c r="DH23" s="151" t="n"/>
      <c r="DI23" s="151" t="n"/>
      <c r="DJ23" s="151" t="n"/>
      <c r="DK23" s="151" t="n"/>
      <c r="DL23" s="151" t="n"/>
      <c r="DM23" s="151" t="n"/>
      <c r="DN23" s="151" t="n"/>
      <c r="DO23" s="151" t="n"/>
      <c r="DP23" s="151" t="n"/>
      <c r="DQ23" s="151" t="n"/>
      <c r="DR23" s="151" t="n"/>
      <c r="DS23" s="151" t="n"/>
      <c r="DT23" s="151" t="n"/>
      <c r="DU23" s="151" t="n"/>
      <c r="DV23" s="151" t="n"/>
      <c r="DW23" s="151" t="n"/>
      <c r="DX23" s="151" t="n"/>
      <c r="DY23" s="151" t="n"/>
      <c r="DZ23" s="151" t="n"/>
      <c r="EA23" s="151" t="n"/>
      <c r="EB23" s="151" t="n"/>
      <c r="EC23" s="151" t="n"/>
      <c r="ED23" s="151" t="n"/>
      <c r="EE23" s="151" t="n"/>
      <c r="EF23" s="151" t="n"/>
      <c r="EG23" s="151" t="n"/>
      <c r="EH23" s="151" t="n"/>
      <c r="EI23" s="151" t="n"/>
      <c r="EJ23" s="151" t="n"/>
      <c r="EK23" s="151" t="n"/>
      <c r="EL23" s="151" t="n"/>
      <c r="EM23" s="151" t="n"/>
      <c r="EN23" s="151" t="n"/>
      <c r="EO23" s="151" t="n"/>
      <c r="EP23" s="151" t="n"/>
      <c r="EQ23" s="151" t="n"/>
      <c r="ER23" s="151" t="n"/>
      <c r="ES23" s="151" t="n"/>
      <c r="ET23" s="151" t="n"/>
      <c r="EU23" s="151" t="n"/>
      <c r="EV23" s="151" t="n"/>
      <c r="EW23" s="151" t="n"/>
      <c r="EX23" s="151" t="n"/>
      <c r="EY23" s="151" t="n"/>
      <c r="EZ23" s="151" t="n"/>
      <c r="FA23" s="151" t="n"/>
      <c r="FB23" s="151" t="n"/>
      <c r="FC23" s="151" t="n"/>
      <c r="FD23" s="151" t="n"/>
      <c r="FE23" s="151" t="n"/>
      <c r="FF23" s="151" t="n"/>
      <c r="FG23" s="151" t="n"/>
      <c r="FH23" s="151" t="n"/>
      <c r="FI23" s="151" t="n"/>
      <c r="FJ23" s="151" t="n"/>
      <c r="FK23" s="151" t="n"/>
      <c r="FL23" s="151" t="n"/>
      <c r="FM23" s="151" t="n"/>
      <c r="FN23" s="151" t="n"/>
      <c r="FO23" s="151" t="n"/>
      <c r="FP23" s="151" t="n"/>
      <c r="FQ23" s="151" t="n"/>
      <c r="FR23" s="151" t="n"/>
      <c r="FS23" s="151" t="n"/>
      <c r="FT23" s="151" t="n"/>
      <c r="FU23" s="151" t="n"/>
      <c r="FV23" s="151" t="n"/>
      <c r="FW23" s="151" t="n"/>
      <c r="FX23" s="151" t="n"/>
      <c r="FY23" s="151" t="n"/>
      <c r="FZ23" s="151" t="n"/>
      <c r="GA23" s="151" t="n"/>
      <c r="GB23" s="151" t="n"/>
      <c r="GC23" s="151" t="n"/>
      <c r="GD23" s="151" t="n"/>
      <c r="GE23" s="151" t="n"/>
      <c r="GF23" s="151" t="n"/>
      <c r="GG23" s="151" t="n"/>
      <c r="GH23" s="151" t="n"/>
    </row>
    <row r="24" ht="30.2" customHeight="1" s="2" thickBot="1">
      <c r="A24" s="1091" t="inlineStr">
        <is>
          <t>KC Anisha</t>
        </is>
      </c>
      <c r="B24" s="1046" t="n">
        <v>2100</v>
      </c>
      <c r="C24" s="963" t="n">
        <v>800</v>
      </c>
      <c r="D24" s="963" t="n">
        <v>800</v>
      </c>
      <c r="E24" s="963" t="n"/>
      <c r="F24" s="964" t="n"/>
      <c r="G24" s="964" t="n"/>
      <c r="H24" s="964" t="n"/>
      <c r="I24" s="963" t="n"/>
      <c r="J24" s="962" t="n"/>
      <c r="K24" s="963" t="n"/>
      <c r="L24" s="963" t="n"/>
      <c r="M24" s="963" t="n">
        <v>3</v>
      </c>
      <c r="N24" s="964" t="n"/>
      <c r="O24" s="963" t="n">
        <v>2</v>
      </c>
      <c r="P24" s="963" t="n">
        <v>1</v>
      </c>
      <c r="Q24" s="1585" t="n"/>
      <c r="R24" s="1038">
        <f>B24+C24+D24+E24+F24+G24+H24+I24+K24+L24+J24</f>
        <v/>
      </c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  <c r="AO24" s="151" t="n"/>
      <c r="AP24" s="151" t="n"/>
      <c r="AQ24" s="151" t="n"/>
      <c r="AR24" s="151" t="n"/>
      <c r="AS24" s="151" t="n"/>
      <c r="AT24" s="151" t="n"/>
      <c r="AU24" s="151" t="n"/>
      <c r="AV24" s="151" t="n"/>
      <c r="AW24" s="151" t="n"/>
      <c r="AX24" s="151" t="n"/>
      <c r="AY24" s="151" t="n"/>
      <c r="AZ24" s="151" t="n"/>
      <c r="BA24" s="151" t="n"/>
      <c r="BB24" s="151" t="n"/>
      <c r="BC24" s="151" t="n"/>
      <c r="BD24" s="151" t="n"/>
      <c r="BE24" s="151" t="n"/>
      <c r="BF24" s="151" t="n"/>
      <c r="BG24" s="151" t="n"/>
      <c r="BH24" s="151" t="n"/>
      <c r="BI24" s="151" t="n"/>
      <c r="BJ24" s="151" t="n"/>
      <c r="BK24" s="151" t="n"/>
      <c r="BL24" s="151" t="n"/>
      <c r="BM24" s="151" t="n"/>
      <c r="BN24" s="151" t="n"/>
      <c r="BO24" s="151" t="n"/>
      <c r="BP24" s="151" t="n"/>
      <c r="BQ24" s="151" t="n"/>
      <c r="BR24" s="151" t="n"/>
      <c r="BS24" s="151" t="n"/>
      <c r="BT24" s="151" t="n"/>
      <c r="BU24" s="151" t="n"/>
      <c r="BV24" s="151" t="n"/>
      <c r="BW24" s="151" t="n"/>
      <c r="BX24" s="151" t="n"/>
      <c r="BY24" s="151" t="n"/>
      <c r="BZ24" s="151" t="n"/>
      <c r="CA24" s="151" t="n"/>
      <c r="CB24" s="151" t="n"/>
      <c r="CC24" s="151" t="n"/>
      <c r="CD24" s="151" t="n"/>
      <c r="CE24" s="151" t="n"/>
      <c r="CF24" s="151" t="n"/>
      <c r="CG24" s="151" t="n"/>
      <c r="CH24" s="151" t="n"/>
      <c r="CI24" s="151" t="n"/>
      <c r="CJ24" s="151" t="n"/>
      <c r="CK24" s="151" t="n"/>
      <c r="CL24" s="151" t="n"/>
      <c r="CM24" s="151" t="n"/>
      <c r="CN24" s="151" t="n"/>
      <c r="CO24" s="151" t="n"/>
      <c r="CP24" s="151" t="n"/>
      <c r="CQ24" s="151" t="n"/>
      <c r="CR24" s="151" t="n"/>
      <c r="CS24" s="151" t="n"/>
      <c r="CT24" s="151" t="n"/>
      <c r="CU24" s="151" t="n"/>
      <c r="CV24" s="151" t="n"/>
      <c r="CW24" s="151" t="n"/>
      <c r="CX24" s="151" t="n"/>
      <c r="CY24" s="151" t="n"/>
      <c r="CZ24" s="151" t="n"/>
      <c r="DA24" s="151" t="n"/>
      <c r="DB24" s="151" t="n"/>
      <c r="DC24" s="151" t="n"/>
      <c r="DD24" s="151" t="n"/>
      <c r="DE24" s="151" t="n"/>
      <c r="DF24" s="151" t="n"/>
      <c r="DG24" s="151" t="n"/>
      <c r="DH24" s="151" t="n"/>
      <c r="DI24" s="151" t="n"/>
      <c r="DJ24" s="151" t="n"/>
      <c r="DK24" s="151" t="n"/>
      <c r="DL24" s="151" t="n"/>
      <c r="DM24" s="151" t="n"/>
      <c r="DN24" s="151" t="n"/>
      <c r="DO24" s="151" t="n"/>
      <c r="DP24" s="150" t="n"/>
      <c r="DQ24" s="150" t="n"/>
      <c r="DR24" s="150" t="n"/>
      <c r="DS24" s="150" t="n"/>
      <c r="DT24" s="150" t="n"/>
      <c r="DU24" s="150" t="n"/>
      <c r="DV24" s="150" t="n"/>
      <c r="DW24" s="150" t="n"/>
      <c r="DX24" s="150" t="n"/>
      <c r="DY24" s="150" t="n"/>
      <c r="DZ24" s="150" t="n"/>
      <c r="EA24" s="150" t="n"/>
      <c r="EB24" s="150" t="n"/>
      <c r="EC24" s="150" t="n"/>
      <c r="ED24" s="150" t="n"/>
      <c r="EE24" s="150" t="n"/>
      <c r="EF24" s="150" t="n"/>
      <c r="EG24" s="150" t="n"/>
      <c r="EH24" s="150" t="n"/>
      <c r="EI24" s="150" t="n"/>
      <c r="EJ24" s="150" t="n"/>
      <c r="EK24" s="150" t="n"/>
      <c r="EL24" s="150" t="n"/>
      <c r="EM24" s="150" t="n"/>
      <c r="EN24" s="150" t="n"/>
      <c r="EO24" s="150" t="n"/>
      <c r="EP24" s="150" t="n"/>
      <c r="EQ24" s="150" t="n"/>
      <c r="ER24" s="150" t="n"/>
      <c r="ES24" s="150" t="n"/>
      <c r="ET24" s="150" t="n"/>
      <c r="EU24" s="150" t="n"/>
      <c r="EV24" s="150" t="n"/>
      <c r="EW24" s="150" t="n"/>
      <c r="EX24" s="150" t="n"/>
      <c r="EY24" s="150" t="n"/>
      <c r="EZ24" s="150" t="n"/>
      <c r="FA24" s="150" t="n"/>
      <c r="FB24" s="150" t="n"/>
      <c r="FC24" s="150" t="n"/>
      <c r="FD24" s="150" t="n"/>
      <c r="FE24" s="150" t="n"/>
      <c r="FF24" s="150" t="n"/>
      <c r="FG24" s="150" t="n"/>
      <c r="FH24" s="150" t="n"/>
      <c r="FI24" s="150" t="n"/>
      <c r="FJ24" s="150" t="n"/>
      <c r="FK24" s="150" t="n"/>
      <c r="FL24" s="150" t="n"/>
      <c r="FM24" s="150" t="n"/>
      <c r="FN24" s="150" t="n"/>
      <c r="FO24" s="150" t="n"/>
      <c r="FP24" s="150" t="n"/>
      <c r="FQ24" s="150" t="n"/>
      <c r="FR24" s="150" t="n"/>
      <c r="FS24" s="150" t="n"/>
      <c r="FT24" s="150" t="n"/>
      <c r="FU24" s="150" t="n"/>
      <c r="FV24" s="150" t="n"/>
      <c r="FW24" s="150" t="n"/>
      <c r="FX24" s="150" t="n"/>
      <c r="FY24" s="150" t="n"/>
      <c r="FZ24" s="150" t="n"/>
      <c r="GA24" s="150" t="n"/>
      <c r="GB24" s="150" t="n"/>
      <c r="GC24" s="150" t="n"/>
      <c r="GD24" s="150" t="n"/>
      <c r="GE24" s="150" t="n"/>
      <c r="GF24" s="150" t="n"/>
      <c r="GG24" s="150" t="n"/>
      <c r="GH24" s="150" t="n"/>
    </row>
    <row r="25" ht="30.2" customHeight="1" s="2">
      <c r="A25" s="1091" t="inlineStr">
        <is>
          <t>KCSulav</t>
        </is>
      </c>
      <c r="B25" s="1046" t="n"/>
      <c r="C25" s="963" t="n"/>
      <c r="D25" s="963" t="n"/>
      <c r="E25" s="963" t="n"/>
      <c r="F25" s="964" t="n"/>
      <c r="G25" s="964" t="n"/>
      <c r="H25" s="964" t="n"/>
      <c r="I25" s="963" t="n"/>
      <c r="J25" s="962" t="n"/>
      <c r="K25" s="963" t="n"/>
      <c r="L25" s="963" t="n">
        <v>3800</v>
      </c>
      <c r="M25" s="963" t="n"/>
      <c r="N25" s="964" t="n"/>
      <c r="O25" s="963" t="n"/>
      <c r="P25" s="963" t="n"/>
      <c r="Q25" s="1585" t="n"/>
      <c r="R25" s="955">
        <f>(B25+C25+D25+E25+F25+G25+H25+I25+K25+L25+J25)+(E26+F26+H26+I26)</f>
        <v/>
      </c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  <c r="AO25" s="151" t="n"/>
      <c r="AP25" s="151" t="n"/>
      <c r="AQ25" s="151" t="n"/>
      <c r="AR25" s="151" t="n"/>
      <c r="AS25" s="151" t="n"/>
      <c r="AT25" s="151" t="n"/>
      <c r="AU25" s="151" t="n"/>
      <c r="AV25" s="151" t="n"/>
      <c r="AW25" s="151" t="n"/>
      <c r="AX25" s="151" t="n"/>
      <c r="AY25" s="151" t="n"/>
      <c r="AZ25" s="151" t="n"/>
      <c r="BA25" s="151" t="n"/>
      <c r="BB25" s="151" t="n"/>
      <c r="BC25" s="151" t="n"/>
      <c r="BD25" s="151" t="n"/>
      <c r="BE25" s="151" t="n"/>
      <c r="BF25" s="151" t="n"/>
      <c r="BG25" s="151" t="n"/>
      <c r="BH25" s="151" t="n"/>
      <c r="BI25" s="151" t="n"/>
      <c r="BJ25" s="151" t="n"/>
      <c r="BK25" s="151" t="n"/>
      <c r="BL25" s="151" t="n"/>
      <c r="BM25" s="151" t="n"/>
      <c r="BN25" s="151" t="n"/>
      <c r="BO25" s="151" t="n"/>
      <c r="BP25" s="151" t="n"/>
      <c r="BQ25" s="151" t="n"/>
      <c r="BR25" s="151" t="n"/>
      <c r="BS25" s="151" t="n"/>
      <c r="BT25" s="151" t="n"/>
      <c r="BU25" s="151" t="n"/>
      <c r="BV25" s="151" t="n"/>
      <c r="BW25" s="151" t="n"/>
      <c r="BX25" s="151" t="n"/>
      <c r="BY25" s="151" t="n"/>
      <c r="BZ25" s="151" t="n"/>
      <c r="CA25" s="151" t="n"/>
      <c r="CB25" s="151" t="n"/>
      <c r="CC25" s="151" t="n"/>
      <c r="CD25" s="151" t="n"/>
      <c r="CE25" s="151" t="n"/>
      <c r="CF25" s="151" t="n"/>
      <c r="CG25" s="151" t="n"/>
      <c r="CH25" s="151" t="n"/>
      <c r="CI25" s="151" t="n"/>
      <c r="CJ25" s="151" t="n"/>
      <c r="CK25" s="151" t="n"/>
      <c r="CL25" s="151" t="n"/>
      <c r="CM25" s="151" t="n"/>
      <c r="CN25" s="151" t="n"/>
      <c r="CO25" s="151" t="n"/>
      <c r="CP25" s="151" t="n"/>
      <c r="CQ25" s="151" t="n"/>
      <c r="CR25" s="151" t="n"/>
      <c r="CS25" s="151" t="n"/>
      <c r="CT25" s="151" t="n"/>
      <c r="CU25" s="151" t="n"/>
      <c r="CV25" s="151" t="n"/>
      <c r="CW25" s="151" t="n"/>
      <c r="CX25" s="151" t="n"/>
      <c r="CY25" s="151" t="n"/>
      <c r="CZ25" s="151" t="n"/>
      <c r="DA25" s="151" t="n"/>
      <c r="DB25" s="151" t="n"/>
      <c r="DC25" s="151" t="n"/>
      <c r="DD25" s="151" t="n"/>
      <c r="DE25" s="151" t="n"/>
      <c r="DF25" s="151" t="n"/>
      <c r="DG25" s="151" t="n"/>
      <c r="DH25" s="151" t="n"/>
      <c r="DI25" s="151" t="n"/>
      <c r="DJ25" s="151" t="n"/>
      <c r="DK25" s="151" t="n"/>
      <c r="DL25" s="151" t="n"/>
      <c r="DM25" s="151" t="n"/>
      <c r="DN25" s="151" t="n"/>
      <c r="DO25" s="151" t="n"/>
      <c r="DP25" s="150" t="n"/>
      <c r="DQ25" s="150" t="n"/>
      <c r="DR25" s="150" t="n"/>
      <c r="DS25" s="150" t="n"/>
      <c r="DT25" s="150" t="n"/>
      <c r="DU25" s="150" t="n"/>
      <c r="DV25" s="150" t="n"/>
      <c r="DW25" s="150" t="n"/>
      <c r="DX25" s="150" t="n"/>
      <c r="DY25" s="150" t="n"/>
      <c r="DZ25" s="150" t="n"/>
      <c r="EA25" s="150" t="n"/>
      <c r="EB25" s="150" t="n"/>
      <c r="EC25" s="150" t="n"/>
      <c r="ED25" s="150" t="n"/>
      <c r="EE25" s="150" t="n"/>
      <c r="EF25" s="150" t="n"/>
      <c r="EG25" s="150" t="n"/>
      <c r="EH25" s="150" t="n"/>
      <c r="EI25" s="150" t="n"/>
      <c r="EJ25" s="150" t="n"/>
      <c r="EK25" s="150" t="n"/>
      <c r="EL25" s="150" t="n"/>
      <c r="EM25" s="150" t="n"/>
      <c r="EN25" s="150" t="n"/>
      <c r="EO25" s="150" t="n"/>
      <c r="EP25" s="150" t="n"/>
      <c r="EQ25" s="150" t="n"/>
      <c r="ER25" s="150" t="n"/>
      <c r="ES25" s="150" t="n"/>
      <c r="ET25" s="150" t="n"/>
      <c r="EU25" s="150" t="n"/>
      <c r="EV25" s="150" t="n"/>
      <c r="EW25" s="150" t="n"/>
      <c r="EX25" s="150" t="n"/>
      <c r="EY25" s="150" t="n"/>
      <c r="EZ25" s="150" t="n"/>
      <c r="FA25" s="150" t="n"/>
      <c r="FB25" s="150" t="n"/>
      <c r="FC25" s="150" t="n"/>
      <c r="FD25" s="150" t="n"/>
      <c r="FE25" s="150" t="n"/>
      <c r="FF25" s="150" t="n"/>
      <c r="FG25" s="150" t="n"/>
      <c r="FH25" s="150" t="n"/>
      <c r="FI25" s="150" t="n"/>
      <c r="FJ25" s="150" t="n"/>
      <c r="FK25" s="150" t="n"/>
      <c r="FL25" s="150" t="n"/>
      <c r="FM25" s="150" t="n"/>
      <c r="FN25" s="150" t="n"/>
      <c r="FO25" s="150" t="n"/>
      <c r="FP25" s="150" t="n"/>
      <c r="FQ25" s="150" t="n"/>
      <c r="FR25" s="150" t="n"/>
      <c r="FS25" s="150" t="n"/>
      <c r="FT25" s="150" t="n"/>
      <c r="FU25" s="150" t="n"/>
      <c r="FV25" s="150" t="n"/>
      <c r="FW25" s="150" t="n"/>
      <c r="FX25" s="150" t="n"/>
      <c r="FY25" s="150" t="n"/>
      <c r="FZ25" s="150" t="n"/>
      <c r="GA25" s="150" t="n"/>
      <c r="GB25" s="150" t="n"/>
      <c r="GC25" s="150" t="n"/>
      <c r="GD25" s="150" t="n"/>
      <c r="GE25" s="150" t="n"/>
      <c r="GF25" s="150" t="n"/>
      <c r="GG25" s="150" t="n"/>
      <c r="GH25" s="150" t="n"/>
    </row>
    <row r="26" ht="30.2" customHeight="1" s="2" thickBot="1">
      <c r="A26" s="1107" t="n"/>
      <c r="B26" s="1108" t="n"/>
      <c r="C26" s="1109" t="n"/>
      <c r="D26" s="1109" t="n"/>
      <c r="E26" s="1110" t="n"/>
      <c r="F26" s="1111" t="n"/>
      <c r="G26" s="1112" t="n"/>
      <c r="H26" s="1111" t="n"/>
      <c r="I26" s="1110" t="n"/>
      <c r="J26" s="1109" t="n"/>
      <c r="K26" s="1109" t="n"/>
      <c r="L26" s="1109" t="n"/>
      <c r="M26" s="1109" t="n"/>
      <c r="N26" s="1112" t="n"/>
      <c r="O26" s="1109" t="n"/>
      <c r="P26" s="1109" t="n"/>
      <c r="Q26" s="1587" t="n"/>
      <c r="R26" s="1114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  <c r="AO26" s="151" t="n"/>
      <c r="AP26" s="151" t="n"/>
      <c r="AQ26" s="151" t="n"/>
      <c r="AR26" s="151" t="n"/>
      <c r="AS26" s="151" t="n"/>
      <c r="AT26" s="151" t="n"/>
      <c r="AU26" s="151" t="n"/>
      <c r="AV26" s="151" t="n"/>
      <c r="AW26" s="151" t="n"/>
      <c r="AX26" s="151" t="n"/>
      <c r="AY26" s="151" t="n"/>
      <c r="AZ26" s="151" t="n"/>
      <c r="BA26" s="151" t="n"/>
      <c r="BB26" s="151" t="n"/>
      <c r="BC26" s="151" t="n"/>
      <c r="BD26" s="151" t="n"/>
      <c r="BE26" s="151" t="n"/>
      <c r="BF26" s="151" t="n"/>
      <c r="BG26" s="151" t="n"/>
      <c r="BH26" s="151" t="n"/>
      <c r="BI26" s="151" t="n"/>
      <c r="BJ26" s="151" t="n"/>
      <c r="BK26" s="151" t="n"/>
      <c r="BL26" s="151" t="n"/>
      <c r="BM26" s="151" t="n"/>
      <c r="BN26" s="151" t="n"/>
      <c r="BO26" s="151" t="n"/>
      <c r="BP26" s="151" t="n"/>
      <c r="BQ26" s="151" t="n"/>
      <c r="BR26" s="151" t="n"/>
      <c r="BS26" s="151" t="n"/>
      <c r="BT26" s="151" t="n"/>
      <c r="BU26" s="151" t="n"/>
      <c r="BV26" s="151" t="n"/>
      <c r="BW26" s="151" t="n"/>
      <c r="BX26" s="151" t="n"/>
      <c r="BY26" s="151" t="n"/>
      <c r="BZ26" s="151" t="n"/>
      <c r="CA26" s="151" t="n"/>
      <c r="CB26" s="151" t="n"/>
      <c r="CC26" s="151" t="n"/>
      <c r="CD26" s="151" t="n"/>
      <c r="CE26" s="151" t="n"/>
      <c r="CF26" s="151" t="n"/>
      <c r="CG26" s="151" t="n"/>
      <c r="CH26" s="151" t="n"/>
      <c r="CI26" s="151" t="n"/>
      <c r="CJ26" s="151" t="n"/>
      <c r="CK26" s="151" t="n"/>
      <c r="CL26" s="151" t="n"/>
      <c r="CM26" s="151" t="n"/>
      <c r="CN26" s="151" t="n"/>
      <c r="CO26" s="151" t="n"/>
      <c r="CP26" s="151" t="n"/>
      <c r="CQ26" s="151" t="n"/>
      <c r="CR26" s="151" t="n"/>
      <c r="CS26" s="151" t="n"/>
      <c r="CT26" s="151" t="n"/>
      <c r="CU26" s="151" t="n"/>
      <c r="CV26" s="151" t="n"/>
      <c r="CW26" s="151" t="n"/>
      <c r="CX26" s="151" t="n"/>
      <c r="CY26" s="151" t="n"/>
      <c r="CZ26" s="151" t="n"/>
      <c r="DA26" s="151" t="n"/>
      <c r="DB26" s="151" t="n"/>
      <c r="DC26" s="151" t="n"/>
      <c r="DD26" s="151" t="n"/>
      <c r="DE26" s="151" t="n"/>
      <c r="DF26" s="151" t="n"/>
      <c r="DG26" s="151" t="n"/>
      <c r="DH26" s="151" t="n"/>
      <c r="DI26" s="151" t="n"/>
      <c r="DJ26" s="151" t="n"/>
      <c r="DK26" s="151" t="n"/>
      <c r="DL26" s="151" t="n"/>
      <c r="DM26" s="151" t="n"/>
      <c r="DN26" s="151" t="n"/>
      <c r="DO26" s="151" t="n"/>
      <c r="DP26" s="150" t="n"/>
      <c r="DQ26" s="150" t="n"/>
      <c r="DR26" s="150" t="n"/>
      <c r="DS26" s="150" t="n"/>
      <c r="DT26" s="150" t="n"/>
      <c r="DU26" s="150" t="n"/>
      <c r="DV26" s="150" t="n"/>
      <c r="DW26" s="150" t="n"/>
      <c r="DX26" s="150" t="n"/>
      <c r="DY26" s="150" t="n"/>
      <c r="DZ26" s="150" t="n"/>
      <c r="EA26" s="150" t="n"/>
      <c r="EB26" s="150" t="n"/>
      <c r="EC26" s="150" t="n"/>
      <c r="ED26" s="150" t="n"/>
      <c r="EE26" s="150" t="n"/>
      <c r="EF26" s="150" t="n"/>
      <c r="EG26" s="150" t="n"/>
      <c r="EH26" s="150" t="n"/>
      <c r="EI26" s="150" t="n"/>
      <c r="EJ26" s="150" t="n"/>
      <c r="EK26" s="150" t="n"/>
      <c r="EL26" s="150" t="n"/>
      <c r="EM26" s="150" t="n"/>
      <c r="EN26" s="150" t="n"/>
      <c r="EO26" s="150" t="n"/>
      <c r="EP26" s="150" t="n"/>
      <c r="EQ26" s="150" t="n"/>
      <c r="ER26" s="150" t="n"/>
      <c r="ES26" s="150" t="n"/>
      <c r="ET26" s="150" t="n"/>
      <c r="EU26" s="150" t="n"/>
      <c r="EV26" s="150" t="n"/>
      <c r="EW26" s="150" t="n"/>
      <c r="EX26" s="150" t="n"/>
      <c r="EY26" s="150" t="n"/>
      <c r="EZ26" s="150" t="n"/>
      <c r="FA26" s="150" t="n"/>
      <c r="FB26" s="150" t="n"/>
      <c r="FC26" s="150" t="n"/>
      <c r="FD26" s="150" t="n"/>
      <c r="FE26" s="150" t="n"/>
      <c r="FF26" s="150" t="n"/>
      <c r="FG26" s="150" t="n"/>
      <c r="FH26" s="150" t="n"/>
      <c r="FI26" s="150" t="n"/>
      <c r="FJ26" s="150" t="n"/>
      <c r="FK26" s="150" t="n"/>
      <c r="FL26" s="150" t="n"/>
      <c r="FM26" s="150" t="n"/>
      <c r="FN26" s="150" t="n"/>
      <c r="FO26" s="150" t="n"/>
      <c r="FP26" s="150" t="n"/>
      <c r="FQ26" s="150" t="n"/>
      <c r="FR26" s="150" t="n"/>
      <c r="FS26" s="150" t="n"/>
      <c r="FT26" s="150" t="n"/>
      <c r="FU26" s="150" t="n"/>
      <c r="FV26" s="150" t="n"/>
      <c r="FW26" s="150" t="n"/>
      <c r="FX26" s="150" t="n"/>
      <c r="FY26" s="150" t="n"/>
      <c r="FZ26" s="150" t="n"/>
      <c r="GA26" s="150" t="n"/>
      <c r="GB26" s="150" t="n"/>
      <c r="GC26" s="150" t="n"/>
      <c r="GD26" s="150" t="n"/>
      <c r="GE26" s="150" t="n"/>
      <c r="GF26" s="150" t="n"/>
      <c r="GG26" s="150" t="n"/>
      <c r="GH26" s="150" t="n"/>
    </row>
    <row r="27" ht="30.2" customFormat="1" customHeight="1" s="882">
      <c r="A27" s="1091" t="inlineStr">
        <is>
          <t>KHATRI, Sanjay</t>
        </is>
      </c>
      <c r="B27" s="1046" t="n">
        <v>3650</v>
      </c>
      <c r="C27" s="963" t="n"/>
      <c r="D27" s="963" t="n"/>
      <c r="E27" s="963" t="n"/>
      <c r="F27" s="964" t="n"/>
      <c r="G27" s="964" t="n"/>
      <c r="H27" s="964" t="n"/>
      <c r="I27" s="963" t="n"/>
      <c r="J27" s="962" t="n"/>
      <c r="K27" s="963" t="n">
        <v>150</v>
      </c>
      <c r="L27" s="963" t="n"/>
      <c r="M27" s="963" t="n">
        <v>15</v>
      </c>
      <c r="N27" s="964" t="n"/>
      <c r="O27" s="963" t="n"/>
      <c r="P27" s="963" t="n"/>
      <c r="Q27" s="1585" t="n"/>
      <c r="R27" s="955">
        <f>(B27+C27+D27+E27+F27+G27+H27+I27+K27+L27+J27)+(E28+F28+H28+I28)</f>
        <v/>
      </c>
      <c r="S27" s="1037" t="n"/>
      <c r="T27" s="1037" t="n"/>
      <c r="U27" s="1037" t="n"/>
      <c r="V27" s="1037" t="n"/>
      <c r="W27" s="1037" t="n"/>
      <c r="X27" s="1037" t="n"/>
      <c r="Y27" s="1037" t="n"/>
      <c r="Z27" s="1037" t="n"/>
      <c r="AA27" s="1037" t="n"/>
      <c r="AB27" s="1037" t="n"/>
      <c r="AC27" s="1037" t="n"/>
      <c r="AD27" s="1037" t="n"/>
      <c r="AE27" s="1037" t="n"/>
      <c r="AF27" s="1037" t="n"/>
      <c r="AG27" s="1037" t="n"/>
      <c r="AH27" s="1037" t="n"/>
      <c r="AI27" s="1037" t="n"/>
      <c r="AJ27" s="1037" t="n"/>
      <c r="AK27" s="1037" t="n"/>
      <c r="AL27" s="1037" t="n"/>
      <c r="AM27" s="1037" t="n"/>
      <c r="AN27" s="1037" t="n"/>
      <c r="AO27" s="1037" t="n"/>
      <c r="AP27" s="1037" t="n"/>
      <c r="AQ27" s="1037" t="n"/>
      <c r="AR27" s="1037" t="n"/>
      <c r="AS27" s="1037" t="n"/>
      <c r="AT27" s="1037" t="n"/>
      <c r="AU27" s="1037" t="n"/>
      <c r="AV27" s="1037" t="n"/>
      <c r="AW27" s="1037" t="n"/>
      <c r="AX27" s="1037" t="n"/>
      <c r="AY27" s="1037" t="n"/>
      <c r="AZ27" s="1037" t="n"/>
      <c r="BA27" s="1037" t="n"/>
      <c r="BB27" s="1037" t="n"/>
      <c r="BC27" s="1037" t="n"/>
      <c r="BD27" s="1037" t="n"/>
      <c r="BE27" s="1037" t="n"/>
      <c r="BF27" s="1037" t="n"/>
      <c r="BG27" s="1037" t="n"/>
      <c r="BH27" s="1037" t="n"/>
      <c r="BI27" s="1037" t="n"/>
      <c r="BJ27" s="1037" t="n"/>
      <c r="BK27" s="1037" t="n"/>
      <c r="BL27" s="1037" t="n"/>
      <c r="BM27" s="1037" t="n"/>
      <c r="BN27" s="1037" t="n"/>
      <c r="BO27" s="1037" t="n"/>
      <c r="BP27" s="1037" t="n"/>
      <c r="BQ27" s="1037" t="n"/>
      <c r="BR27" s="1037" t="n"/>
      <c r="BS27" s="1037" t="n"/>
      <c r="BT27" s="1037" t="n"/>
      <c r="BU27" s="1037" t="n"/>
      <c r="BV27" s="1037" t="n"/>
      <c r="BW27" s="1037" t="n"/>
      <c r="BX27" s="1037" t="n"/>
      <c r="BY27" s="1037" t="n"/>
      <c r="BZ27" s="1037" t="n"/>
      <c r="CA27" s="1037" t="n"/>
      <c r="CB27" s="1037" t="n"/>
      <c r="CC27" s="1037" t="n"/>
      <c r="CD27" s="1037" t="n"/>
      <c r="CE27" s="1037" t="n"/>
      <c r="CF27" s="1037" t="n"/>
      <c r="CG27" s="1037" t="n"/>
      <c r="CH27" s="1037" t="n"/>
      <c r="CI27" s="1037" t="n"/>
      <c r="CJ27" s="1037" t="n"/>
      <c r="CK27" s="1037" t="n"/>
      <c r="CL27" s="1037" t="n"/>
      <c r="CM27" s="1037" t="n"/>
      <c r="CN27" s="1037" t="n"/>
      <c r="CO27" s="1037" t="n"/>
      <c r="CP27" s="1037" t="n"/>
      <c r="CQ27" s="1037" t="n"/>
      <c r="CR27" s="1037" t="n"/>
      <c r="CS27" s="1037" t="n"/>
      <c r="CT27" s="1037" t="n"/>
      <c r="CU27" s="1037" t="n"/>
      <c r="CV27" s="1037" t="n"/>
      <c r="CW27" s="1037" t="n"/>
      <c r="CX27" s="1037" t="n"/>
      <c r="CY27" s="1037" t="n"/>
      <c r="CZ27" s="1037" t="n"/>
      <c r="DA27" s="1037" t="n"/>
      <c r="DB27" s="1037" t="n"/>
      <c r="DC27" s="1037" t="n"/>
      <c r="DD27" s="1037" t="n"/>
      <c r="DE27" s="1037" t="n"/>
      <c r="DF27" s="1037" t="n"/>
      <c r="DG27" s="1037" t="n"/>
      <c r="DH27" s="1037" t="n"/>
      <c r="DI27" s="1037" t="n"/>
      <c r="DJ27" s="1037" t="n"/>
      <c r="DK27" s="1037" t="n"/>
      <c r="DL27" s="1037" t="n"/>
      <c r="DM27" s="1037" t="n"/>
      <c r="DN27" s="1037" t="n"/>
      <c r="DO27" s="1037" t="n"/>
      <c r="DP27" s="882" t="n"/>
      <c r="DQ27" s="882" t="n"/>
      <c r="DR27" s="882" t="n"/>
      <c r="DS27" s="882" t="n"/>
      <c r="DT27" s="882" t="n"/>
      <c r="DU27" s="882" t="n"/>
      <c r="DV27" s="882" t="n"/>
      <c r="DW27" s="882" t="n"/>
      <c r="DX27" s="882" t="n"/>
      <c r="DY27" s="882" t="n"/>
      <c r="DZ27" s="882" t="n"/>
      <c r="EA27" s="882" t="n"/>
      <c r="EB27" s="882" t="n"/>
      <c r="EC27" s="882" t="n"/>
      <c r="ED27" s="882" t="n"/>
      <c r="EE27" s="882" t="n"/>
      <c r="EF27" s="882" t="n"/>
      <c r="EG27" s="882" t="n"/>
      <c r="EH27" s="882" t="n"/>
      <c r="EI27" s="882" t="n"/>
      <c r="EJ27" s="882" t="n"/>
      <c r="EK27" s="882" t="n"/>
      <c r="EL27" s="882" t="n"/>
      <c r="EM27" s="882" t="n"/>
      <c r="EN27" s="882" t="n"/>
      <c r="EO27" s="882" t="n"/>
      <c r="EP27" s="882" t="n"/>
      <c r="EQ27" s="882" t="n"/>
      <c r="ER27" s="882" t="n"/>
      <c r="ES27" s="882" t="n"/>
      <c r="ET27" s="882" t="n"/>
      <c r="EU27" s="882" t="n"/>
      <c r="EV27" s="882" t="n"/>
      <c r="EW27" s="882" t="n"/>
      <c r="EX27" s="882" t="n"/>
      <c r="EY27" s="882" t="n"/>
      <c r="EZ27" s="882" t="n"/>
      <c r="FA27" s="882" t="n"/>
      <c r="FB27" s="882" t="n"/>
      <c r="FC27" s="882" t="n"/>
      <c r="FD27" s="882" t="n"/>
      <c r="FE27" s="882" t="n"/>
      <c r="FF27" s="882" t="n"/>
      <c r="FG27" s="882" t="n"/>
      <c r="FH27" s="882" t="n"/>
      <c r="FI27" s="882" t="n"/>
      <c r="FJ27" s="882" t="n"/>
      <c r="FK27" s="882" t="n"/>
      <c r="FL27" s="882" t="n"/>
      <c r="FM27" s="882" t="n"/>
      <c r="FN27" s="882" t="n"/>
      <c r="FO27" s="882" t="n"/>
      <c r="FP27" s="882" t="n"/>
      <c r="FQ27" s="882" t="n"/>
      <c r="FR27" s="882" t="n"/>
      <c r="FS27" s="882" t="n"/>
      <c r="FT27" s="882" t="n"/>
      <c r="FU27" s="882" t="n"/>
      <c r="FV27" s="882" t="n"/>
      <c r="FW27" s="882" t="n"/>
      <c r="FX27" s="882" t="n"/>
      <c r="FY27" s="882" t="n"/>
      <c r="FZ27" s="882" t="n"/>
      <c r="GA27" s="882" t="n"/>
      <c r="GB27" s="882" t="n"/>
      <c r="GC27" s="882" t="n"/>
      <c r="GD27" s="882" t="n"/>
      <c r="GE27" s="882" t="n"/>
      <c r="GF27" s="882" t="n"/>
      <c r="GG27" s="882" t="n"/>
      <c r="GH27" s="882" t="n"/>
    </row>
    <row r="28" ht="30.2" customFormat="1" customHeight="1" s="882" thickBot="1">
      <c r="A28" s="1107" t="n"/>
      <c r="B28" s="1108" t="n"/>
      <c r="C28" s="1109" t="n"/>
      <c r="D28" s="1109" t="n"/>
      <c r="E28" s="1110" t="n"/>
      <c r="F28" s="1111" t="n"/>
      <c r="G28" s="1112" t="n"/>
      <c r="H28" s="1111" t="n"/>
      <c r="I28" s="1110" t="n"/>
      <c r="J28" s="1109" t="n"/>
      <c r="K28" s="1109" t="n"/>
      <c r="L28" s="1109" t="n"/>
      <c r="M28" s="1109" t="n"/>
      <c r="N28" s="1112" t="n"/>
      <c r="O28" s="1109" t="n"/>
      <c r="P28" s="1109" t="n"/>
      <c r="Q28" s="1587" t="n"/>
      <c r="R28" s="1114" t="n"/>
      <c r="S28" s="1037" t="n"/>
      <c r="T28" s="1037" t="n"/>
      <c r="U28" s="1037" t="n"/>
      <c r="V28" s="1037" t="n"/>
      <c r="W28" s="1037" t="n"/>
      <c r="X28" s="1037" t="n"/>
      <c r="Y28" s="1037" t="n"/>
      <c r="Z28" s="1037" t="n"/>
      <c r="AA28" s="1037" t="n"/>
      <c r="AB28" s="1037" t="n"/>
      <c r="AC28" s="1037" t="n"/>
      <c r="AD28" s="1037" t="n"/>
      <c r="AE28" s="1037" t="n"/>
      <c r="AF28" s="1037" t="n"/>
      <c r="AG28" s="1037" t="n"/>
      <c r="AH28" s="1037" t="n"/>
      <c r="AI28" s="1037" t="n"/>
      <c r="AJ28" s="1037" t="n"/>
      <c r="AK28" s="1037" t="n"/>
      <c r="AL28" s="1037" t="n"/>
      <c r="AM28" s="1037" t="n"/>
      <c r="AN28" s="1037" t="n"/>
      <c r="AO28" s="1037" t="n"/>
      <c r="AP28" s="1037" t="n"/>
      <c r="AQ28" s="1037" t="n"/>
      <c r="AR28" s="1037" t="n"/>
      <c r="AS28" s="1037" t="n"/>
      <c r="AT28" s="1037" t="n"/>
      <c r="AU28" s="1037" t="n"/>
      <c r="AV28" s="1037" t="n"/>
      <c r="AW28" s="1037" t="n"/>
      <c r="AX28" s="1037" t="n"/>
      <c r="AY28" s="1037" t="n"/>
      <c r="AZ28" s="1037" t="n"/>
      <c r="BA28" s="1037" t="n"/>
      <c r="BB28" s="1037" t="n"/>
      <c r="BC28" s="1037" t="n"/>
      <c r="BD28" s="1037" t="n"/>
      <c r="BE28" s="1037" t="n"/>
      <c r="BF28" s="1037" t="n"/>
      <c r="BG28" s="1037" t="n"/>
      <c r="BH28" s="1037" t="n"/>
      <c r="BI28" s="1037" t="n"/>
      <c r="BJ28" s="1037" t="n"/>
      <c r="BK28" s="1037" t="n"/>
      <c r="BL28" s="1037" t="n"/>
      <c r="BM28" s="1037" t="n"/>
      <c r="BN28" s="1037" t="n"/>
      <c r="BO28" s="1037" t="n"/>
      <c r="BP28" s="1037" t="n"/>
      <c r="BQ28" s="1037" t="n"/>
      <c r="BR28" s="1037" t="n"/>
      <c r="BS28" s="1037" t="n"/>
      <c r="BT28" s="1037" t="n"/>
      <c r="BU28" s="1037" t="n"/>
      <c r="BV28" s="1037" t="n"/>
      <c r="BW28" s="1037" t="n"/>
      <c r="BX28" s="1037" t="n"/>
      <c r="BY28" s="1037" t="n"/>
      <c r="BZ28" s="1037" t="n"/>
      <c r="CA28" s="1037" t="n"/>
      <c r="CB28" s="1037" t="n"/>
      <c r="CC28" s="1037" t="n"/>
      <c r="CD28" s="1037" t="n"/>
      <c r="CE28" s="1037" t="n"/>
      <c r="CF28" s="1037" t="n"/>
      <c r="CG28" s="1037" t="n"/>
      <c r="CH28" s="1037" t="n"/>
      <c r="CI28" s="1037" t="n"/>
      <c r="CJ28" s="1037" t="n"/>
      <c r="CK28" s="1037" t="n"/>
      <c r="CL28" s="1037" t="n"/>
      <c r="CM28" s="1037" t="n"/>
      <c r="CN28" s="1037" t="n"/>
      <c r="CO28" s="1037" t="n"/>
      <c r="CP28" s="1037" t="n"/>
      <c r="CQ28" s="1037" t="n"/>
      <c r="CR28" s="1037" t="n"/>
      <c r="CS28" s="1037" t="n"/>
      <c r="CT28" s="1037" t="n"/>
      <c r="CU28" s="1037" t="n"/>
      <c r="CV28" s="1037" t="n"/>
      <c r="CW28" s="1037" t="n"/>
      <c r="CX28" s="1037" t="n"/>
      <c r="CY28" s="1037" t="n"/>
      <c r="CZ28" s="1037" t="n"/>
      <c r="DA28" s="1037" t="n"/>
      <c r="DB28" s="1037" t="n"/>
      <c r="DC28" s="1037" t="n"/>
      <c r="DD28" s="1037" t="n"/>
      <c r="DE28" s="1037" t="n"/>
      <c r="DF28" s="1037" t="n"/>
      <c r="DG28" s="1037" t="n"/>
      <c r="DH28" s="1037" t="n"/>
      <c r="DI28" s="1037" t="n"/>
      <c r="DJ28" s="1037" t="n"/>
      <c r="DK28" s="1037" t="n"/>
      <c r="DL28" s="1037" t="n"/>
      <c r="DM28" s="1037" t="n"/>
      <c r="DN28" s="1037" t="n"/>
      <c r="DO28" s="1037" t="n"/>
      <c r="DP28" s="882" t="n"/>
      <c r="DQ28" s="882" t="n"/>
      <c r="DR28" s="882" t="n"/>
      <c r="DS28" s="882" t="n"/>
      <c r="DT28" s="882" t="n"/>
      <c r="DU28" s="882" t="n"/>
      <c r="DV28" s="882" t="n"/>
      <c r="DW28" s="882" t="n"/>
      <c r="DX28" s="882" t="n"/>
      <c r="DY28" s="882" t="n"/>
      <c r="DZ28" s="882" t="n"/>
      <c r="EA28" s="882" t="n"/>
      <c r="EB28" s="882" t="n"/>
      <c r="EC28" s="882" t="n"/>
      <c r="ED28" s="882" t="n"/>
      <c r="EE28" s="882" t="n"/>
      <c r="EF28" s="882" t="n"/>
      <c r="EG28" s="882" t="n"/>
      <c r="EH28" s="882" t="n"/>
      <c r="EI28" s="882" t="n"/>
      <c r="EJ28" s="882" t="n"/>
      <c r="EK28" s="882" t="n"/>
      <c r="EL28" s="882" t="n"/>
      <c r="EM28" s="882" t="n"/>
      <c r="EN28" s="882" t="n"/>
      <c r="EO28" s="882" t="n"/>
      <c r="EP28" s="882" t="n"/>
      <c r="EQ28" s="882" t="n"/>
      <c r="ER28" s="882" t="n"/>
      <c r="ES28" s="882" t="n"/>
      <c r="ET28" s="882" t="n"/>
      <c r="EU28" s="882" t="n"/>
      <c r="EV28" s="882" t="n"/>
      <c r="EW28" s="882" t="n"/>
      <c r="EX28" s="882" t="n"/>
      <c r="EY28" s="882" t="n"/>
      <c r="EZ28" s="882" t="n"/>
      <c r="FA28" s="882" t="n"/>
      <c r="FB28" s="882" t="n"/>
      <c r="FC28" s="882" t="n"/>
      <c r="FD28" s="882" t="n"/>
      <c r="FE28" s="882" t="n"/>
      <c r="FF28" s="882" t="n"/>
      <c r="FG28" s="882" t="n"/>
      <c r="FH28" s="882" t="n"/>
      <c r="FI28" s="882" t="n"/>
      <c r="FJ28" s="882" t="n"/>
      <c r="FK28" s="882" t="n"/>
      <c r="FL28" s="882" t="n"/>
      <c r="FM28" s="882" t="n"/>
      <c r="FN28" s="882" t="n"/>
      <c r="FO28" s="882" t="n"/>
      <c r="FP28" s="882" t="n"/>
      <c r="FQ28" s="882" t="n"/>
      <c r="FR28" s="882" t="n"/>
      <c r="FS28" s="882" t="n"/>
      <c r="FT28" s="882" t="n"/>
      <c r="FU28" s="882" t="n"/>
      <c r="FV28" s="882" t="n"/>
      <c r="FW28" s="882" t="n"/>
      <c r="FX28" s="882" t="n"/>
      <c r="FY28" s="882" t="n"/>
      <c r="FZ28" s="882" t="n"/>
      <c r="GA28" s="882" t="n"/>
      <c r="GB28" s="882" t="n"/>
      <c r="GC28" s="882" t="n"/>
      <c r="GD28" s="882" t="n"/>
      <c r="GE28" s="882" t="n"/>
      <c r="GF28" s="882" t="n"/>
      <c r="GG28" s="882" t="n"/>
      <c r="GH28" s="882" t="n"/>
    </row>
    <row r="29" ht="30.2" customHeight="1" s="2">
      <c r="A29" s="1106" t="inlineStr">
        <is>
          <t>MAHMUD M M Ferdous</t>
        </is>
      </c>
      <c r="B29" s="1042" t="n">
        <v>3750</v>
      </c>
      <c r="C29" s="951" t="n"/>
      <c r="D29" s="951" t="n"/>
      <c r="E29" s="951" t="n"/>
      <c r="F29" s="952" t="n"/>
      <c r="G29" s="952" t="n"/>
      <c r="H29" s="952" t="n"/>
      <c r="I29" s="951" t="n"/>
      <c r="J29" s="953" t="n"/>
      <c r="K29" s="951" t="n"/>
      <c r="L29" s="951" t="n">
        <v>50</v>
      </c>
      <c r="M29" s="951" t="n">
        <v>15</v>
      </c>
      <c r="N29" s="952" t="n"/>
      <c r="O29" s="951" t="n"/>
      <c r="P29" s="951" t="n"/>
      <c r="Q29" s="1586" t="n"/>
      <c r="R29" s="955">
        <f>(B29+C29+D29+E29+F29+G29+H29+I29+K29+L29+J29)+(E30+F30+H30+I30)</f>
        <v/>
      </c>
      <c r="S29" s="151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1" t="n"/>
      <c r="AH29" s="151" t="n"/>
      <c r="AI29" s="151" t="n"/>
      <c r="AJ29" s="151" t="n"/>
      <c r="AK29" s="151" t="n"/>
      <c r="AL29" s="151" t="n"/>
      <c r="AM29" s="151" t="n"/>
      <c r="AN29" s="151" t="n"/>
      <c r="AO29" s="151" t="n"/>
      <c r="AP29" s="151" t="n"/>
      <c r="AQ29" s="151" t="n"/>
      <c r="AR29" s="151" t="n"/>
      <c r="AS29" s="151" t="n"/>
      <c r="AT29" s="151" t="n"/>
      <c r="AU29" s="151" t="n"/>
      <c r="AV29" s="151" t="n"/>
      <c r="AW29" s="151" t="n"/>
      <c r="AX29" s="151" t="n"/>
      <c r="AY29" s="151" t="n"/>
      <c r="AZ29" s="151" t="n"/>
      <c r="BA29" s="151" t="n"/>
      <c r="BB29" s="151" t="n"/>
      <c r="BC29" s="151" t="n"/>
      <c r="BD29" s="151" t="n"/>
      <c r="BE29" s="151" t="n"/>
      <c r="BF29" s="151" t="n"/>
      <c r="BG29" s="151" t="n"/>
      <c r="BH29" s="151" t="n"/>
      <c r="BI29" s="151" t="n"/>
      <c r="BJ29" s="151" t="n"/>
      <c r="BK29" s="151" t="n"/>
      <c r="BL29" s="151" t="n"/>
      <c r="BM29" s="151" t="n"/>
      <c r="BN29" s="151" t="n"/>
      <c r="BO29" s="151" t="n"/>
      <c r="BP29" s="151" t="n"/>
      <c r="BQ29" s="151" t="n"/>
      <c r="BR29" s="151" t="n"/>
      <c r="BS29" s="151" t="n"/>
      <c r="BT29" s="151" t="n"/>
      <c r="BU29" s="151" t="n"/>
      <c r="BV29" s="151" t="n"/>
      <c r="BW29" s="151" t="n"/>
      <c r="BX29" s="151" t="n"/>
      <c r="BY29" s="151" t="n"/>
      <c r="BZ29" s="151" t="n"/>
      <c r="CA29" s="151" t="n"/>
      <c r="CB29" s="151" t="n"/>
      <c r="CC29" s="151" t="n"/>
      <c r="CD29" s="151" t="n"/>
      <c r="CE29" s="151" t="n"/>
      <c r="CF29" s="151" t="n"/>
      <c r="CG29" s="151" t="n"/>
      <c r="CH29" s="151" t="n"/>
      <c r="CI29" s="151" t="n"/>
      <c r="CJ29" s="151" t="n"/>
      <c r="CK29" s="151" t="n"/>
      <c r="CL29" s="151" t="n"/>
      <c r="CM29" s="151" t="n"/>
      <c r="CN29" s="151" t="n"/>
      <c r="CO29" s="151" t="n"/>
      <c r="CP29" s="151" t="n"/>
      <c r="CQ29" s="151" t="n"/>
      <c r="CR29" s="151" t="n"/>
      <c r="CS29" s="151" t="n"/>
      <c r="CT29" s="151" t="n"/>
      <c r="CU29" s="151" t="n"/>
      <c r="CV29" s="151" t="n"/>
      <c r="CW29" s="151" t="n"/>
      <c r="CX29" s="151" t="n"/>
      <c r="CY29" s="151" t="n"/>
      <c r="CZ29" s="151" t="n"/>
      <c r="DA29" s="151" t="n"/>
      <c r="DB29" s="151" t="n"/>
      <c r="DC29" s="151" t="n"/>
      <c r="DD29" s="151" t="n"/>
      <c r="DE29" s="151" t="n"/>
      <c r="DF29" s="151" t="n"/>
      <c r="DG29" s="151" t="n"/>
      <c r="DH29" s="151" t="n"/>
      <c r="DI29" s="151" t="n"/>
      <c r="DJ29" s="151" t="n"/>
      <c r="DK29" s="151" t="n"/>
      <c r="DL29" s="151" t="n"/>
      <c r="DM29" s="151" t="n"/>
      <c r="DN29" s="151" t="n"/>
      <c r="DO29" s="151" t="n"/>
      <c r="DP29" s="150" t="n"/>
      <c r="DQ29" s="150" t="n"/>
      <c r="DR29" s="150" t="n"/>
      <c r="DS29" s="150" t="n"/>
      <c r="DT29" s="150" t="n"/>
      <c r="DU29" s="150" t="n"/>
      <c r="DV29" s="150" t="n"/>
      <c r="DW29" s="150" t="n"/>
      <c r="DX29" s="150" t="n"/>
      <c r="DY29" s="150" t="n"/>
      <c r="DZ29" s="150" t="n"/>
      <c r="EA29" s="150" t="n"/>
      <c r="EB29" s="150" t="n"/>
      <c r="EC29" s="150" t="n"/>
      <c r="ED29" s="150" t="n"/>
      <c r="EE29" s="150" t="n"/>
      <c r="EF29" s="150" t="n"/>
      <c r="EG29" s="150" t="n"/>
      <c r="EH29" s="150" t="n"/>
      <c r="EI29" s="150" t="n"/>
      <c r="EJ29" s="150" t="n"/>
      <c r="EK29" s="150" t="n"/>
      <c r="EL29" s="150" t="n"/>
      <c r="EM29" s="150" t="n"/>
      <c r="EN29" s="150" t="n"/>
      <c r="EO29" s="150" t="n"/>
      <c r="EP29" s="150" t="n"/>
      <c r="EQ29" s="150" t="n"/>
      <c r="ER29" s="150" t="n"/>
      <c r="ES29" s="150" t="n"/>
      <c r="ET29" s="150" t="n"/>
      <c r="EU29" s="150" t="n"/>
      <c r="EV29" s="150" t="n"/>
      <c r="EW29" s="150" t="n"/>
      <c r="EX29" s="150" t="n"/>
      <c r="EY29" s="150" t="n"/>
      <c r="EZ29" s="150" t="n"/>
      <c r="FA29" s="150" t="n"/>
      <c r="FB29" s="150" t="n"/>
      <c r="FC29" s="150" t="n"/>
      <c r="FD29" s="150" t="n"/>
      <c r="FE29" s="150" t="n"/>
      <c r="FF29" s="150" t="n"/>
      <c r="FG29" s="150" t="n"/>
      <c r="FH29" s="150" t="n"/>
      <c r="FI29" s="150" t="n"/>
      <c r="FJ29" s="150" t="n"/>
      <c r="FK29" s="150" t="n"/>
      <c r="FL29" s="150" t="n"/>
      <c r="FM29" s="150" t="n"/>
      <c r="FN29" s="150" t="n"/>
      <c r="FO29" s="150" t="n"/>
      <c r="FP29" s="150" t="n"/>
      <c r="FQ29" s="150" t="n"/>
      <c r="FR29" s="150" t="n"/>
      <c r="FS29" s="150" t="n"/>
      <c r="FT29" s="150" t="n"/>
      <c r="FU29" s="150" t="n"/>
      <c r="FV29" s="150" t="n"/>
      <c r="FW29" s="150" t="n"/>
      <c r="FX29" s="150" t="n"/>
      <c r="FY29" s="150" t="n"/>
      <c r="FZ29" s="150" t="n"/>
      <c r="GA29" s="150" t="n"/>
      <c r="GB29" s="150" t="n"/>
      <c r="GC29" s="150" t="n"/>
      <c r="GD29" s="150" t="n"/>
      <c r="GE29" s="150" t="n"/>
      <c r="GF29" s="150" t="n"/>
      <c r="GG29" s="150" t="n"/>
      <c r="GH29" s="150" t="n"/>
    </row>
    <row r="30" ht="30.2" customHeight="1" s="2" thickBot="1">
      <c r="A30" s="1107" t="n"/>
      <c r="B30" s="1108" t="n"/>
      <c r="C30" s="1109" t="n"/>
      <c r="D30" s="1109" t="n"/>
      <c r="E30" s="1110" t="n"/>
      <c r="F30" s="1111" t="n"/>
      <c r="G30" s="1112" t="n"/>
      <c r="H30" s="1111" t="n"/>
      <c r="I30" s="1110" t="n"/>
      <c r="J30" s="1109" t="n"/>
      <c r="K30" s="1109" t="n"/>
      <c r="L30" s="1109" t="n"/>
      <c r="M30" s="1109" t="n"/>
      <c r="N30" s="1112" t="n"/>
      <c r="O30" s="1109" t="n"/>
      <c r="P30" s="1109" t="n"/>
      <c r="Q30" s="1587" t="n"/>
      <c r="R30" s="1114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1" t="n"/>
      <c r="AH30" s="151" t="n"/>
      <c r="AI30" s="151" t="n"/>
      <c r="AJ30" s="151" t="n"/>
      <c r="AK30" s="151" t="n"/>
      <c r="AL30" s="151" t="n"/>
      <c r="AM30" s="151" t="n"/>
      <c r="AN30" s="151" t="n"/>
      <c r="AO30" s="151" t="n"/>
      <c r="AP30" s="151" t="n"/>
      <c r="AQ30" s="151" t="n"/>
      <c r="AR30" s="151" t="n"/>
      <c r="AS30" s="151" t="n"/>
      <c r="AT30" s="151" t="n"/>
      <c r="AU30" s="151" t="n"/>
      <c r="AV30" s="151" t="n"/>
      <c r="AW30" s="151" t="n"/>
      <c r="AX30" s="151" t="n"/>
      <c r="AY30" s="151" t="n"/>
      <c r="AZ30" s="151" t="n"/>
      <c r="BA30" s="151" t="n"/>
      <c r="BB30" s="151" t="n"/>
      <c r="BC30" s="151" t="n"/>
      <c r="BD30" s="151" t="n"/>
      <c r="BE30" s="151" t="n"/>
      <c r="BF30" s="151" t="n"/>
      <c r="BG30" s="151" t="n"/>
      <c r="BH30" s="151" t="n"/>
      <c r="BI30" s="151" t="n"/>
      <c r="BJ30" s="151" t="n"/>
      <c r="BK30" s="151" t="n"/>
      <c r="BL30" s="151" t="n"/>
      <c r="BM30" s="151" t="n"/>
      <c r="BN30" s="151" t="n"/>
      <c r="BO30" s="151" t="n"/>
      <c r="BP30" s="151" t="n"/>
      <c r="BQ30" s="151" t="n"/>
      <c r="BR30" s="151" t="n"/>
      <c r="BS30" s="151" t="n"/>
      <c r="BT30" s="151" t="n"/>
      <c r="BU30" s="151" t="n"/>
      <c r="BV30" s="151" t="n"/>
      <c r="BW30" s="151" t="n"/>
      <c r="BX30" s="151" t="n"/>
      <c r="BY30" s="151" t="n"/>
      <c r="BZ30" s="151" t="n"/>
      <c r="CA30" s="151" t="n"/>
      <c r="CB30" s="151" t="n"/>
      <c r="CC30" s="151" t="n"/>
      <c r="CD30" s="151" t="n"/>
      <c r="CE30" s="151" t="n"/>
      <c r="CF30" s="151" t="n"/>
      <c r="CG30" s="151" t="n"/>
      <c r="CH30" s="151" t="n"/>
      <c r="CI30" s="151" t="n"/>
      <c r="CJ30" s="151" t="n"/>
      <c r="CK30" s="151" t="n"/>
      <c r="CL30" s="151" t="n"/>
      <c r="CM30" s="151" t="n"/>
      <c r="CN30" s="151" t="n"/>
      <c r="CO30" s="151" t="n"/>
      <c r="CP30" s="151" t="n"/>
      <c r="CQ30" s="151" t="n"/>
      <c r="CR30" s="151" t="n"/>
      <c r="CS30" s="151" t="n"/>
      <c r="CT30" s="151" t="n"/>
      <c r="CU30" s="151" t="n"/>
      <c r="CV30" s="151" t="n"/>
      <c r="CW30" s="151" t="n"/>
      <c r="CX30" s="151" t="n"/>
      <c r="CY30" s="151" t="n"/>
      <c r="CZ30" s="151" t="n"/>
      <c r="DA30" s="151" t="n"/>
      <c r="DB30" s="151" t="n"/>
      <c r="DC30" s="151" t="n"/>
      <c r="DD30" s="151" t="n"/>
      <c r="DE30" s="151" t="n"/>
      <c r="DF30" s="151" t="n"/>
      <c r="DG30" s="151" t="n"/>
      <c r="DH30" s="151" t="n"/>
      <c r="DI30" s="151" t="n"/>
      <c r="DJ30" s="151" t="n"/>
      <c r="DK30" s="151" t="n"/>
      <c r="DL30" s="151" t="n"/>
      <c r="DM30" s="151" t="n"/>
      <c r="DN30" s="151" t="n"/>
      <c r="DO30" s="151" t="n"/>
      <c r="DP30" s="150" t="n"/>
      <c r="DQ30" s="150" t="n"/>
      <c r="DR30" s="150" t="n"/>
      <c r="DS30" s="150" t="n"/>
      <c r="DT30" s="150" t="n"/>
      <c r="DU30" s="150" t="n"/>
      <c r="DV30" s="150" t="n"/>
      <c r="DW30" s="150" t="n"/>
      <c r="DX30" s="150" t="n"/>
      <c r="DY30" s="150" t="n"/>
      <c r="DZ30" s="150" t="n"/>
      <c r="EA30" s="150" t="n"/>
      <c r="EB30" s="150" t="n"/>
      <c r="EC30" s="150" t="n"/>
      <c r="ED30" s="150" t="n"/>
      <c r="EE30" s="150" t="n"/>
      <c r="EF30" s="150" t="n"/>
      <c r="EG30" s="150" t="n"/>
      <c r="EH30" s="150" t="n"/>
      <c r="EI30" s="150" t="n"/>
      <c r="EJ30" s="150" t="n"/>
      <c r="EK30" s="150" t="n"/>
      <c r="EL30" s="150" t="n"/>
      <c r="EM30" s="150" t="n"/>
      <c r="EN30" s="150" t="n"/>
      <c r="EO30" s="150" t="n"/>
      <c r="EP30" s="150" t="n"/>
      <c r="EQ30" s="150" t="n"/>
      <c r="ER30" s="150" t="n"/>
      <c r="ES30" s="150" t="n"/>
      <c r="ET30" s="150" t="n"/>
      <c r="EU30" s="150" t="n"/>
      <c r="EV30" s="150" t="n"/>
      <c r="EW30" s="150" t="n"/>
      <c r="EX30" s="150" t="n"/>
      <c r="EY30" s="150" t="n"/>
      <c r="EZ30" s="150" t="n"/>
      <c r="FA30" s="150" t="n"/>
      <c r="FB30" s="150" t="n"/>
      <c r="FC30" s="150" t="n"/>
      <c r="FD30" s="150" t="n"/>
      <c r="FE30" s="150" t="n"/>
      <c r="FF30" s="150" t="n"/>
      <c r="FG30" s="150" t="n"/>
      <c r="FH30" s="150" t="n"/>
      <c r="FI30" s="150" t="n"/>
      <c r="FJ30" s="150" t="n"/>
      <c r="FK30" s="150" t="n"/>
      <c r="FL30" s="150" t="n"/>
      <c r="FM30" s="150" t="n"/>
      <c r="FN30" s="150" t="n"/>
      <c r="FO30" s="150" t="n"/>
      <c r="FP30" s="150" t="n"/>
      <c r="FQ30" s="150" t="n"/>
      <c r="FR30" s="150" t="n"/>
      <c r="FS30" s="150" t="n"/>
      <c r="FT30" s="150" t="n"/>
      <c r="FU30" s="150" t="n"/>
      <c r="FV30" s="150" t="n"/>
      <c r="FW30" s="150" t="n"/>
      <c r="FX30" s="150" t="n"/>
      <c r="FY30" s="150" t="n"/>
      <c r="FZ30" s="150" t="n"/>
      <c r="GA30" s="150" t="n"/>
      <c r="GB30" s="150" t="n"/>
      <c r="GC30" s="150" t="n"/>
      <c r="GD30" s="150" t="n"/>
      <c r="GE30" s="150" t="n"/>
      <c r="GF30" s="150" t="n"/>
      <c r="GG30" s="150" t="n"/>
      <c r="GH30" s="150" t="n"/>
    </row>
    <row r="31" ht="30.2" customHeight="1" s="2">
      <c r="A31" s="1233" t="inlineStr">
        <is>
          <t>MAJOHR, Jolie</t>
        </is>
      </c>
      <c r="B31" s="1041" t="n"/>
      <c r="C31" s="963" t="n"/>
      <c r="D31" s="963" t="n">
        <v>500</v>
      </c>
      <c r="E31" s="963" t="n"/>
      <c r="F31" s="964" t="n">
        <v>700</v>
      </c>
      <c r="G31" s="964" t="n"/>
      <c r="H31" s="964" t="n"/>
      <c r="I31" s="962" t="n"/>
      <c r="J31" s="963" t="n"/>
      <c r="K31" s="962" t="n"/>
      <c r="L31" s="962" t="n"/>
      <c r="M31" s="165" t="n">
        <v>2</v>
      </c>
      <c r="N31" s="964" t="n"/>
      <c r="O31" s="963" t="n"/>
      <c r="P31" s="963" t="n"/>
      <c r="Q31" s="1585" t="n"/>
      <c r="R31" s="1038">
        <f>B31+C31+D31+E31+F31+G31+H31+I31+K31+L31+J31</f>
        <v/>
      </c>
      <c r="S31" s="151" t="n"/>
      <c r="T31" s="151" t="n"/>
      <c r="U31" s="151" t="n"/>
      <c r="V31" s="151" t="n"/>
      <c r="W31" s="151" t="n"/>
      <c r="X31" s="151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1" t="n"/>
      <c r="AH31" s="151" t="n"/>
      <c r="AI31" s="151" t="n"/>
      <c r="AJ31" s="151" t="n"/>
      <c r="AK31" s="151" t="n"/>
      <c r="AL31" s="151" t="n"/>
      <c r="AM31" s="151" t="n"/>
      <c r="AN31" s="151" t="n"/>
      <c r="AO31" s="151" t="n"/>
      <c r="AP31" s="151" t="n"/>
      <c r="AQ31" s="151" t="n"/>
      <c r="AR31" s="151" t="n"/>
      <c r="AS31" s="151" t="n"/>
      <c r="AT31" s="151" t="n"/>
      <c r="AU31" s="151" t="n"/>
      <c r="AV31" s="151" t="n"/>
      <c r="AW31" s="151" t="n"/>
      <c r="AX31" s="151" t="n"/>
      <c r="AY31" s="151" t="n"/>
      <c r="AZ31" s="151" t="n"/>
      <c r="BA31" s="151" t="n"/>
      <c r="BB31" s="151" t="n"/>
      <c r="BC31" s="151" t="n"/>
      <c r="BD31" s="151" t="n"/>
      <c r="BE31" s="151" t="n"/>
      <c r="BF31" s="151" t="n"/>
      <c r="BG31" s="151" t="n"/>
      <c r="BH31" s="151" t="n"/>
      <c r="BI31" s="151" t="n"/>
      <c r="BJ31" s="151" t="n"/>
      <c r="BK31" s="151" t="n"/>
      <c r="BL31" s="151" t="n"/>
      <c r="BM31" s="151" t="n"/>
      <c r="BN31" s="151" t="n"/>
      <c r="BO31" s="151" t="n"/>
      <c r="BP31" s="151" t="n"/>
      <c r="BQ31" s="151" t="n"/>
      <c r="BR31" s="151" t="n"/>
      <c r="BS31" s="151" t="n"/>
      <c r="BT31" s="151" t="n"/>
      <c r="BU31" s="151" t="n"/>
      <c r="BV31" s="151" t="n"/>
      <c r="BW31" s="151" t="n"/>
      <c r="BX31" s="151" t="n"/>
      <c r="BY31" s="151" t="n"/>
      <c r="BZ31" s="151" t="n"/>
      <c r="CA31" s="151" t="n"/>
      <c r="CB31" s="151" t="n"/>
      <c r="CC31" s="151" t="n"/>
      <c r="CD31" s="151" t="n"/>
      <c r="CE31" s="151" t="n"/>
      <c r="CF31" s="151" t="n"/>
      <c r="CG31" s="151" t="n"/>
      <c r="CH31" s="151" t="n"/>
      <c r="CI31" s="151" t="n"/>
      <c r="CJ31" s="151" t="n"/>
      <c r="CK31" s="151" t="n"/>
      <c r="CL31" s="151" t="n"/>
      <c r="CM31" s="151" t="n"/>
      <c r="CN31" s="151" t="n"/>
      <c r="CO31" s="151" t="n"/>
      <c r="CP31" s="151" t="n"/>
      <c r="CQ31" s="151" t="n"/>
      <c r="CR31" s="151" t="n"/>
      <c r="CS31" s="151" t="n"/>
      <c r="CT31" s="151" t="n"/>
      <c r="CU31" s="151" t="n"/>
      <c r="CV31" s="151" t="n"/>
      <c r="CW31" s="151" t="n"/>
      <c r="CX31" s="151" t="n"/>
      <c r="CY31" s="151" t="n"/>
      <c r="CZ31" s="151" t="n"/>
      <c r="DA31" s="151" t="n"/>
      <c r="DB31" s="151" t="n"/>
      <c r="DC31" s="151" t="n"/>
      <c r="DD31" s="151" t="n"/>
      <c r="DE31" s="151" t="n"/>
      <c r="DF31" s="151" t="n"/>
      <c r="DG31" s="151" t="n"/>
      <c r="DH31" s="151" t="n"/>
      <c r="DI31" s="151" t="n"/>
      <c r="DJ31" s="151" t="n"/>
      <c r="DK31" s="151" t="n"/>
      <c r="DL31" s="151" t="n"/>
      <c r="DM31" s="151" t="n"/>
      <c r="DN31" s="151" t="n"/>
      <c r="DO31" s="151" t="n"/>
      <c r="DP31" s="150" t="n"/>
      <c r="DQ31" s="150" t="n"/>
      <c r="DR31" s="150" t="n"/>
      <c r="DS31" s="150" t="n"/>
      <c r="DT31" s="150" t="n"/>
      <c r="DU31" s="150" t="n"/>
      <c r="DV31" s="150" t="n"/>
      <c r="DW31" s="150" t="n"/>
      <c r="DX31" s="150" t="n"/>
      <c r="DY31" s="150" t="n"/>
      <c r="DZ31" s="150" t="n"/>
      <c r="EA31" s="150" t="n"/>
      <c r="EB31" s="150" t="n"/>
      <c r="EC31" s="150" t="n"/>
      <c r="ED31" s="150" t="n"/>
      <c r="EE31" s="150" t="n"/>
      <c r="EF31" s="150" t="n"/>
      <c r="EG31" s="150" t="n"/>
      <c r="EH31" s="150" t="n"/>
      <c r="EI31" s="150" t="n"/>
      <c r="EJ31" s="150" t="n"/>
      <c r="EK31" s="150" t="n"/>
      <c r="EL31" s="150" t="n"/>
      <c r="EM31" s="150" t="n"/>
      <c r="EN31" s="150" t="n"/>
      <c r="EO31" s="150" t="n"/>
      <c r="EP31" s="150" t="n"/>
      <c r="EQ31" s="150" t="n"/>
      <c r="ER31" s="150" t="n"/>
      <c r="ES31" s="150" t="n"/>
      <c r="ET31" s="150" t="n"/>
      <c r="EU31" s="150" t="n"/>
      <c r="EV31" s="150" t="n"/>
      <c r="EW31" s="150" t="n"/>
      <c r="EX31" s="150" t="n"/>
      <c r="EY31" s="150" t="n"/>
      <c r="EZ31" s="150" t="n"/>
      <c r="FA31" s="150" t="n"/>
      <c r="FB31" s="150" t="n"/>
      <c r="FC31" s="150" t="n"/>
      <c r="FD31" s="150" t="n"/>
      <c r="FE31" s="150" t="n"/>
      <c r="FF31" s="150" t="n"/>
      <c r="FG31" s="150" t="n"/>
      <c r="FH31" s="150" t="n"/>
      <c r="FI31" s="150" t="n"/>
      <c r="FJ31" s="150" t="n"/>
      <c r="FK31" s="150" t="n"/>
      <c r="FL31" s="150" t="n"/>
      <c r="FM31" s="150" t="n"/>
      <c r="FN31" s="150" t="n"/>
      <c r="FO31" s="150" t="n"/>
      <c r="FP31" s="150" t="n"/>
      <c r="FQ31" s="150" t="n"/>
      <c r="FR31" s="150" t="n"/>
      <c r="FS31" s="150" t="n"/>
      <c r="FT31" s="150" t="n"/>
      <c r="FU31" s="150" t="n"/>
      <c r="FV31" s="150" t="n"/>
      <c r="FW31" s="150" t="n"/>
      <c r="FX31" s="150" t="n"/>
      <c r="FY31" s="150" t="n"/>
      <c r="FZ31" s="150" t="n"/>
      <c r="GA31" s="150" t="n"/>
      <c r="GB31" s="150" t="n"/>
      <c r="GC31" s="150" t="n"/>
      <c r="GD31" s="150" t="n"/>
      <c r="GE31" s="150" t="n"/>
      <c r="GF31" s="150" t="n"/>
      <c r="GG31" s="150" t="n"/>
      <c r="GH31" s="150" t="n"/>
    </row>
    <row r="32" ht="30.2" customFormat="1" customHeight="1" s="151">
      <c r="A32" s="1091" t="inlineStr">
        <is>
          <t>MALLA, Kajal</t>
        </is>
      </c>
      <c r="B32" s="1046" t="n">
        <v>2050</v>
      </c>
      <c r="C32" s="963" t="n">
        <v>750</v>
      </c>
      <c r="D32" s="963" t="n">
        <v>500</v>
      </c>
      <c r="E32" s="963" t="n"/>
      <c r="F32" s="964" t="n"/>
      <c r="G32" s="964" t="n"/>
      <c r="H32" s="964" t="n"/>
      <c r="I32" s="963" t="n"/>
      <c r="J32" s="962" t="n"/>
      <c r="K32" s="963" t="n"/>
      <c r="L32" s="963" t="n"/>
      <c r="M32" s="963" t="n">
        <v>3</v>
      </c>
      <c r="N32" s="964" t="n"/>
      <c r="O32" s="963" t="n"/>
      <c r="P32" s="963" t="n"/>
      <c r="Q32" s="1585" t="n">
        <v>11.2</v>
      </c>
      <c r="R32" s="1038">
        <f>B32+C32+D32+E32+F32+G32+H32+I32+K32+L32+J32</f>
        <v/>
      </c>
      <c r="AQ32" s="151" t="n"/>
      <c r="AR32" s="151" t="n"/>
      <c r="AS32" s="151" t="n"/>
      <c r="AT32" s="151" t="n"/>
      <c r="AU32" s="151" t="n"/>
      <c r="AV32" s="151" t="n"/>
      <c r="AW32" s="151" t="n"/>
      <c r="AX32" s="151" t="n"/>
      <c r="AY32" s="151" t="n"/>
      <c r="AZ32" s="151" t="n"/>
      <c r="BA32" s="151" t="n"/>
      <c r="BB32" s="151" t="n"/>
      <c r="BC32" s="151" t="n"/>
      <c r="BD32" s="151" t="n"/>
      <c r="BE32" s="151" t="n"/>
      <c r="BF32" s="151" t="n"/>
      <c r="BG32" s="151" t="n"/>
      <c r="BH32" s="151" t="n"/>
      <c r="BI32" s="151" t="n"/>
      <c r="BJ32" s="151" t="n"/>
      <c r="BK32" s="151" t="n"/>
      <c r="BL32" s="151" t="n"/>
      <c r="BM32" s="151" t="n"/>
      <c r="BN32" s="151" t="n"/>
      <c r="BO32" s="151" t="n"/>
      <c r="BP32" s="151" t="n"/>
      <c r="BQ32" s="151" t="n"/>
      <c r="BR32" s="151" t="n"/>
      <c r="BS32" s="151" t="n"/>
      <c r="BT32" s="151" t="n"/>
      <c r="BU32" s="151" t="n"/>
      <c r="BV32" s="151" t="n"/>
      <c r="BW32" s="151" t="n"/>
      <c r="BX32" s="151" t="n"/>
      <c r="BY32" s="151" t="n"/>
      <c r="BZ32" s="151" t="n"/>
      <c r="CA32" s="151" t="n"/>
      <c r="CB32" s="151" t="n"/>
      <c r="CC32" s="151" t="n"/>
      <c r="CD32" s="151" t="n"/>
      <c r="CE32" s="151" t="n"/>
      <c r="CF32" s="151" t="n"/>
      <c r="CG32" s="151" t="n"/>
      <c r="CH32" s="151" t="n"/>
      <c r="CI32" s="151" t="n"/>
      <c r="CJ32" s="151" t="n"/>
      <c r="CK32" s="151" t="n"/>
      <c r="CL32" s="151" t="n"/>
      <c r="CM32" s="151" t="n"/>
      <c r="CN32" s="151" t="n"/>
      <c r="CO32" s="151" t="n"/>
      <c r="CP32" s="151" t="n"/>
      <c r="CQ32" s="151" t="n"/>
      <c r="CR32" s="151" t="n"/>
      <c r="CS32" s="151" t="n"/>
      <c r="CT32" s="151" t="n"/>
      <c r="CU32" s="151" t="n"/>
      <c r="CV32" s="151" t="n"/>
      <c r="CW32" s="151" t="n"/>
      <c r="CX32" s="151" t="n"/>
      <c r="CY32" s="151" t="n"/>
      <c r="CZ32" s="151" t="n"/>
      <c r="DA32" s="151" t="n"/>
      <c r="DB32" s="151" t="n"/>
      <c r="DC32" s="151" t="n"/>
      <c r="DD32" s="151" t="n"/>
      <c r="DE32" s="151" t="n"/>
      <c r="DF32" s="151" t="n"/>
      <c r="DG32" s="151" t="n"/>
      <c r="DH32" s="151" t="n"/>
      <c r="DI32" s="151" t="n"/>
      <c r="DJ32" s="151" t="n"/>
      <c r="DK32" s="151" t="n"/>
      <c r="DL32" s="151" t="n"/>
      <c r="DM32" s="151" t="n"/>
      <c r="DN32" s="151" t="n"/>
      <c r="DO32" s="151" t="n"/>
      <c r="DP32" s="151" t="n"/>
      <c r="DQ32" s="151" t="n"/>
      <c r="DR32" s="151" t="n"/>
      <c r="DS32" s="151" t="n"/>
      <c r="DT32" s="151" t="n"/>
      <c r="DU32" s="151" t="n"/>
      <c r="DV32" s="151" t="n"/>
      <c r="DW32" s="151" t="n"/>
      <c r="DX32" s="151" t="n"/>
      <c r="DY32" s="151" t="n"/>
      <c r="DZ32" s="151" t="n"/>
      <c r="EA32" s="151" t="n"/>
      <c r="EB32" s="151" t="n"/>
      <c r="EC32" s="151" t="n"/>
      <c r="ED32" s="151" t="n"/>
      <c r="EE32" s="151" t="n"/>
      <c r="EF32" s="151" t="n"/>
      <c r="EG32" s="151" t="n"/>
      <c r="EH32" s="151" t="n"/>
      <c r="EI32" s="151" t="n"/>
      <c r="EJ32" s="151" t="n"/>
      <c r="EK32" s="151" t="n"/>
      <c r="EL32" s="151" t="n"/>
      <c r="EM32" s="151" t="n"/>
      <c r="EN32" s="151" t="n"/>
      <c r="EO32" s="151" t="n"/>
      <c r="EP32" s="151" t="n"/>
      <c r="EQ32" s="151" t="n"/>
      <c r="ER32" s="151" t="n"/>
      <c r="ES32" s="151" t="n"/>
      <c r="ET32" s="151" t="n"/>
      <c r="EU32" s="151" t="n"/>
      <c r="EV32" s="151" t="n"/>
      <c r="EW32" s="151" t="n"/>
      <c r="EX32" s="151" t="n"/>
      <c r="EY32" s="151" t="n"/>
      <c r="EZ32" s="151" t="n"/>
      <c r="FA32" s="151" t="n"/>
      <c r="FB32" s="151" t="n"/>
      <c r="FC32" s="151" t="n"/>
      <c r="FD32" s="151" t="n"/>
      <c r="FE32" s="151" t="n"/>
      <c r="FF32" s="151" t="n"/>
      <c r="FG32" s="151" t="n"/>
      <c r="FH32" s="151" t="n"/>
      <c r="FI32" s="151" t="n"/>
      <c r="FJ32" s="151" t="n"/>
      <c r="FK32" s="151" t="n"/>
      <c r="FL32" s="151" t="n"/>
      <c r="FM32" s="151" t="n"/>
      <c r="FN32" s="151" t="n"/>
      <c r="FO32" s="151" t="n"/>
      <c r="FP32" s="151" t="n"/>
      <c r="FQ32" s="151" t="n"/>
      <c r="FR32" s="151" t="n"/>
      <c r="FS32" s="151" t="n"/>
      <c r="FT32" s="151" t="n"/>
      <c r="FU32" s="151" t="n"/>
      <c r="FV32" s="151" t="n"/>
      <c r="FW32" s="151" t="n"/>
      <c r="FX32" s="151" t="n"/>
      <c r="FY32" s="151" t="n"/>
      <c r="FZ32" s="151" t="n"/>
      <c r="GA32" s="151" t="n"/>
      <c r="GB32" s="151" t="n"/>
      <c r="GC32" s="151" t="n"/>
      <c r="GD32" s="151" t="n"/>
      <c r="GE32" s="151" t="n"/>
      <c r="GF32" s="151" t="n"/>
      <c r="GG32" s="151" t="n"/>
      <c r="GH32" s="151" t="n"/>
    </row>
    <row r="33" ht="30.2" customFormat="1" customHeight="1" s="151">
      <c r="A33" s="1368" t="inlineStr">
        <is>
          <t>RAHMAN, Mahinur</t>
        </is>
      </c>
      <c r="B33" s="1041" t="n"/>
      <c r="C33" s="963" t="n"/>
      <c r="D33" s="963" t="n"/>
      <c r="E33" s="963" t="n"/>
      <c r="F33" s="964" t="n"/>
      <c r="G33" s="964" t="n"/>
      <c r="H33" s="964" t="n"/>
      <c r="I33" s="962" t="n"/>
      <c r="J33" s="963" t="n"/>
      <c r="K33" s="962" t="n"/>
      <c r="L33" s="962" t="n"/>
      <c r="M33" s="963" t="n"/>
      <c r="N33" s="964" t="n"/>
      <c r="O33" s="963" t="n"/>
      <c r="P33" s="963" t="n"/>
      <c r="Q33" s="1585" t="n"/>
      <c r="R33" s="1038">
        <f>B33+C33+D33+E33+F33+G33+H33+I33+K33+L33</f>
        <v/>
      </c>
      <c r="AQ33" s="151" t="n"/>
      <c r="AR33" s="151" t="n"/>
      <c r="AS33" s="151" t="n"/>
      <c r="AT33" s="151" t="n"/>
      <c r="AU33" s="151" t="n"/>
      <c r="AV33" s="151" t="n"/>
      <c r="AW33" s="151" t="n"/>
      <c r="AX33" s="151" t="n"/>
      <c r="AY33" s="151" t="n"/>
      <c r="AZ33" s="151" t="n"/>
      <c r="BA33" s="151" t="n"/>
      <c r="BB33" s="151" t="n"/>
      <c r="BC33" s="151" t="n"/>
      <c r="BD33" s="151" t="n"/>
      <c r="BE33" s="151" t="n"/>
      <c r="BF33" s="151" t="n"/>
      <c r="BG33" s="151" t="n"/>
      <c r="BH33" s="151" t="n"/>
      <c r="BI33" s="151" t="n"/>
      <c r="BJ33" s="151" t="n"/>
      <c r="BK33" s="151" t="n"/>
      <c r="BL33" s="151" t="n"/>
      <c r="BM33" s="151" t="n"/>
      <c r="BN33" s="151" t="n"/>
      <c r="BO33" s="151" t="n"/>
      <c r="BP33" s="151" t="n"/>
      <c r="BQ33" s="151" t="n"/>
      <c r="BR33" s="151" t="n"/>
      <c r="BS33" s="151" t="n"/>
      <c r="BT33" s="151" t="n"/>
      <c r="BU33" s="151" t="n"/>
      <c r="BV33" s="151" t="n"/>
      <c r="BW33" s="151" t="n"/>
      <c r="BX33" s="151" t="n"/>
      <c r="BY33" s="151" t="n"/>
      <c r="BZ33" s="151" t="n"/>
      <c r="CA33" s="151" t="n"/>
      <c r="CB33" s="151" t="n"/>
      <c r="CC33" s="151" t="n"/>
      <c r="CD33" s="151" t="n"/>
      <c r="CE33" s="151" t="n"/>
      <c r="CF33" s="151" t="n"/>
      <c r="CG33" s="151" t="n"/>
      <c r="CH33" s="151" t="n"/>
      <c r="CI33" s="151" t="n"/>
      <c r="CJ33" s="151" t="n"/>
      <c r="CK33" s="151" t="n"/>
      <c r="CL33" s="151" t="n"/>
      <c r="CM33" s="151" t="n"/>
      <c r="CN33" s="151" t="n"/>
      <c r="CO33" s="151" t="n"/>
      <c r="CP33" s="151" t="n"/>
      <c r="CQ33" s="151" t="n"/>
      <c r="CR33" s="151" t="n"/>
      <c r="CS33" s="151" t="n"/>
      <c r="CT33" s="151" t="n"/>
      <c r="CU33" s="151" t="n"/>
      <c r="CV33" s="151" t="n"/>
      <c r="CW33" s="151" t="n"/>
      <c r="CX33" s="151" t="n"/>
      <c r="CY33" s="151" t="n"/>
      <c r="CZ33" s="151" t="n"/>
      <c r="DA33" s="151" t="n"/>
      <c r="DB33" s="151" t="n"/>
      <c r="DC33" s="151" t="n"/>
      <c r="DD33" s="151" t="n"/>
      <c r="DE33" s="151" t="n"/>
      <c r="DF33" s="151" t="n"/>
      <c r="DG33" s="151" t="n"/>
      <c r="DH33" s="151" t="n"/>
      <c r="DI33" s="151" t="n"/>
      <c r="DJ33" s="151" t="n"/>
      <c r="DK33" s="151" t="n"/>
      <c r="DL33" s="151" t="n"/>
      <c r="DM33" s="151" t="n"/>
      <c r="DN33" s="151" t="n"/>
      <c r="DO33" s="151" t="n"/>
      <c r="DP33" s="151" t="n"/>
      <c r="DQ33" s="151" t="n"/>
      <c r="DR33" s="151" t="n"/>
      <c r="DS33" s="151" t="n"/>
      <c r="DT33" s="151" t="n"/>
      <c r="DU33" s="151" t="n"/>
      <c r="DV33" s="151" t="n"/>
      <c r="DW33" s="151" t="n"/>
      <c r="DX33" s="151" t="n"/>
      <c r="DY33" s="151" t="n"/>
      <c r="DZ33" s="151" t="n"/>
      <c r="EA33" s="151" t="n"/>
      <c r="EB33" s="151" t="n"/>
      <c r="EC33" s="151" t="n"/>
      <c r="ED33" s="151" t="n"/>
      <c r="EE33" s="151" t="n"/>
      <c r="EF33" s="151" t="n"/>
      <c r="EG33" s="151" t="n"/>
      <c r="EH33" s="151" t="n"/>
      <c r="EI33" s="151" t="n"/>
      <c r="EJ33" s="151" t="n"/>
      <c r="EK33" s="151" t="n"/>
      <c r="EL33" s="151" t="n"/>
      <c r="EM33" s="151" t="n"/>
      <c r="EN33" s="151" t="n"/>
      <c r="EO33" s="151" t="n"/>
      <c r="EP33" s="151" t="n"/>
      <c r="EQ33" s="151" t="n"/>
      <c r="ER33" s="151" t="n"/>
      <c r="ES33" s="151" t="n"/>
      <c r="ET33" s="151" t="n"/>
      <c r="EU33" s="151" t="n"/>
      <c r="EV33" s="151" t="n"/>
      <c r="EW33" s="151" t="n"/>
      <c r="EX33" s="151" t="n"/>
      <c r="EY33" s="151" t="n"/>
      <c r="EZ33" s="151" t="n"/>
      <c r="FA33" s="151" t="n"/>
      <c r="FB33" s="151" t="n"/>
      <c r="FC33" s="151" t="n"/>
      <c r="FD33" s="151" t="n"/>
      <c r="FE33" s="151" t="n"/>
      <c r="FF33" s="151" t="n"/>
      <c r="FG33" s="151" t="n"/>
      <c r="FH33" s="151" t="n"/>
      <c r="FI33" s="151" t="n"/>
      <c r="FJ33" s="151" t="n"/>
      <c r="FK33" s="151" t="n"/>
      <c r="FL33" s="151" t="n"/>
      <c r="FM33" s="151" t="n"/>
      <c r="FN33" s="151" t="n"/>
      <c r="FO33" s="151" t="n"/>
      <c r="FP33" s="151" t="n"/>
      <c r="FQ33" s="151" t="n"/>
      <c r="FR33" s="151" t="n"/>
      <c r="FS33" s="151" t="n"/>
      <c r="FT33" s="151" t="n"/>
      <c r="FU33" s="151" t="n"/>
      <c r="FV33" s="151" t="n"/>
      <c r="FW33" s="151" t="n"/>
      <c r="FX33" s="151" t="n"/>
      <c r="FY33" s="151" t="n"/>
      <c r="FZ33" s="151" t="n"/>
      <c r="GA33" s="151" t="n"/>
      <c r="GB33" s="151" t="n"/>
      <c r="GC33" s="151" t="n"/>
      <c r="GD33" s="151" t="n"/>
      <c r="GE33" s="151" t="n"/>
      <c r="GF33" s="151" t="n"/>
      <c r="GG33" s="151" t="n"/>
      <c r="GH33" s="151" t="n"/>
    </row>
    <row r="34" ht="30.2" customFormat="1" customHeight="1" s="151">
      <c r="A34" s="1063" t="inlineStr">
        <is>
          <t>RANA, Royal</t>
        </is>
      </c>
      <c r="B34" s="1046" t="n">
        <v>2150</v>
      </c>
      <c r="C34" s="963" t="n">
        <v>500</v>
      </c>
      <c r="D34" s="963" t="n"/>
      <c r="E34" s="963" t="n"/>
      <c r="F34" s="964" t="n"/>
      <c r="G34" s="964" t="n"/>
      <c r="H34" s="964" t="n"/>
      <c r="I34" s="963" t="n"/>
      <c r="J34" s="962" t="n"/>
      <c r="K34" s="963" t="n"/>
      <c r="L34" s="963" t="n"/>
      <c r="M34" s="165" t="n">
        <v>3</v>
      </c>
      <c r="N34" s="964" t="n"/>
      <c r="O34" s="963" t="n">
        <v>4</v>
      </c>
      <c r="P34" s="963" t="n">
        <v>2</v>
      </c>
      <c r="Q34" s="1585" t="n"/>
      <c r="R34" s="1038">
        <f>B34+C34+D34+E34+F34+G34+H34+I34+K34+L34+J34</f>
        <v/>
      </c>
      <c r="AQ34" s="151" t="n"/>
      <c r="AR34" s="151" t="n"/>
      <c r="AS34" s="151" t="n"/>
      <c r="AT34" s="151" t="n"/>
      <c r="AU34" s="151" t="n"/>
      <c r="AV34" s="151" t="n"/>
      <c r="AW34" s="151" t="n"/>
      <c r="AX34" s="151" t="n"/>
      <c r="AY34" s="151" t="n"/>
      <c r="AZ34" s="151" t="n"/>
      <c r="BA34" s="151" t="n"/>
      <c r="BB34" s="151" t="n"/>
      <c r="BC34" s="151" t="n"/>
      <c r="BD34" s="151" t="n"/>
      <c r="BE34" s="151" t="n"/>
      <c r="BF34" s="151" t="n"/>
      <c r="BG34" s="151" t="n"/>
      <c r="BH34" s="151" t="n"/>
      <c r="BI34" s="151" t="n"/>
      <c r="BJ34" s="151" t="n"/>
      <c r="BK34" s="151" t="n"/>
      <c r="BL34" s="151" t="n"/>
      <c r="BM34" s="151" t="n"/>
      <c r="BN34" s="151" t="n"/>
      <c r="BO34" s="151" t="n"/>
      <c r="BP34" s="151" t="n"/>
      <c r="BQ34" s="151" t="n"/>
      <c r="BR34" s="151" t="n"/>
      <c r="BS34" s="151" t="n"/>
      <c r="BT34" s="151" t="n"/>
      <c r="BU34" s="151" t="n"/>
      <c r="BV34" s="151" t="n"/>
      <c r="BW34" s="151" t="n"/>
      <c r="BX34" s="151" t="n"/>
      <c r="BY34" s="151" t="n"/>
      <c r="BZ34" s="151" t="n"/>
      <c r="CA34" s="151" t="n"/>
      <c r="CB34" s="151" t="n"/>
      <c r="CC34" s="151" t="n"/>
      <c r="CD34" s="151" t="n"/>
      <c r="CE34" s="151" t="n"/>
      <c r="CF34" s="151" t="n"/>
      <c r="CG34" s="151" t="n"/>
      <c r="CH34" s="151" t="n"/>
      <c r="CI34" s="151" t="n"/>
      <c r="CJ34" s="151" t="n"/>
      <c r="CK34" s="151" t="n"/>
      <c r="CL34" s="151" t="n"/>
      <c r="CM34" s="151" t="n"/>
      <c r="CN34" s="151" t="n"/>
      <c r="CO34" s="151" t="n"/>
      <c r="CP34" s="151" t="n"/>
      <c r="CQ34" s="151" t="n"/>
      <c r="CR34" s="151" t="n"/>
      <c r="CS34" s="151" t="n"/>
      <c r="CT34" s="151" t="n"/>
      <c r="CU34" s="151" t="n"/>
      <c r="CV34" s="151" t="n"/>
      <c r="CW34" s="151" t="n"/>
      <c r="CX34" s="151" t="n"/>
      <c r="CY34" s="151" t="n"/>
      <c r="CZ34" s="151" t="n"/>
      <c r="DA34" s="151" t="n"/>
      <c r="DB34" s="151" t="n"/>
      <c r="DC34" s="151" t="n"/>
      <c r="DD34" s="151" t="n"/>
      <c r="DE34" s="151" t="n"/>
      <c r="DF34" s="151" t="n"/>
      <c r="DG34" s="151" t="n"/>
      <c r="DH34" s="151" t="n"/>
      <c r="DI34" s="151" t="n"/>
      <c r="DJ34" s="151" t="n"/>
      <c r="DK34" s="151" t="n"/>
      <c r="DL34" s="151" t="n"/>
      <c r="DM34" s="151" t="n"/>
      <c r="DN34" s="151" t="n"/>
      <c r="DO34" s="151" t="n"/>
      <c r="DP34" s="151" t="n"/>
      <c r="DQ34" s="151" t="n"/>
      <c r="DR34" s="151" t="n"/>
      <c r="DS34" s="151" t="n"/>
      <c r="DT34" s="151" t="n"/>
      <c r="DU34" s="151" t="n"/>
      <c r="DV34" s="151" t="n"/>
      <c r="DW34" s="151" t="n"/>
      <c r="DX34" s="151" t="n"/>
      <c r="DY34" s="151" t="n"/>
      <c r="DZ34" s="151" t="n"/>
      <c r="EA34" s="151" t="n"/>
      <c r="EB34" s="151" t="n"/>
      <c r="EC34" s="151" t="n"/>
      <c r="ED34" s="151" t="n"/>
      <c r="EE34" s="151" t="n"/>
      <c r="EF34" s="151" t="n"/>
      <c r="EG34" s="151" t="n"/>
      <c r="EH34" s="151" t="n"/>
      <c r="EI34" s="151" t="n"/>
      <c r="EJ34" s="151" t="n"/>
      <c r="EK34" s="151" t="n"/>
      <c r="EL34" s="151" t="n"/>
      <c r="EM34" s="151" t="n"/>
      <c r="EN34" s="151" t="n"/>
      <c r="EO34" s="151" t="n"/>
      <c r="EP34" s="151" t="n"/>
      <c r="EQ34" s="151" t="n"/>
      <c r="ER34" s="151" t="n"/>
      <c r="ES34" s="151" t="n"/>
      <c r="ET34" s="151" t="n"/>
      <c r="EU34" s="151" t="n"/>
      <c r="EV34" s="151" t="n"/>
      <c r="EW34" s="151" t="n"/>
      <c r="EX34" s="151" t="n"/>
      <c r="EY34" s="151" t="n"/>
      <c r="EZ34" s="151" t="n"/>
      <c r="FA34" s="151" t="n"/>
      <c r="FB34" s="151" t="n"/>
      <c r="FC34" s="151" t="n"/>
      <c r="FD34" s="151" t="n"/>
      <c r="FE34" s="151" t="n"/>
      <c r="FF34" s="151" t="n"/>
      <c r="FG34" s="151" t="n"/>
      <c r="FH34" s="151" t="n"/>
      <c r="FI34" s="151" t="n"/>
      <c r="FJ34" s="151" t="n"/>
      <c r="FK34" s="151" t="n"/>
      <c r="FL34" s="151" t="n"/>
      <c r="FM34" s="151" t="n"/>
      <c r="FN34" s="151" t="n"/>
      <c r="FO34" s="151" t="n"/>
      <c r="FP34" s="151" t="n"/>
      <c r="FQ34" s="151" t="n"/>
      <c r="FR34" s="151" t="n"/>
      <c r="FS34" s="151" t="n"/>
      <c r="FT34" s="151" t="n"/>
      <c r="FU34" s="151" t="n"/>
      <c r="FV34" s="151" t="n"/>
      <c r="FW34" s="151" t="n"/>
      <c r="FX34" s="151" t="n"/>
      <c r="FY34" s="151" t="n"/>
      <c r="FZ34" s="151" t="n"/>
      <c r="GA34" s="151" t="n"/>
      <c r="GB34" s="151" t="n"/>
      <c r="GC34" s="151" t="n"/>
      <c r="GD34" s="151" t="n"/>
      <c r="GE34" s="151" t="n"/>
      <c r="GF34" s="151" t="n"/>
      <c r="GG34" s="151" t="n"/>
      <c r="GH34" s="151" t="n"/>
    </row>
    <row r="35" ht="30.2" customFormat="1" customHeight="1" s="150" thickBot="1">
      <c r="A35" s="1063" t="inlineStr">
        <is>
          <t xml:space="preserve">SAHA, Oyndrilla </t>
        </is>
      </c>
      <c r="B35" s="1046" t="n">
        <v>1100</v>
      </c>
      <c r="C35" s="963" t="n">
        <v>500</v>
      </c>
      <c r="D35" s="963" t="n">
        <v>750</v>
      </c>
      <c r="E35" s="963" t="n"/>
      <c r="F35" s="964" t="n"/>
      <c r="G35" s="964" t="n"/>
      <c r="H35" s="964" t="n"/>
      <c r="I35" s="963" t="n"/>
      <c r="J35" s="962" t="n"/>
      <c r="K35" s="963" t="n"/>
      <c r="L35" s="963" t="n"/>
      <c r="M35" s="963" t="n">
        <v>3</v>
      </c>
      <c r="N35" s="964" t="n"/>
      <c r="O35" s="963" t="n"/>
      <c r="P35" s="963" t="n"/>
      <c r="Q35" s="1585" t="n"/>
      <c r="R35" s="1047">
        <f>B35+C35+D35+E35+F35+G35+H35+I35+K35+L35</f>
        <v/>
      </c>
      <c r="S35" s="151" t="n"/>
      <c r="T35" s="151" t="n"/>
      <c r="U35" s="151" t="n"/>
      <c r="V35" s="151" t="n"/>
      <c r="W35" s="151" t="n"/>
      <c r="X35" s="151" t="n"/>
      <c r="Y35" s="151" t="n"/>
      <c r="Z35" s="151" t="n"/>
      <c r="AA35" s="151" t="n"/>
      <c r="AB35" s="151" t="n"/>
      <c r="AC35" s="151" t="n"/>
      <c r="AD35" s="151" t="n"/>
      <c r="AE35" s="151" t="n"/>
      <c r="AF35" s="151" t="n"/>
      <c r="AG35" s="151" t="n"/>
      <c r="AH35" s="151" t="n"/>
      <c r="AI35" s="151" t="n"/>
      <c r="AJ35" s="151" t="n"/>
      <c r="AK35" s="151" t="n"/>
      <c r="AL35" s="151" t="n"/>
      <c r="AM35" s="151" t="n"/>
      <c r="AN35" s="151" t="n"/>
      <c r="AO35" s="151" t="n"/>
      <c r="AP35" s="151" t="n"/>
      <c r="AQ35" s="151" t="n"/>
      <c r="AR35" s="151" t="n"/>
      <c r="AS35" s="151" t="n"/>
      <c r="AT35" s="151" t="n"/>
      <c r="AU35" s="151" t="n"/>
      <c r="AV35" s="151" t="n"/>
      <c r="AW35" s="151" t="n"/>
      <c r="AX35" s="151" t="n"/>
      <c r="AY35" s="151" t="n"/>
      <c r="AZ35" s="151" t="n"/>
      <c r="BA35" s="151" t="n"/>
      <c r="BB35" s="151" t="n"/>
      <c r="BC35" s="151" t="n"/>
      <c r="BD35" s="151" t="n"/>
      <c r="BE35" s="151" t="n"/>
      <c r="BF35" s="151" t="n"/>
      <c r="BG35" s="151" t="n"/>
      <c r="BH35" s="151" t="n"/>
      <c r="BI35" s="151" t="n"/>
      <c r="BJ35" s="151" t="n"/>
      <c r="BK35" s="151" t="n"/>
      <c r="BL35" s="151" t="n"/>
      <c r="BM35" s="151" t="n"/>
      <c r="BN35" s="151" t="n"/>
      <c r="BO35" s="151" t="n"/>
      <c r="BP35" s="151" t="n"/>
      <c r="BQ35" s="151" t="n"/>
      <c r="BR35" s="151" t="n"/>
      <c r="BS35" s="151" t="n"/>
      <c r="BT35" s="151" t="n"/>
      <c r="BU35" s="151" t="n"/>
      <c r="BV35" s="151" t="n"/>
      <c r="BW35" s="151" t="n"/>
      <c r="BX35" s="151" t="n"/>
      <c r="BY35" s="151" t="n"/>
      <c r="BZ35" s="151" t="n"/>
      <c r="CA35" s="151" t="n"/>
      <c r="CB35" s="151" t="n"/>
      <c r="CC35" s="151" t="n"/>
      <c r="CD35" s="151" t="n"/>
      <c r="CE35" s="151" t="n"/>
      <c r="CF35" s="151" t="n"/>
      <c r="CG35" s="151" t="n"/>
      <c r="CH35" s="151" t="n"/>
      <c r="CI35" s="151" t="n"/>
      <c r="CJ35" s="151" t="n"/>
      <c r="CK35" s="151" t="n"/>
      <c r="CL35" s="151" t="n"/>
      <c r="CM35" s="151" t="n"/>
      <c r="CN35" s="151" t="n"/>
      <c r="CO35" s="151" t="n"/>
      <c r="CP35" s="151" t="n"/>
      <c r="CQ35" s="151" t="n"/>
      <c r="CR35" s="151" t="n"/>
      <c r="CS35" s="151" t="n"/>
      <c r="CT35" s="151" t="n"/>
      <c r="CU35" s="151" t="n"/>
      <c r="CV35" s="151" t="n"/>
      <c r="CW35" s="151" t="n"/>
      <c r="CX35" s="151" t="n"/>
      <c r="CY35" s="151" t="n"/>
      <c r="CZ35" s="151" t="n"/>
      <c r="DA35" s="151" t="n"/>
      <c r="DB35" s="151" t="n"/>
      <c r="DC35" s="151" t="n"/>
      <c r="DD35" s="151" t="n"/>
      <c r="DE35" s="151" t="n"/>
      <c r="DF35" s="151" t="n"/>
      <c r="DG35" s="151" t="n"/>
      <c r="DH35" s="151" t="n"/>
      <c r="DI35" s="151" t="n"/>
      <c r="DJ35" s="151" t="n"/>
      <c r="DK35" s="151" t="n"/>
      <c r="DL35" s="151" t="n"/>
      <c r="DM35" s="151" t="n"/>
      <c r="DN35" s="151" t="n"/>
      <c r="DO35" s="151" t="n"/>
      <c r="DP35" s="150" t="n"/>
      <c r="DQ35" s="150" t="n"/>
      <c r="DR35" s="150" t="n"/>
      <c r="DS35" s="150" t="n"/>
      <c r="DT35" s="150" t="n"/>
      <c r="DU35" s="150" t="n"/>
      <c r="DV35" s="150" t="n"/>
      <c r="DW35" s="150" t="n"/>
      <c r="DX35" s="150" t="n"/>
      <c r="DY35" s="150" t="n"/>
      <c r="DZ35" s="150" t="n"/>
      <c r="EA35" s="150" t="n"/>
      <c r="EB35" s="150" t="n"/>
      <c r="EC35" s="150" t="n"/>
      <c r="ED35" s="150" t="n"/>
      <c r="EE35" s="150" t="n"/>
      <c r="EF35" s="150" t="n"/>
      <c r="EG35" s="150" t="n"/>
      <c r="EH35" s="150" t="n"/>
      <c r="EI35" s="150" t="n"/>
      <c r="EJ35" s="150" t="n"/>
      <c r="EK35" s="150" t="n"/>
      <c r="EL35" s="150" t="n"/>
      <c r="EM35" s="150" t="n"/>
      <c r="EN35" s="150" t="n"/>
      <c r="EO35" s="150" t="n"/>
      <c r="EP35" s="150" t="n"/>
      <c r="EQ35" s="150" t="n"/>
      <c r="ER35" s="150" t="n"/>
      <c r="ES35" s="150" t="n"/>
      <c r="ET35" s="150" t="n"/>
      <c r="EU35" s="150" t="n"/>
      <c r="EV35" s="150" t="n"/>
      <c r="EW35" s="150" t="n"/>
      <c r="EX35" s="150" t="n"/>
      <c r="EY35" s="150" t="n"/>
      <c r="EZ35" s="150" t="n"/>
      <c r="FA35" s="150" t="n"/>
      <c r="FB35" s="150" t="n"/>
      <c r="FC35" s="150" t="n"/>
      <c r="FD35" s="150" t="n"/>
      <c r="FE35" s="150" t="n"/>
      <c r="FF35" s="150" t="n"/>
      <c r="FG35" s="150" t="n"/>
      <c r="FH35" s="150" t="n"/>
      <c r="FI35" s="150" t="n"/>
      <c r="FJ35" s="150" t="n"/>
      <c r="FK35" s="150" t="n"/>
      <c r="FL35" s="150" t="n"/>
      <c r="FM35" s="150" t="n"/>
      <c r="FN35" s="150" t="n"/>
      <c r="FO35" s="150" t="n"/>
      <c r="FP35" s="150" t="n"/>
      <c r="FQ35" s="150" t="n"/>
      <c r="FR35" s="150" t="n"/>
      <c r="FS35" s="150" t="n"/>
      <c r="FT35" s="150" t="n"/>
      <c r="FU35" s="150" t="n"/>
      <c r="FV35" s="150" t="n"/>
      <c r="FW35" s="150" t="n"/>
      <c r="FX35" s="150" t="n"/>
      <c r="FY35" s="150" t="n"/>
      <c r="FZ35" s="150" t="n"/>
      <c r="GA35" s="150" t="n"/>
      <c r="GB35" s="150" t="n"/>
      <c r="GC35" s="150" t="n"/>
      <c r="GD35" s="150" t="n"/>
      <c r="GE35" s="150" t="n"/>
      <c r="GF35" s="150" t="n"/>
      <c r="GG35" s="150" t="n"/>
      <c r="GH35" s="150" t="n"/>
    </row>
    <row r="36" ht="30.2" customFormat="1" customHeight="1" s="150">
      <c r="A36" s="1106" t="inlineStr">
        <is>
          <t>SAIYED Wasim</t>
        </is>
      </c>
      <c r="B36" s="1042" t="n">
        <v>3025</v>
      </c>
      <c r="C36" s="951" t="n"/>
      <c r="D36" s="951" t="n"/>
      <c r="E36" s="951" t="n"/>
      <c r="F36" s="952" t="n"/>
      <c r="G36" s="952" t="n"/>
      <c r="H36" s="952" t="n"/>
      <c r="I36" s="951" t="n"/>
      <c r="J36" s="953" t="n"/>
      <c r="K36" s="951" t="n"/>
      <c r="L36" s="951" t="n">
        <v>775</v>
      </c>
      <c r="M36" s="951" t="n">
        <v>15</v>
      </c>
      <c r="N36" s="952" t="n"/>
      <c r="O36" s="951" t="n"/>
      <c r="P36" s="951" t="n"/>
      <c r="Q36" s="1586" t="n"/>
      <c r="R36" s="955">
        <f>(B36+C36+D36+E36+F36+G36+H36+I36+K36+L36+J36)+(E37+F37+H37+I37)</f>
        <v/>
      </c>
      <c r="S36" s="151" t="n"/>
      <c r="T36" s="151" t="n"/>
      <c r="U36" s="151" t="n"/>
      <c r="V36" s="151" t="n"/>
      <c r="W36" s="151" t="n"/>
      <c r="X36" s="151" t="n"/>
      <c r="Y36" s="151" t="n"/>
      <c r="Z36" s="151" t="n"/>
      <c r="AA36" s="151" t="n"/>
      <c r="AB36" s="151" t="n"/>
      <c r="AC36" s="151" t="n"/>
      <c r="AD36" s="151" t="n"/>
      <c r="AE36" s="151" t="n"/>
      <c r="AF36" s="151" t="n"/>
      <c r="AG36" s="151" t="n"/>
      <c r="AH36" s="151" t="n"/>
      <c r="AI36" s="151" t="n"/>
      <c r="AJ36" s="151" t="n"/>
      <c r="AK36" s="151" t="n"/>
      <c r="AL36" s="151" t="n"/>
      <c r="AM36" s="151" t="n"/>
      <c r="AN36" s="151" t="n"/>
      <c r="AO36" s="151" t="n"/>
      <c r="AP36" s="151" t="n"/>
      <c r="AQ36" s="151" t="n"/>
      <c r="AR36" s="151" t="n"/>
      <c r="AS36" s="151" t="n"/>
      <c r="AT36" s="151" t="n"/>
      <c r="AU36" s="151" t="n"/>
      <c r="AV36" s="151" t="n"/>
      <c r="AW36" s="151" t="n"/>
      <c r="AX36" s="151" t="n"/>
      <c r="AY36" s="151" t="n"/>
      <c r="AZ36" s="151" t="n"/>
      <c r="BA36" s="151" t="n"/>
      <c r="BB36" s="151" t="n"/>
      <c r="BC36" s="151" t="n"/>
      <c r="BD36" s="151" t="n"/>
      <c r="BE36" s="151" t="n"/>
      <c r="BF36" s="151" t="n"/>
      <c r="BG36" s="151" t="n"/>
      <c r="BH36" s="151" t="n"/>
      <c r="BI36" s="151" t="n"/>
      <c r="BJ36" s="151" t="n"/>
      <c r="BK36" s="151" t="n"/>
      <c r="BL36" s="151" t="n"/>
      <c r="BM36" s="151" t="n"/>
      <c r="BN36" s="151" t="n"/>
      <c r="BO36" s="151" t="n"/>
      <c r="BP36" s="151" t="n"/>
      <c r="BQ36" s="151" t="n"/>
      <c r="BR36" s="151" t="n"/>
      <c r="BS36" s="151" t="n"/>
      <c r="BT36" s="151" t="n"/>
      <c r="BU36" s="151" t="n"/>
      <c r="BV36" s="151" t="n"/>
      <c r="BW36" s="151" t="n"/>
      <c r="BX36" s="151" t="n"/>
      <c r="BY36" s="151" t="n"/>
      <c r="BZ36" s="151" t="n"/>
      <c r="CA36" s="151" t="n"/>
      <c r="CB36" s="151" t="n"/>
      <c r="CC36" s="151" t="n"/>
      <c r="CD36" s="151" t="n"/>
      <c r="CE36" s="151" t="n"/>
      <c r="CF36" s="151" t="n"/>
      <c r="CG36" s="151" t="n"/>
      <c r="CH36" s="151" t="n"/>
      <c r="CI36" s="151" t="n"/>
      <c r="CJ36" s="151" t="n"/>
      <c r="CK36" s="151" t="n"/>
      <c r="CL36" s="151" t="n"/>
      <c r="CM36" s="151" t="n"/>
      <c r="CN36" s="151" t="n"/>
      <c r="CO36" s="151" t="n"/>
      <c r="CP36" s="151" t="n"/>
      <c r="CQ36" s="151" t="n"/>
      <c r="CR36" s="151" t="n"/>
      <c r="CS36" s="151" t="n"/>
      <c r="CT36" s="151" t="n"/>
      <c r="CU36" s="151" t="n"/>
      <c r="CV36" s="151" t="n"/>
      <c r="CW36" s="151" t="n"/>
      <c r="CX36" s="151" t="n"/>
      <c r="CY36" s="151" t="n"/>
      <c r="CZ36" s="151" t="n"/>
      <c r="DA36" s="151" t="n"/>
      <c r="DB36" s="151" t="n"/>
      <c r="DC36" s="151" t="n"/>
      <c r="DD36" s="151" t="n"/>
      <c r="DE36" s="151" t="n"/>
      <c r="DF36" s="151" t="n"/>
      <c r="DG36" s="151" t="n"/>
      <c r="DH36" s="151" t="n"/>
      <c r="DI36" s="151" t="n"/>
      <c r="DJ36" s="151" t="n"/>
      <c r="DK36" s="151" t="n"/>
      <c r="DL36" s="151" t="n"/>
      <c r="DM36" s="151" t="n"/>
      <c r="DN36" s="151" t="n"/>
      <c r="DO36" s="151" t="n"/>
      <c r="DP36" s="150" t="n"/>
      <c r="DQ36" s="150" t="n"/>
      <c r="DR36" s="150" t="n"/>
      <c r="DS36" s="150" t="n"/>
      <c r="DT36" s="150" t="n"/>
      <c r="DU36" s="150" t="n"/>
      <c r="DV36" s="150" t="n"/>
      <c r="DW36" s="150" t="n"/>
      <c r="DX36" s="150" t="n"/>
      <c r="DY36" s="150" t="n"/>
      <c r="DZ36" s="150" t="n"/>
      <c r="EA36" s="150" t="n"/>
      <c r="EB36" s="150" t="n"/>
      <c r="EC36" s="150" t="n"/>
      <c r="ED36" s="150" t="n"/>
      <c r="EE36" s="150" t="n"/>
      <c r="EF36" s="150" t="n"/>
      <c r="EG36" s="150" t="n"/>
      <c r="EH36" s="150" t="n"/>
      <c r="EI36" s="150" t="n"/>
      <c r="EJ36" s="150" t="n"/>
      <c r="EK36" s="150" t="n"/>
      <c r="EL36" s="150" t="n"/>
      <c r="EM36" s="150" t="n"/>
      <c r="EN36" s="150" t="n"/>
      <c r="EO36" s="150" t="n"/>
      <c r="EP36" s="150" t="n"/>
      <c r="EQ36" s="150" t="n"/>
      <c r="ER36" s="150" t="n"/>
      <c r="ES36" s="150" t="n"/>
      <c r="ET36" s="150" t="n"/>
      <c r="EU36" s="150" t="n"/>
      <c r="EV36" s="150" t="n"/>
      <c r="EW36" s="150" t="n"/>
      <c r="EX36" s="150" t="n"/>
      <c r="EY36" s="150" t="n"/>
      <c r="EZ36" s="150" t="n"/>
      <c r="FA36" s="150" t="n"/>
      <c r="FB36" s="150" t="n"/>
      <c r="FC36" s="150" t="n"/>
      <c r="FD36" s="150" t="n"/>
      <c r="FE36" s="150" t="n"/>
      <c r="FF36" s="150" t="n"/>
      <c r="FG36" s="150" t="n"/>
      <c r="FH36" s="150" t="n"/>
      <c r="FI36" s="150" t="n"/>
      <c r="FJ36" s="150" t="n"/>
      <c r="FK36" s="150" t="n"/>
      <c r="FL36" s="150" t="n"/>
      <c r="FM36" s="150" t="n"/>
      <c r="FN36" s="150" t="n"/>
      <c r="FO36" s="150" t="n"/>
      <c r="FP36" s="150" t="n"/>
      <c r="FQ36" s="150" t="n"/>
      <c r="FR36" s="150" t="n"/>
      <c r="FS36" s="150" t="n"/>
      <c r="FT36" s="150" t="n"/>
      <c r="FU36" s="150" t="n"/>
      <c r="FV36" s="150" t="n"/>
      <c r="FW36" s="150" t="n"/>
      <c r="FX36" s="150" t="n"/>
      <c r="FY36" s="150" t="n"/>
      <c r="FZ36" s="150" t="n"/>
      <c r="GA36" s="150" t="n"/>
      <c r="GB36" s="150" t="n"/>
      <c r="GC36" s="150" t="n"/>
      <c r="GD36" s="150" t="n"/>
      <c r="GE36" s="150" t="n"/>
      <c r="GF36" s="150" t="n"/>
      <c r="GG36" s="150" t="n"/>
      <c r="GH36" s="150" t="n"/>
    </row>
    <row r="37" ht="30.2" customFormat="1" customHeight="1" s="150" thickBot="1">
      <c r="A37" s="1107" t="n"/>
      <c r="B37" s="1108" t="n"/>
      <c r="C37" s="1109" t="n"/>
      <c r="D37" s="1109" t="n"/>
      <c r="E37" s="1110" t="n"/>
      <c r="F37" s="1111" t="n"/>
      <c r="G37" s="1112" t="n"/>
      <c r="H37" s="1111" t="n"/>
      <c r="I37" s="1110" t="n"/>
      <c r="J37" s="1109" t="n"/>
      <c r="K37" s="1109" t="n"/>
      <c r="L37" s="1109" t="n"/>
      <c r="M37" s="1109" t="n"/>
      <c r="N37" s="1112" t="n"/>
      <c r="O37" s="1109" t="n"/>
      <c r="P37" s="1109" t="n"/>
      <c r="Q37" s="1587" t="n"/>
      <c r="R37" s="1114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/>
      <c r="AB37" s="151" t="n"/>
      <c r="AC37" s="151" t="n"/>
      <c r="AD37" s="151" t="n"/>
      <c r="AE37" s="151" t="n"/>
      <c r="AF37" s="151" t="n"/>
      <c r="AG37" s="151" t="n"/>
      <c r="AH37" s="151" t="n"/>
      <c r="AI37" s="151" t="n"/>
      <c r="AJ37" s="151" t="n"/>
      <c r="AK37" s="151" t="n"/>
      <c r="AL37" s="151" t="n"/>
      <c r="AM37" s="151" t="n"/>
      <c r="AN37" s="151" t="n"/>
      <c r="AO37" s="151" t="n"/>
      <c r="AP37" s="151" t="n"/>
      <c r="AQ37" s="151" t="n"/>
      <c r="AR37" s="151" t="n"/>
      <c r="AS37" s="151" t="n"/>
      <c r="AT37" s="151" t="n"/>
      <c r="AU37" s="151" t="n"/>
      <c r="AV37" s="151" t="n"/>
      <c r="AW37" s="151" t="n"/>
      <c r="AX37" s="151" t="n"/>
      <c r="AY37" s="151" t="n"/>
      <c r="AZ37" s="151" t="n"/>
      <c r="BA37" s="151" t="n"/>
      <c r="BB37" s="151" t="n"/>
      <c r="BC37" s="151" t="n"/>
      <c r="BD37" s="151" t="n"/>
      <c r="BE37" s="151" t="n"/>
      <c r="BF37" s="151" t="n"/>
      <c r="BG37" s="151" t="n"/>
      <c r="BH37" s="151" t="n"/>
      <c r="BI37" s="151" t="n"/>
      <c r="BJ37" s="151" t="n"/>
      <c r="BK37" s="151" t="n"/>
      <c r="BL37" s="151" t="n"/>
      <c r="BM37" s="151" t="n"/>
      <c r="BN37" s="151" t="n"/>
      <c r="BO37" s="151" t="n"/>
      <c r="BP37" s="151" t="n"/>
      <c r="BQ37" s="151" t="n"/>
      <c r="BR37" s="151" t="n"/>
      <c r="BS37" s="151" t="n"/>
      <c r="BT37" s="151" t="n"/>
      <c r="BU37" s="151" t="n"/>
      <c r="BV37" s="151" t="n"/>
      <c r="BW37" s="151" t="n"/>
      <c r="BX37" s="151" t="n"/>
      <c r="BY37" s="151" t="n"/>
      <c r="BZ37" s="151" t="n"/>
      <c r="CA37" s="151" t="n"/>
      <c r="CB37" s="151" t="n"/>
      <c r="CC37" s="151" t="n"/>
      <c r="CD37" s="151" t="n"/>
      <c r="CE37" s="151" t="n"/>
      <c r="CF37" s="151" t="n"/>
      <c r="CG37" s="151" t="n"/>
      <c r="CH37" s="151" t="n"/>
      <c r="CI37" s="151" t="n"/>
      <c r="CJ37" s="151" t="n"/>
      <c r="CK37" s="151" t="n"/>
      <c r="CL37" s="151" t="n"/>
      <c r="CM37" s="151" t="n"/>
      <c r="CN37" s="151" t="n"/>
      <c r="CO37" s="151" t="n"/>
      <c r="CP37" s="151" t="n"/>
      <c r="CQ37" s="151" t="n"/>
      <c r="CR37" s="151" t="n"/>
      <c r="CS37" s="151" t="n"/>
      <c r="CT37" s="151" t="n"/>
      <c r="CU37" s="151" t="n"/>
      <c r="CV37" s="151" t="n"/>
      <c r="CW37" s="151" t="n"/>
      <c r="CX37" s="151" t="n"/>
      <c r="CY37" s="151" t="n"/>
      <c r="CZ37" s="151" t="n"/>
      <c r="DA37" s="151" t="n"/>
      <c r="DB37" s="151" t="n"/>
      <c r="DC37" s="151" t="n"/>
      <c r="DD37" s="151" t="n"/>
      <c r="DE37" s="151" t="n"/>
      <c r="DF37" s="151" t="n"/>
      <c r="DG37" s="151" t="n"/>
      <c r="DH37" s="151" t="n"/>
      <c r="DI37" s="151" t="n"/>
      <c r="DJ37" s="151" t="n"/>
      <c r="DK37" s="151" t="n"/>
      <c r="DL37" s="151" t="n"/>
      <c r="DM37" s="151" t="n"/>
      <c r="DN37" s="151" t="n"/>
      <c r="DO37" s="151" t="n"/>
      <c r="DP37" s="150" t="n"/>
      <c r="DQ37" s="150" t="n"/>
      <c r="DR37" s="150" t="n"/>
      <c r="DS37" s="150" t="n"/>
      <c r="DT37" s="150" t="n"/>
      <c r="DU37" s="150" t="n"/>
      <c r="DV37" s="150" t="n"/>
      <c r="DW37" s="150" t="n"/>
      <c r="DX37" s="150" t="n"/>
      <c r="DY37" s="150" t="n"/>
      <c r="DZ37" s="150" t="n"/>
      <c r="EA37" s="150" t="n"/>
      <c r="EB37" s="150" t="n"/>
      <c r="EC37" s="150" t="n"/>
      <c r="ED37" s="150" t="n"/>
      <c r="EE37" s="150" t="n"/>
      <c r="EF37" s="150" t="n"/>
      <c r="EG37" s="150" t="n"/>
      <c r="EH37" s="150" t="n"/>
      <c r="EI37" s="150" t="n"/>
      <c r="EJ37" s="150" t="n"/>
      <c r="EK37" s="150" t="n"/>
      <c r="EL37" s="150" t="n"/>
      <c r="EM37" s="150" t="n"/>
      <c r="EN37" s="150" t="n"/>
      <c r="EO37" s="150" t="n"/>
      <c r="EP37" s="150" t="n"/>
      <c r="EQ37" s="150" t="n"/>
      <c r="ER37" s="150" t="n"/>
      <c r="ES37" s="150" t="n"/>
      <c r="ET37" s="150" t="n"/>
      <c r="EU37" s="150" t="n"/>
      <c r="EV37" s="150" t="n"/>
      <c r="EW37" s="150" t="n"/>
      <c r="EX37" s="150" t="n"/>
      <c r="EY37" s="150" t="n"/>
      <c r="EZ37" s="150" t="n"/>
      <c r="FA37" s="150" t="n"/>
      <c r="FB37" s="150" t="n"/>
      <c r="FC37" s="150" t="n"/>
      <c r="FD37" s="150" t="n"/>
      <c r="FE37" s="150" t="n"/>
      <c r="FF37" s="150" t="n"/>
      <c r="FG37" s="150" t="n"/>
      <c r="FH37" s="150" t="n"/>
      <c r="FI37" s="150" t="n"/>
      <c r="FJ37" s="150" t="n"/>
      <c r="FK37" s="150" t="n"/>
      <c r="FL37" s="150" t="n"/>
      <c r="FM37" s="150" t="n"/>
      <c r="FN37" s="150" t="n"/>
      <c r="FO37" s="150" t="n"/>
      <c r="FP37" s="150" t="n"/>
      <c r="FQ37" s="150" t="n"/>
      <c r="FR37" s="150" t="n"/>
      <c r="FS37" s="150" t="n"/>
      <c r="FT37" s="150" t="n"/>
      <c r="FU37" s="150" t="n"/>
      <c r="FV37" s="150" t="n"/>
      <c r="FW37" s="150" t="n"/>
      <c r="FX37" s="150" t="n"/>
      <c r="FY37" s="150" t="n"/>
      <c r="FZ37" s="150" t="n"/>
      <c r="GA37" s="150" t="n"/>
      <c r="GB37" s="150" t="n"/>
      <c r="GC37" s="150" t="n"/>
      <c r="GD37" s="150" t="n"/>
      <c r="GE37" s="150" t="n"/>
      <c r="GF37" s="150" t="n"/>
      <c r="GG37" s="150" t="n"/>
      <c r="GH37" s="150" t="n"/>
    </row>
    <row r="38" ht="29.25" customHeight="1" s="2">
      <c r="A38" s="1210" t="inlineStr">
        <is>
          <t>SAMIT, Satwat Hossain</t>
        </is>
      </c>
      <c r="B38" s="1040" t="n">
        <v>2550</v>
      </c>
      <c r="C38" s="165" t="n">
        <v>500</v>
      </c>
      <c r="D38" s="165" t="n">
        <v>750</v>
      </c>
      <c r="E38" s="165" t="n"/>
      <c r="F38" s="147" t="n"/>
      <c r="G38" s="147" t="n"/>
      <c r="H38" s="147" t="n">
        <v>25</v>
      </c>
      <c r="I38" s="165" t="n"/>
      <c r="J38" s="734" t="n"/>
      <c r="K38" s="1367" t="n"/>
      <c r="L38" s="165" t="n"/>
      <c r="M38" s="165" t="n">
        <v>3</v>
      </c>
      <c r="N38" s="147" t="n"/>
      <c r="O38" s="165" t="n"/>
      <c r="P38" s="165" t="n"/>
      <c r="Q38" s="1589" t="n"/>
      <c r="R38" s="1039">
        <f>B38+C38+D38+E38+F38+G38+H38+I38+L38+J38+K38</f>
        <v/>
      </c>
      <c r="S38" s="151" t="n"/>
      <c r="T38" s="151" t="n"/>
      <c r="U38" s="151" t="n"/>
      <c r="V38" s="151" t="n"/>
      <c r="W38" s="151" t="n"/>
      <c r="X38" s="151" t="n"/>
      <c r="Y38" s="151" t="n"/>
      <c r="Z38" s="151" t="n"/>
      <c r="AA38" s="151" t="n"/>
      <c r="AB38" s="151" t="n"/>
      <c r="AC38" s="151" t="n"/>
      <c r="AD38" s="151" t="n"/>
      <c r="AE38" s="151" t="n"/>
      <c r="AF38" s="151" t="n"/>
      <c r="AG38" s="151" t="n"/>
      <c r="AH38" s="151" t="n"/>
      <c r="AI38" s="151" t="n"/>
      <c r="AJ38" s="151" t="n"/>
      <c r="AK38" s="151" t="n"/>
      <c r="AL38" s="151" t="n"/>
      <c r="AM38" s="151" t="n"/>
      <c r="AN38" s="151" t="n"/>
      <c r="AO38" s="151" t="n"/>
      <c r="AP38" s="151" t="n"/>
      <c r="AQ38" s="151" t="n"/>
      <c r="AR38" s="151" t="n"/>
      <c r="AS38" s="151" t="n"/>
      <c r="AT38" s="151" t="n"/>
      <c r="AU38" s="151" t="n"/>
      <c r="AV38" s="151" t="n"/>
      <c r="AW38" s="151" t="n"/>
      <c r="AX38" s="151" t="n"/>
      <c r="AY38" s="151" t="n"/>
      <c r="AZ38" s="151" t="n"/>
      <c r="BA38" s="151" t="n"/>
      <c r="BB38" s="151" t="n"/>
      <c r="BC38" s="151" t="n"/>
      <c r="BD38" s="151" t="n"/>
      <c r="BE38" s="151" t="n"/>
      <c r="BF38" s="151" t="n"/>
      <c r="BG38" s="151" t="n"/>
      <c r="BH38" s="151" t="n"/>
      <c r="BI38" s="151" t="n"/>
      <c r="BJ38" s="151" t="n"/>
      <c r="BK38" s="151" t="n"/>
      <c r="BL38" s="151" t="n"/>
      <c r="BM38" s="151" t="n"/>
      <c r="BN38" s="151" t="n"/>
      <c r="BO38" s="151" t="n"/>
      <c r="BP38" s="151" t="n"/>
      <c r="BQ38" s="151" t="n"/>
      <c r="BR38" s="151" t="n"/>
      <c r="BS38" s="151" t="n"/>
      <c r="BT38" s="151" t="n"/>
      <c r="BU38" s="151" t="n"/>
      <c r="BV38" s="151" t="n"/>
      <c r="BW38" s="151" t="n"/>
      <c r="BX38" s="151" t="n"/>
      <c r="BY38" s="151" t="n"/>
      <c r="BZ38" s="151" t="n"/>
      <c r="CA38" s="151" t="n"/>
      <c r="CB38" s="151" t="n"/>
      <c r="CC38" s="151" t="n"/>
      <c r="CD38" s="151" t="n"/>
      <c r="CE38" s="151" t="n"/>
      <c r="CF38" s="151" t="n"/>
      <c r="CG38" s="151" t="n"/>
      <c r="CH38" s="151" t="n"/>
      <c r="CI38" s="151" t="n"/>
      <c r="CJ38" s="151" t="n"/>
      <c r="CK38" s="151" t="n"/>
      <c r="CL38" s="151" t="n"/>
      <c r="CM38" s="151" t="n"/>
      <c r="CN38" s="151" t="n"/>
      <c r="CO38" s="151" t="n"/>
      <c r="CP38" s="151" t="n"/>
      <c r="CQ38" s="151" t="n"/>
      <c r="CR38" s="151" t="n"/>
      <c r="CS38" s="151" t="n"/>
      <c r="CT38" s="151" t="n"/>
      <c r="CU38" s="151" t="n"/>
      <c r="CV38" s="151" t="n"/>
      <c r="CW38" s="151" t="n"/>
      <c r="CX38" s="151" t="n"/>
      <c r="CY38" s="151" t="n"/>
      <c r="CZ38" s="151" t="n"/>
      <c r="DA38" s="151" t="n"/>
      <c r="DB38" s="151" t="n"/>
      <c r="DC38" s="151" t="n"/>
      <c r="DD38" s="151" t="n"/>
      <c r="DE38" s="151" t="n"/>
      <c r="DF38" s="151" t="n"/>
      <c r="DG38" s="151" t="n"/>
      <c r="DH38" s="151" t="n"/>
      <c r="DI38" s="151" t="n"/>
      <c r="DJ38" s="151" t="n"/>
      <c r="DK38" s="151" t="n"/>
      <c r="DL38" s="151" t="n"/>
      <c r="DM38" s="151" t="n"/>
      <c r="DN38" s="151" t="n"/>
      <c r="DO38" s="151" t="n"/>
      <c r="DP38" s="150" t="n"/>
      <c r="DQ38" s="150" t="n"/>
      <c r="DR38" s="150" t="n"/>
      <c r="DS38" s="150" t="n"/>
      <c r="DT38" s="150" t="n"/>
      <c r="DU38" s="150" t="n"/>
      <c r="DV38" s="150" t="n"/>
      <c r="DW38" s="150" t="n"/>
      <c r="DX38" s="150" t="n"/>
      <c r="DY38" s="150" t="n"/>
      <c r="DZ38" s="150" t="n"/>
      <c r="EA38" s="150" t="n"/>
      <c r="EB38" s="150" t="n"/>
      <c r="EC38" s="150" t="n"/>
      <c r="ED38" s="150" t="n"/>
      <c r="EE38" s="150" t="n"/>
      <c r="EF38" s="150" t="n"/>
      <c r="EG38" s="150" t="n"/>
      <c r="EH38" s="150" t="n"/>
      <c r="EI38" s="150" t="n"/>
      <c r="EJ38" s="150" t="n"/>
      <c r="EK38" s="150" t="n"/>
      <c r="EL38" s="150" t="n"/>
      <c r="EM38" s="150" t="n"/>
      <c r="EN38" s="150" t="n"/>
      <c r="EO38" s="150" t="n"/>
      <c r="EP38" s="150" t="n"/>
      <c r="EQ38" s="150" t="n"/>
      <c r="ER38" s="150" t="n"/>
      <c r="ES38" s="150" t="n"/>
      <c r="ET38" s="150" t="n"/>
      <c r="EU38" s="150" t="n"/>
      <c r="EV38" s="150" t="n"/>
      <c r="EW38" s="150" t="n"/>
      <c r="EX38" s="150" t="n"/>
      <c r="EY38" s="150" t="n"/>
      <c r="EZ38" s="150" t="n"/>
      <c r="FA38" s="150" t="n"/>
      <c r="FB38" s="150" t="n"/>
      <c r="FC38" s="150" t="n"/>
      <c r="FD38" s="150" t="n"/>
      <c r="FE38" s="150" t="n"/>
      <c r="FF38" s="150" t="n"/>
      <c r="FG38" s="150" t="n"/>
      <c r="FH38" s="150" t="n"/>
      <c r="FI38" s="150" t="n"/>
      <c r="FJ38" s="150" t="n"/>
      <c r="FK38" s="150" t="n"/>
      <c r="FL38" s="150" t="n"/>
      <c r="FM38" s="150" t="n"/>
      <c r="FN38" s="150" t="n"/>
      <c r="FO38" s="150" t="n"/>
      <c r="FP38" s="150" t="n"/>
      <c r="FQ38" s="150" t="n"/>
      <c r="FR38" s="150" t="n"/>
      <c r="FS38" s="150" t="n"/>
      <c r="FT38" s="150" t="n"/>
      <c r="FU38" s="150" t="n"/>
      <c r="FV38" s="150" t="n"/>
      <c r="FW38" s="150" t="n"/>
      <c r="FX38" s="150" t="n"/>
      <c r="FY38" s="150" t="n"/>
      <c r="FZ38" s="150" t="n"/>
      <c r="GA38" s="150" t="n"/>
      <c r="GB38" s="150" t="n"/>
      <c r="GC38" s="150" t="n"/>
      <c r="GD38" s="150" t="n"/>
      <c r="GE38" s="150" t="n"/>
      <c r="GF38" s="150" t="n"/>
      <c r="GG38" s="150" t="n"/>
      <c r="GH38" s="150" t="n"/>
    </row>
    <row r="39" ht="30.2" customFormat="1" customHeight="1" s="150">
      <c r="A39" s="1105" t="inlineStr">
        <is>
          <t>SHIWAKOTI Rojal</t>
        </is>
      </c>
      <c r="B39" s="1040" t="n">
        <v>700</v>
      </c>
      <c r="C39" s="165" t="n">
        <v>750</v>
      </c>
      <c r="D39" s="165" t="n">
        <v>1000</v>
      </c>
      <c r="E39" s="165" t="n"/>
      <c r="F39" s="147" t="n"/>
      <c r="G39" s="147" t="n"/>
      <c r="H39" s="147" t="n">
        <v>25</v>
      </c>
      <c r="I39" s="165" t="n"/>
      <c r="J39" s="734" t="n"/>
      <c r="K39" s="963" t="n"/>
      <c r="L39" s="165" t="n"/>
      <c r="M39" s="165" t="n">
        <v>3</v>
      </c>
      <c r="N39" s="147" t="n">
        <v>15</v>
      </c>
      <c r="O39" s="165" t="n">
        <v>2</v>
      </c>
      <c r="P39" s="165" t="n">
        <v>1</v>
      </c>
      <c r="Q39" s="1589" t="n">
        <v>11.2</v>
      </c>
      <c r="R39" s="1039">
        <f>B39+C39+D39+E39+F39+G39+H39+I39+K39+L39+J39</f>
        <v/>
      </c>
      <c r="S39" s="151" t="n"/>
      <c r="T39" s="151" t="n"/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51" t="n"/>
      <c r="AE39" s="151" t="n"/>
      <c r="AF39" s="151" t="n"/>
      <c r="AG39" s="151" t="n"/>
      <c r="AH39" s="151" t="n"/>
      <c r="AI39" s="151" t="n"/>
      <c r="AJ39" s="151" t="n"/>
      <c r="AK39" s="151" t="n"/>
      <c r="AL39" s="151" t="n"/>
      <c r="AM39" s="151" t="n"/>
      <c r="AN39" s="151" t="n"/>
      <c r="AO39" s="151" t="n"/>
      <c r="AP39" s="151" t="n"/>
      <c r="AQ39" s="151" t="n"/>
      <c r="AR39" s="151" t="n"/>
      <c r="AS39" s="151" t="n"/>
      <c r="AT39" s="151" t="n"/>
      <c r="AU39" s="151" t="n"/>
      <c r="AV39" s="151" t="n"/>
      <c r="AW39" s="151" t="n"/>
      <c r="AX39" s="151" t="n"/>
      <c r="AY39" s="151" t="n"/>
      <c r="AZ39" s="151" t="n"/>
      <c r="BA39" s="151" t="n"/>
      <c r="BB39" s="151" t="n"/>
      <c r="BC39" s="151" t="n"/>
      <c r="BD39" s="151" t="n"/>
      <c r="BE39" s="151" t="n"/>
      <c r="BF39" s="151" t="n"/>
      <c r="BG39" s="151" t="n"/>
      <c r="BH39" s="151" t="n"/>
      <c r="BI39" s="151" t="n"/>
      <c r="BJ39" s="151" t="n"/>
      <c r="BK39" s="151" t="n"/>
      <c r="BL39" s="151" t="n"/>
      <c r="BM39" s="151" t="n"/>
      <c r="BN39" s="151" t="n"/>
      <c r="BO39" s="151" t="n"/>
      <c r="BP39" s="151" t="n"/>
      <c r="BQ39" s="151" t="n"/>
      <c r="BR39" s="151" t="n"/>
      <c r="BS39" s="151" t="n"/>
      <c r="BT39" s="151" t="n"/>
      <c r="BU39" s="151" t="n"/>
      <c r="BV39" s="151" t="n"/>
      <c r="BW39" s="151" t="n"/>
      <c r="BX39" s="151" t="n"/>
      <c r="BY39" s="151" t="n"/>
      <c r="BZ39" s="151" t="n"/>
      <c r="CA39" s="151" t="n"/>
      <c r="CB39" s="151" t="n"/>
      <c r="CC39" s="151" t="n"/>
      <c r="CD39" s="151" t="n"/>
      <c r="CE39" s="151" t="n"/>
      <c r="CF39" s="151" t="n"/>
      <c r="CG39" s="151" t="n"/>
      <c r="CH39" s="151" t="n"/>
      <c r="CI39" s="151" t="n"/>
      <c r="CJ39" s="151" t="n"/>
      <c r="CK39" s="151" t="n"/>
      <c r="CL39" s="151" t="n"/>
      <c r="CM39" s="151" t="n"/>
      <c r="CN39" s="151" t="n"/>
      <c r="CO39" s="151" t="n"/>
      <c r="CP39" s="151" t="n"/>
      <c r="CQ39" s="151" t="n"/>
      <c r="CR39" s="151" t="n"/>
      <c r="CS39" s="151" t="n"/>
      <c r="CT39" s="151" t="n"/>
      <c r="CU39" s="151" t="n"/>
      <c r="CV39" s="151" t="n"/>
      <c r="CW39" s="151" t="n"/>
      <c r="CX39" s="151" t="n"/>
      <c r="CY39" s="151" t="n"/>
      <c r="CZ39" s="151" t="n"/>
      <c r="DA39" s="151" t="n"/>
      <c r="DB39" s="151" t="n"/>
      <c r="DC39" s="151" t="n"/>
      <c r="DD39" s="151" t="n"/>
      <c r="DE39" s="151" t="n"/>
      <c r="DF39" s="151" t="n"/>
      <c r="DG39" s="151" t="n"/>
      <c r="DH39" s="151" t="n"/>
      <c r="DI39" s="151" t="n"/>
      <c r="DJ39" s="151" t="n"/>
      <c r="DK39" s="151" t="n"/>
      <c r="DL39" s="151" t="n"/>
      <c r="DM39" s="151" t="n"/>
      <c r="DN39" s="151" t="n"/>
      <c r="DO39" s="151" t="n"/>
      <c r="DP39" s="150" t="n"/>
      <c r="DQ39" s="150" t="n"/>
      <c r="DR39" s="150" t="n"/>
      <c r="DS39" s="150" t="n"/>
      <c r="DT39" s="150" t="n"/>
      <c r="DU39" s="150" t="n"/>
      <c r="DV39" s="150" t="n"/>
      <c r="DW39" s="150" t="n"/>
      <c r="DX39" s="150" t="n"/>
      <c r="DY39" s="150" t="n"/>
      <c r="DZ39" s="150" t="n"/>
      <c r="EA39" s="150" t="n"/>
      <c r="EB39" s="150" t="n"/>
      <c r="EC39" s="150" t="n"/>
      <c r="ED39" s="150" t="n"/>
      <c r="EE39" s="150" t="n"/>
      <c r="EF39" s="150" t="n"/>
      <c r="EG39" s="150" t="n"/>
      <c r="EH39" s="150" t="n"/>
      <c r="EI39" s="150" t="n"/>
      <c r="EJ39" s="150" t="n"/>
      <c r="EK39" s="150" t="n"/>
      <c r="EL39" s="150" t="n"/>
      <c r="EM39" s="150" t="n"/>
      <c r="EN39" s="150" t="n"/>
      <c r="EO39" s="150" t="n"/>
      <c r="EP39" s="150" t="n"/>
      <c r="EQ39" s="150" t="n"/>
      <c r="ER39" s="150" t="n"/>
      <c r="ES39" s="150" t="n"/>
      <c r="ET39" s="150" t="n"/>
      <c r="EU39" s="150" t="n"/>
      <c r="EV39" s="150" t="n"/>
      <c r="EW39" s="150" t="n"/>
      <c r="EX39" s="150" t="n"/>
      <c r="EY39" s="150" t="n"/>
      <c r="EZ39" s="150" t="n"/>
      <c r="FA39" s="150" t="n"/>
      <c r="FB39" s="150" t="n"/>
      <c r="FC39" s="150" t="n"/>
      <c r="FD39" s="150" t="n"/>
      <c r="FE39" s="150" t="n"/>
      <c r="FF39" s="150" t="n"/>
      <c r="FG39" s="150" t="n"/>
      <c r="FH39" s="150" t="n"/>
      <c r="FI39" s="150" t="n"/>
      <c r="FJ39" s="150" t="n"/>
      <c r="FK39" s="150" t="n"/>
      <c r="FL39" s="150" t="n"/>
      <c r="FM39" s="150" t="n"/>
      <c r="FN39" s="150" t="n"/>
      <c r="FO39" s="150" t="n"/>
      <c r="FP39" s="150" t="n"/>
      <c r="FQ39" s="150" t="n"/>
      <c r="FR39" s="150" t="n"/>
      <c r="FS39" s="150" t="n"/>
      <c r="FT39" s="150" t="n"/>
      <c r="FU39" s="150" t="n"/>
      <c r="FV39" s="150" t="n"/>
      <c r="FW39" s="150" t="n"/>
      <c r="FX39" s="150" t="n"/>
      <c r="FY39" s="150" t="n"/>
      <c r="FZ39" s="150" t="n"/>
      <c r="GA39" s="150" t="n"/>
      <c r="GB39" s="150" t="n"/>
      <c r="GC39" s="150" t="n"/>
      <c r="GD39" s="150" t="n"/>
      <c r="GE39" s="150" t="n"/>
      <c r="GF39" s="150" t="n"/>
      <c r="GG39" s="150" t="n"/>
      <c r="GH39" s="150" t="n"/>
    </row>
    <row r="40" ht="30.2" customHeight="1" s="2" thickBot="1">
      <c r="A40" s="1233" t="inlineStr">
        <is>
          <t>SHRESTHA, Anish</t>
        </is>
      </c>
      <c r="B40" s="1046" t="n">
        <v>1000</v>
      </c>
      <c r="C40" s="963" t="n">
        <v>500</v>
      </c>
      <c r="D40" s="963" t="n">
        <v>500</v>
      </c>
      <c r="E40" s="963" t="n">
        <v>175</v>
      </c>
      <c r="F40" s="964" t="n"/>
      <c r="G40" s="964" t="n"/>
      <c r="H40" s="964" t="n"/>
      <c r="I40" s="963" t="n"/>
      <c r="J40" s="962" t="n"/>
      <c r="K40" s="963" t="n"/>
      <c r="L40" s="963" t="n"/>
      <c r="M40" s="165" t="n">
        <v>3</v>
      </c>
      <c r="N40" s="964" t="n"/>
      <c r="O40" s="963" t="n"/>
      <c r="P40" s="963" t="n"/>
      <c r="Q40" s="1585" t="n"/>
      <c r="R40" s="1038">
        <f>B40+C40+D40+E40+F40+G40+H40+I40+K40+L40+J40</f>
        <v/>
      </c>
      <c r="S40" s="151" t="n"/>
      <c r="T40" s="151" t="n"/>
      <c r="U40" s="151" t="n"/>
      <c r="V40" s="151" t="n"/>
      <c r="W40" s="151" t="n"/>
      <c r="X40" s="151" t="n"/>
      <c r="Y40" s="151" t="n"/>
      <c r="Z40" s="151" t="n"/>
      <c r="AA40" s="151" t="n"/>
      <c r="AB40" s="151" t="n"/>
      <c r="AC40" s="151" t="n"/>
      <c r="AD40" s="151" t="n"/>
      <c r="AE40" s="151" t="n"/>
      <c r="AF40" s="151" t="n"/>
      <c r="AG40" s="151" t="n"/>
      <c r="AH40" s="151" t="n"/>
      <c r="AI40" s="151" t="n"/>
      <c r="AJ40" s="151" t="n"/>
      <c r="AK40" s="151" t="n"/>
      <c r="AL40" s="151" t="n"/>
      <c r="AM40" s="151" t="n"/>
      <c r="AN40" s="151" t="n"/>
      <c r="AO40" s="151" t="n"/>
      <c r="AP40" s="151" t="n"/>
      <c r="AQ40" s="151" t="n"/>
      <c r="AR40" s="151" t="n"/>
      <c r="AS40" s="151" t="n"/>
      <c r="AT40" s="151" t="n"/>
      <c r="AU40" s="151" t="n"/>
      <c r="AV40" s="151" t="n"/>
      <c r="AW40" s="151" t="n"/>
      <c r="AX40" s="151" t="n"/>
      <c r="AY40" s="151" t="n"/>
      <c r="AZ40" s="151" t="n"/>
      <c r="BA40" s="151" t="n"/>
      <c r="BB40" s="151" t="n"/>
      <c r="BC40" s="151" t="n"/>
      <c r="BD40" s="151" t="n"/>
      <c r="BE40" s="151" t="n"/>
      <c r="BF40" s="151" t="n"/>
      <c r="BG40" s="151" t="n"/>
      <c r="BH40" s="151" t="n"/>
      <c r="BI40" s="151" t="n"/>
      <c r="BJ40" s="151" t="n"/>
      <c r="BK40" s="151" t="n"/>
      <c r="BL40" s="151" t="n"/>
      <c r="BM40" s="151" t="n"/>
      <c r="BN40" s="151" t="n"/>
      <c r="BO40" s="151" t="n"/>
      <c r="BP40" s="151" t="n"/>
      <c r="BQ40" s="151" t="n"/>
      <c r="BR40" s="151" t="n"/>
      <c r="BS40" s="151" t="n"/>
      <c r="BT40" s="151" t="n"/>
      <c r="BU40" s="151" t="n"/>
      <c r="BV40" s="151" t="n"/>
      <c r="BW40" s="151" t="n"/>
      <c r="BX40" s="151" t="n"/>
      <c r="BY40" s="151" t="n"/>
      <c r="BZ40" s="151" t="n"/>
      <c r="CA40" s="151" t="n"/>
      <c r="CB40" s="151" t="n"/>
      <c r="CC40" s="151" t="n"/>
      <c r="CD40" s="151" t="n"/>
      <c r="CE40" s="151" t="n"/>
      <c r="CF40" s="151" t="n"/>
      <c r="CG40" s="151" t="n"/>
      <c r="CH40" s="151" t="n"/>
      <c r="CI40" s="151" t="n"/>
      <c r="CJ40" s="151" t="n"/>
      <c r="CK40" s="151" t="n"/>
      <c r="CL40" s="151" t="n"/>
      <c r="CM40" s="151" t="n"/>
      <c r="CN40" s="151" t="n"/>
      <c r="CO40" s="151" t="n"/>
      <c r="CP40" s="151" t="n"/>
      <c r="CQ40" s="151" t="n"/>
      <c r="CR40" s="151" t="n"/>
      <c r="CS40" s="151" t="n"/>
      <c r="CT40" s="151" t="n"/>
      <c r="CU40" s="151" t="n"/>
      <c r="CV40" s="151" t="n"/>
      <c r="CW40" s="151" t="n"/>
      <c r="CX40" s="151" t="n"/>
      <c r="CY40" s="151" t="n"/>
      <c r="CZ40" s="151" t="n"/>
      <c r="DA40" s="151" t="n"/>
      <c r="DB40" s="151" t="n"/>
      <c r="DC40" s="151" t="n"/>
      <c r="DD40" s="151" t="n"/>
      <c r="DE40" s="151" t="n"/>
      <c r="DF40" s="151" t="n"/>
      <c r="DG40" s="151" t="n"/>
      <c r="DH40" s="151" t="n"/>
      <c r="DI40" s="151" t="n"/>
      <c r="DJ40" s="151" t="n"/>
      <c r="DK40" s="151" t="n"/>
      <c r="DL40" s="151" t="n"/>
      <c r="DM40" s="151" t="n"/>
      <c r="DN40" s="151" t="n"/>
      <c r="DO40" s="151" t="n"/>
      <c r="DP40" s="150" t="n"/>
      <c r="DQ40" s="150" t="n"/>
      <c r="DR40" s="150" t="n"/>
      <c r="DS40" s="150" t="n"/>
      <c r="DT40" s="150" t="n"/>
      <c r="DU40" s="150" t="n"/>
      <c r="DV40" s="150" t="n"/>
      <c r="DW40" s="150" t="n"/>
      <c r="DX40" s="150" t="n"/>
      <c r="DY40" s="150" t="n"/>
      <c r="DZ40" s="150" t="n"/>
      <c r="EA40" s="150" t="n"/>
      <c r="EB40" s="150" t="n"/>
      <c r="EC40" s="150" t="n"/>
      <c r="ED40" s="150" t="n"/>
      <c r="EE40" s="150" t="n"/>
      <c r="EF40" s="150" t="n"/>
      <c r="EG40" s="150" t="n"/>
      <c r="EH40" s="150" t="n"/>
      <c r="EI40" s="150" t="n"/>
      <c r="EJ40" s="150" t="n"/>
      <c r="EK40" s="150" t="n"/>
      <c r="EL40" s="150" t="n"/>
      <c r="EM40" s="150" t="n"/>
      <c r="EN40" s="150" t="n"/>
      <c r="EO40" s="150" t="n"/>
      <c r="EP40" s="150" t="n"/>
      <c r="EQ40" s="150" t="n"/>
      <c r="ER40" s="150" t="n"/>
      <c r="ES40" s="150" t="n"/>
      <c r="ET40" s="150" t="n"/>
      <c r="EU40" s="150" t="n"/>
      <c r="EV40" s="150" t="n"/>
      <c r="EW40" s="150" t="n"/>
      <c r="EX40" s="150" t="n"/>
      <c r="EY40" s="150" t="n"/>
      <c r="EZ40" s="150" t="n"/>
      <c r="FA40" s="150" t="n"/>
      <c r="FB40" s="150" t="n"/>
      <c r="FC40" s="150" t="n"/>
      <c r="FD40" s="150" t="n"/>
      <c r="FE40" s="150" t="n"/>
      <c r="FF40" s="150" t="n"/>
      <c r="FG40" s="150" t="n"/>
      <c r="FH40" s="150" t="n"/>
      <c r="FI40" s="150" t="n"/>
      <c r="FJ40" s="150" t="n"/>
      <c r="FK40" s="150" t="n"/>
      <c r="FL40" s="150" t="n"/>
      <c r="FM40" s="150" t="n"/>
      <c r="FN40" s="150" t="n"/>
      <c r="FO40" s="150" t="n"/>
      <c r="FP40" s="150" t="n"/>
      <c r="FQ40" s="150" t="n"/>
      <c r="FR40" s="150" t="n"/>
      <c r="FS40" s="150" t="n"/>
      <c r="FT40" s="150" t="n"/>
      <c r="FU40" s="150" t="n"/>
      <c r="FV40" s="150" t="n"/>
      <c r="FW40" s="150" t="n"/>
      <c r="FX40" s="150" t="n"/>
      <c r="FY40" s="150" t="n"/>
      <c r="FZ40" s="150" t="n"/>
      <c r="GA40" s="150" t="n"/>
      <c r="GB40" s="150" t="n"/>
      <c r="GC40" s="150" t="n"/>
      <c r="GD40" s="150" t="n"/>
      <c r="GE40" s="150" t="n"/>
      <c r="GF40" s="150" t="n"/>
      <c r="GG40" s="150" t="n"/>
      <c r="GH40" s="150" t="n"/>
    </row>
    <row r="41" ht="30.2" customFormat="1" customHeight="1" s="150">
      <c r="A41" s="1106" t="inlineStr">
        <is>
          <t>SHRESTHA Nikita</t>
        </is>
      </c>
      <c r="B41" s="1042" t="n">
        <v>3900</v>
      </c>
      <c r="C41" s="951" t="n"/>
      <c r="D41" s="951" t="n"/>
      <c r="E41" s="951" t="n"/>
      <c r="F41" s="952" t="n"/>
      <c r="G41" s="952" t="n"/>
      <c r="H41" s="952" t="n"/>
      <c r="I41" s="951" t="n"/>
      <c r="J41" s="953" t="n"/>
      <c r="K41" s="951" t="n"/>
      <c r="L41" s="951" t="n"/>
      <c r="M41" s="951" t="n">
        <v>15</v>
      </c>
      <c r="N41" s="952" t="n"/>
      <c r="O41" s="951" t="n"/>
      <c r="P41" s="951" t="n"/>
      <c r="Q41" s="1586" t="n"/>
      <c r="R41" s="955">
        <f>(B41+C41+D41+E41+F41+G41+H41+I41+K41+L41+J41)+(E42+F42+H42+I42)</f>
        <v/>
      </c>
      <c r="S41" s="151" t="n"/>
      <c r="T41" s="151" t="n"/>
      <c r="U41" s="151" t="n"/>
      <c r="V41" s="151" t="n"/>
      <c r="W41" s="151" t="n"/>
      <c r="X41" s="151" t="n"/>
      <c r="Y41" s="151" t="n"/>
      <c r="Z41" s="151" t="n"/>
      <c r="AA41" s="151" t="n"/>
      <c r="AB41" s="151" t="n"/>
      <c r="AC41" s="151" t="n"/>
      <c r="AD41" s="151" t="n"/>
      <c r="AE41" s="151" t="n"/>
      <c r="AF41" s="151" t="n"/>
      <c r="AG41" s="151" t="n"/>
      <c r="AH41" s="151" t="n"/>
      <c r="AI41" s="151" t="n"/>
      <c r="AJ41" s="151" t="n"/>
      <c r="AK41" s="151" t="n"/>
      <c r="AL41" s="151" t="n"/>
      <c r="AM41" s="151" t="n"/>
      <c r="AN41" s="151" t="n"/>
      <c r="AO41" s="151" t="n"/>
      <c r="AP41" s="151" t="n"/>
      <c r="AQ41" s="151" t="n"/>
      <c r="AR41" s="151" t="n"/>
      <c r="AS41" s="151" t="n"/>
      <c r="AT41" s="151" t="n"/>
      <c r="AU41" s="151" t="n"/>
      <c r="AV41" s="151" t="n"/>
      <c r="AW41" s="151" t="n"/>
      <c r="AX41" s="151" t="n"/>
      <c r="AY41" s="151" t="n"/>
      <c r="AZ41" s="151" t="n"/>
      <c r="BA41" s="151" t="n"/>
      <c r="BB41" s="151" t="n"/>
      <c r="BC41" s="151" t="n"/>
      <c r="BD41" s="151" t="n"/>
      <c r="BE41" s="151" t="n"/>
      <c r="BF41" s="151" t="n"/>
      <c r="BG41" s="151" t="n"/>
      <c r="BH41" s="151" t="n"/>
      <c r="BI41" s="151" t="n"/>
      <c r="BJ41" s="151" t="n"/>
      <c r="BK41" s="151" t="n"/>
      <c r="BL41" s="151" t="n"/>
      <c r="BM41" s="151" t="n"/>
      <c r="BN41" s="151" t="n"/>
      <c r="BO41" s="151" t="n"/>
      <c r="BP41" s="151" t="n"/>
      <c r="BQ41" s="151" t="n"/>
      <c r="BR41" s="151" t="n"/>
      <c r="BS41" s="151" t="n"/>
      <c r="BT41" s="151" t="n"/>
      <c r="BU41" s="151" t="n"/>
      <c r="BV41" s="151" t="n"/>
      <c r="BW41" s="151" t="n"/>
      <c r="BX41" s="151" t="n"/>
      <c r="BY41" s="151" t="n"/>
      <c r="BZ41" s="151" t="n"/>
      <c r="CA41" s="151" t="n"/>
      <c r="CB41" s="151" t="n"/>
      <c r="CC41" s="151" t="n"/>
      <c r="CD41" s="151" t="n"/>
      <c r="CE41" s="151" t="n"/>
      <c r="CF41" s="151" t="n"/>
      <c r="CG41" s="151" t="n"/>
      <c r="CH41" s="151" t="n"/>
      <c r="CI41" s="151" t="n"/>
      <c r="CJ41" s="151" t="n"/>
      <c r="CK41" s="151" t="n"/>
      <c r="CL41" s="151" t="n"/>
      <c r="CM41" s="151" t="n"/>
      <c r="CN41" s="151" t="n"/>
      <c r="CO41" s="151" t="n"/>
      <c r="CP41" s="151" t="n"/>
      <c r="CQ41" s="151" t="n"/>
      <c r="CR41" s="151" t="n"/>
      <c r="CS41" s="151" t="n"/>
      <c r="CT41" s="151" t="n"/>
      <c r="CU41" s="151" t="n"/>
      <c r="CV41" s="151" t="n"/>
      <c r="CW41" s="151" t="n"/>
      <c r="CX41" s="151" t="n"/>
      <c r="CY41" s="151" t="n"/>
      <c r="CZ41" s="151" t="n"/>
      <c r="DA41" s="151" t="n"/>
      <c r="DB41" s="151" t="n"/>
      <c r="DC41" s="151" t="n"/>
      <c r="DD41" s="151" t="n"/>
      <c r="DE41" s="151" t="n"/>
      <c r="DF41" s="151" t="n"/>
      <c r="DG41" s="151" t="n"/>
      <c r="DH41" s="151" t="n"/>
      <c r="DI41" s="151" t="n"/>
      <c r="DJ41" s="151" t="n"/>
      <c r="DK41" s="151" t="n"/>
      <c r="DL41" s="151" t="n"/>
      <c r="DM41" s="151" t="n"/>
      <c r="DN41" s="151" t="n"/>
      <c r="DO41" s="151" t="n"/>
      <c r="DP41" s="150" t="n"/>
      <c r="DQ41" s="150" t="n"/>
      <c r="DR41" s="150" t="n"/>
      <c r="DS41" s="150" t="n"/>
      <c r="DT41" s="150" t="n"/>
      <c r="DU41" s="150" t="n"/>
      <c r="DV41" s="150" t="n"/>
      <c r="DW41" s="150" t="n"/>
      <c r="DX41" s="150" t="n"/>
      <c r="DY41" s="150" t="n"/>
      <c r="DZ41" s="150" t="n"/>
      <c r="EA41" s="150" t="n"/>
      <c r="EB41" s="150" t="n"/>
      <c r="EC41" s="150" t="n"/>
      <c r="ED41" s="150" t="n"/>
      <c r="EE41" s="150" t="n"/>
      <c r="EF41" s="150" t="n"/>
      <c r="EG41" s="150" t="n"/>
      <c r="EH41" s="150" t="n"/>
      <c r="EI41" s="150" t="n"/>
      <c r="EJ41" s="150" t="n"/>
      <c r="EK41" s="150" t="n"/>
      <c r="EL41" s="150" t="n"/>
      <c r="EM41" s="150" t="n"/>
      <c r="EN41" s="150" t="n"/>
      <c r="EO41" s="150" t="n"/>
      <c r="EP41" s="150" t="n"/>
      <c r="EQ41" s="150" t="n"/>
      <c r="ER41" s="150" t="n"/>
      <c r="ES41" s="150" t="n"/>
      <c r="ET41" s="150" t="n"/>
      <c r="EU41" s="150" t="n"/>
      <c r="EV41" s="150" t="n"/>
      <c r="EW41" s="150" t="n"/>
      <c r="EX41" s="150" t="n"/>
      <c r="EY41" s="150" t="n"/>
      <c r="EZ41" s="150" t="n"/>
      <c r="FA41" s="150" t="n"/>
      <c r="FB41" s="150" t="n"/>
      <c r="FC41" s="150" t="n"/>
      <c r="FD41" s="150" t="n"/>
      <c r="FE41" s="150" t="n"/>
      <c r="FF41" s="150" t="n"/>
      <c r="FG41" s="150" t="n"/>
      <c r="FH41" s="150" t="n"/>
      <c r="FI41" s="150" t="n"/>
      <c r="FJ41" s="150" t="n"/>
      <c r="FK41" s="150" t="n"/>
      <c r="FL41" s="150" t="n"/>
      <c r="FM41" s="150" t="n"/>
      <c r="FN41" s="150" t="n"/>
      <c r="FO41" s="150" t="n"/>
      <c r="FP41" s="150" t="n"/>
      <c r="FQ41" s="150" t="n"/>
      <c r="FR41" s="150" t="n"/>
      <c r="FS41" s="150" t="n"/>
      <c r="FT41" s="150" t="n"/>
      <c r="FU41" s="150" t="n"/>
      <c r="FV41" s="150" t="n"/>
      <c r="FW41" s="150" t="n"/>
      <c r="FX41" s="150" t="n"/>
      <c r="FY41" s="150" t="n"/>
      <c r="FZ41" s="150" t="n"/>
      <c r="GA41" s="150" t="n"/>
      <c r="GB41" s="150" t="n"/>
      <c r="GC41" s="150" t="n"/>
      <c r="GD41" s="150" t="n"/>
      <c r="GE41" s="150" t="n"/>
      <c r="GF41" s="150" t="n"/>
      <c r="GG41" s="150" t="n"/>
      <c r="GH41" s="150" t="n"/>
    </row>
    <row r="42" ht="30.2" customFormat="1" customHeight="1" s="150" thickBot="1">
      <c r="A42" s="1107" t="n"/>
      <c r="B42" s="1108" t="n"/>
      <c r="C42" s="1109" t="n"/>
      <c r="D42" s="1109" t="n"/>
      <c r="E42" s="1110" t="n"/>
      <c r="F42" s="1111" t="n"/>
      <c r="G42" s="1112" t="n"/>
      <c r="H42" s="1111" t="n"/>
      <c r="I42" s="1110" t="n"/>
      <c r="J42" s="1109" t="n"/>
      <c r="K42" s="1109" t="n"/>
      <c r="L42" s="1109" t="n"/>
      <c r="M42" s="1109" t="n"/>
      <c r="N42" s="1112" t="n"/>
      <c r="O42" s="1109" t="n"/>
      <c r="P42" s="1109" t="n"/>
      <c r="Q42" s="1587" t="n"/>
      <c r="R42" s="1114" t="n"/>
      <c r="S42" s="151" t="n"/>
      <c r="T42" s="151" t="n"/>
      <c r="U42" s="151" t="n"/>
      <c r="V42" s="151" t="n"/>
      <c r="W42" s="151" t="n"/>
      <c r="X42" s="151" t="n"/>
      <c r="Y42" s="151" t="n"/>
      <c r="Z42" s="151" t="n"/>
      <c r="AA42" s="151" t="n"/>
      <c r="AB42" s="151" t="n"/>
      <c r="AC42" s="151" t="n"/>
      <c r="AD42" s="151" t="n"/>
      <c r="AE42" s="151" t="n"/>
      <c r="AF42" s="151" t="n"/>
      <c r="AG42" s="151" t="n"/>
      <c r="AH42" s="151" t="n"/>
      <c r="AI42" s="151" t="n"/>
      <c r="AJ42" s="151" t="n"/>
      <c r="AK42" s="151" t="n"/>
      <c r="AL42" s="151" t="n"/>
      <c r="AM42" s="151" t="n"/>
      <c r="AN42" s="151" t="n"/>
      <c r="AO42" s="151" t="n"/>
      <c r="AP42" s="151" t="n"/>
      <c r="AQ42" s="151" t="n"/>
      <c r="AR42" s="151" t="n"/>
      <c r="AS42" s="151" t="n"/>
      <c r="AT42" s="151" t="n"/>
      <c r="AU42" s="151" t="n"/>
      <c r="AV42" s="151" t="n"/>
      <c r="AW42" s="151" t="n"/>
      <c r="AX42" s="151" t="n"/>
      <c r="AY42" s="151" t="n"/>
      <c r="AZ42" s="151" t="n"/>
      <c r="BA42" s="151" t="n"/>
      <c r="BB42" s="151" t="n"/>
      <c r="BC42" s="151" t="n"/>
      <c r="BD42" s="151" t="n"/>
      <c r="BE42" s="151" t="n"/>
      <c r="BF42" s="151" t="n"/>
      <c r="BG42" s="151" t="n"/>
      <c r="BH42" s="151" t="n"/>
      <c r="BI42" s="151" t="n"/>
      <c r="BJ42" s="151" t="n"/>
      <c r="BK42" s="151" t="n"/>
      <c r="BL42" s="151" t="n"/>
      <c r="BM42" s="151" t="n"/>
      <c r="BN42" s="151" t="n"/>
      <c r="BO42" s="151" t="n"/>
      <c r="BP42" s="151" t="n"/>
      <c r="BQ42" s="151" t="n"/>
      <c r="BR42" s="151" t="n"/>
      <c r="BS42" s="151" t="n"/>
      <c r="BT42" s="151" t="n"/>
      <c r="BU42" s="151" t="n"/>
      <c r="BV42" s="151" t="n"/>
      <c r="BW42" s="151" t="n"/>
      <c r="BX42" s="151" t="n"/>
      <c r="BY42" s="151" t="n"/>
      <c r="BZ42" s="151" t="n"/>
      <c r="CA42" s="151" t="n"/>
      <c r="CB42" s="151" t="n"/>
      <c r="CC42" s="151" t="n"/>
      <c r="CD42" s="151" t="n"/>
      <c r="CE42" s="151" t="n"/>
      <c r="CF42" s="151" t="n"/>
      <c r="CG42" s="151" t="n"/>
      <c r="CH42" s="151" t="n"/>
      <c r="CI42" s="151" t="n"/>
      <c r="CJ42" s="151" t="n"/>
      <c r="CK42" s="151" t="n"/>
      <c r="CL42" s="151" t="n"/>
      <c r="CM42" s="151" t="n"/>
      <c r="CN42" s="151" t="n"/>
      <c r="CO42" s="151" t="n"/>
      <c r="CP42" s="151" t="n"/>
      <c r="CQ42" s="151" t="n"/>
      <c r="CR42" s="151" t="n"/>
      <c r="CS42" s="151" t="n"/>
      <c r="CT42" s="151" t="n"/>
      <c r="CU42" s="151" t="n"/>
      <c r="CV42" s="151" t="n"/>
      <c r="CW42" s="151" t="n"/>
      <c r="CX42" s="151" t="n"/>
      <c r="CY42" s="151" t="n"/>
      <c r="CZ42" s="151" t="n"/>
      <c r="DA42" s="151" t="n"/>
      <c r="DB42" s="151" t="n"/>
      <c r="DC42" s="151" t="n"/>
      <c r="DD42" s="151" t="n"/>
      <c r="DE42" s="151" t="n"/>
      <c r="DF42" s="151" t="n"/>
      <c r="DG42" s="151" t="n"/>
      <c r="DH42" s="151" t="n"/>
      <c r="DI42" s="151" t="n"/>
      <c r="DJ42" s="151" t="n"/>
      <c r="DK42" s="151" t="n"/>
      <c r="DL42" s="151" t="n"/>
      <c r="DM42" s="151" t="n"/>
      <c r="DN42" s="151" t="n"/>
      <c r="DO42" s="151" t="n"/>
      <c r="DP42" s="150" t="n"/>
      <c r="DQ42" s="150" t="n"/>
      <c r="DR42" s="150" t="n"/>
      <c r="DS42" s="150" t="n"/>
      <c r="DT42" s="150" t="n"/>
      <c r="DU42" s="150" t="n"/>
      <c r="DV42" s="150" t="n"/>
      <c r="DW42" s="150" t="n"/>
      <c r="DX42" s="150" t="n"/>
      <c r="DY42" s="150" t="n"/>
      <c r="DZ42" s="150" t="n"/>
      <c r="EA42" s="150" t="n"/>
      <c r="EB42" s="150" t="n"/>
      <c r="EC42" s="150" t="n"/>
      <c r="ED42" s="150" t="n"/>
      <c r="EE42" s="150" t="n"/>
      <c r="EF42" s="150" t="n"/>
      <c r="EG42" s="150" t="n"/>
      <c r="EH42" s="150" t="n"/>
      <c r="EI42" s="150" t="n"/>
      <c r="EJ42" s="150" t="n"/>
      <c r="EK42" s="150" t="n"/>
      <c r="EL42" s="150" t="n"/>
      <c r="EM42" s="150" t="n"/>
      <c r="EN42" s="150" t="n"/>
      <c r="EO42" s="150" t="n"/>
      <c r="EP42" s="150" t="n"/>
      <c r="EQ42" s="150" t="n"/>
      <c r="ER42" s="150" t="n"/>
      <c r="ES42" s="150" t="n"/>
      <c r="ET42" s="150" t="n"/>
      <c r="EU42" s="150" t="n"/>
      <c r="EV42" s="150" t="n"/>
      <c r="EW42" s="150" t="n"/>
      <c r="EX42" s="150" t="n"/>
      <c r="EY42" s="150" t="n"/>
      <c r="EZ42" s="150" t="n"/>
      <c r="FA42" s="150" t="n"/>
      <c r="FB42" s="150" t="n"/>
      <c r="FC42" s="150" t="n"/>
      <c r="FD42" s="150" t="n"/>
      <c r="FE42" s="150" t="n"/>
      <c r="FF42" s="150" t="n"/>
      <c r="FG42" s="150" t="n"/>
      <c r="FH42" s="150" t="n"/>
      <c r="FI42" s="150" t="n"/>
      <c r="FJ42" s="150" t="n"/>
      <c r="FK42" s="150" t="n"/>
      <c r="FL42" s="150" t="n"/>
      <c r="FM42" s="150" t="n"/>
      <c r="FN42" s="150" t="n"/>
      <c r="FO42" s="150" t="n"/>
      <c r="FP42" s="150" t="n"/>
      <c r="FQ42" s="150" t="n"/>
      <c r="FR42" s="150" t="n"/>
      <c r="FS42" s="150" t="n"/>
      <c r="FT42" s="150" t="n"/>
      <c r="FU42" s="150" t="n"/>
      <c r="FV42" s="150" t="n"/>
      <c r="FW42" s="150" t="n"/>
      <c r="FX42" s="150" t="n"/>
      <c r="FY42" s="150" t="n"/>
      <c r="FZ42" s="150" t="n"/>
      <c r="GA42" s="150" t="n"/>
      <c r="GB42" s="150" t="n"/>
      <c r="GC42" s="150" t="n"/>
      <c r="GD42" s="150" t="n"/>
      <c r="GE42" s="150" t="n"/>
      <c r="GF42" s="150" t="n"/>
      <c r="GG42" s="150" t="n"/>
      <c r="GH42" s="150" t="n"/>
    </row>
    <row r="43" ht="30.2" customHeight="1" s="2">
      <c r="A43" s="1063" t="inlineStr">
        <is>
          <t>SHRESTHA Rojan</t>
        </is>
      </c>
      <c r="B43" s="1046" t="n">
        <v>4200</v>
      </c>
      <c r="C43" s="963" t="n"/>
      <c r="D43" s="963" t="n"/>
      <c r="E43" s="963" t="n"/>
      <c r="F43" s="964" t="n"/>
      <c r="G43" s="964" t="n"/>
      <c r="H43" s="964" t="n"/>
      <c r="I43" s="963" t="n"/>
      <c r="J43" s="962" t="n"/>
      <c r="K43" s="963" t="n"/>
      <c r="L43" s="963" t="n"/>
      <c r="M43" s="165" t="n">
        <v>15</v>
      </c>
      <c r="N43" s="964" t="n"/>
      <c r="O43" s="963" t="n"/>
      <c r="P43" s="963" t="n"/>
      <c r="Q43" s="1585" t="n"/>
      <c r="R43" s="955">
        <f>(B43+C43+D43+E43+F43+G43+H43+I43+K43+L43+J43)+(E44+F44+H44+I44)</f>
        <v/>
      </c>
      <c r="S43" s="151" t="n"/>
      <c r="T43" s="151" t="n"/>
      <c r="U43" s="151" t="n"/>
      <c r="V43" s="151" t="n"/>
      <c r="W43" s="151" t="n"/>
      <c r="X43" s="151" t="n"/>
      <c r="Y43" s="151" t="n"/>
      <c r="Z43" s="151" t="n"/>
      <c r="AA43" s="151" t="n"/>
      <c r="AB43" s="151" t="n"/>
      <c r="AC43" s="151" t="n"/>
      <c r="AD43" s="151" t="n"/>
      <c r="AE43" s="151" t="n"/>
      <c r="AF43" s="151" t="n"/>
      <c r="AG43" s="151" t="n"/>
      <c r="AH43" s="151" t="n"/>
      <c r="AI43" s="151" t="n"/>
      <c r="AJ43" s="151" t="n"/>
      <c r="AK43" s="151" t="n"/>
      <c r="AL43" s="151" t="n"/>
      <c r="AM43" s="151" t="n"/>
      <c r="AN43" s="151" t="n"/>
      <c r="AO43" s="151" t="n"/>
      <c r="AP43" s="151" t="n"/>
      <c r="AQ43" s="151" t="n"/>
      <c r="AR43" s="151" t="n"/>
      <c r="AS43" s="151" t="n"/>
      <c r="AT43" s="151" t="n"/>
      <c r="AU43" s="151" t="n"/>
      <c r="AV43" s="151" t="n"/>
      <c r="AW43" s="151" t="n"/>
      <c r="AX43" s="151" t="n"/>
      <c r="AY43" s="151" t="n"/>
      <c r="AZ43" s="151" t="n"/>
      <c r="BA43" s="151" t="n"/>
      <c r="BB43" s="151" t="n"/>
      <c r="BC43" s="151" t="n"/>
      <c r="BD43" s="151" t="n"/>
      <c r="BE43" s="151" t="n"/>
      <c r="BF43" s="151" t="n"/>
      <c r="BG43" s="151" t="n"/>
      <c r="BH43" s="151" t="n"/>
      <c r="BI43" s="151" t="n"/>
      <c r="BJ43" s="151" t="n"/>
      <c r="BK43" s="151" t="n"/>
      <c r="BL43" s="151" t="n"/>
      <c r="BM43" s="151" t="n"/>
      <c r="BN43" s="151" t="n"/>
      <c r="BO43" s="151" t="n"/>
      <c r="BP43" s="151" t="n"/>
      <c r="BQ43" s="151" t="n"/>
      <c r="BR43" s="151" t="n"/>
      <c r="BS43" s="151" t="n"/>
      <c r="BT43" s="151" t="n"/>
      <c r="BU43" s="151" t="n"/>
      <c r="BV43" s="151" t="n"/>
      <c r="BW43" s="151" t="n"/>
      <c r="BX43" s="151" t="n"/>
      <c r="BY43" s="151" t="n"/>
      <c r="BZ43" s="151" t="n"/>
      <c r="CA43" s="151" t="n"/>
      <c r="CB43" s="151" t="n"/>
      <c r="CC43" s="151" t="n"/>
      <c r="CD43" s="151" t="n"/>
      <c r="CE43" s="151" t="n"/>
      <c r="CF43" s="151" t="n"/>
      <c r="CG43" s="151" t="n"/>
      <c r="CH43" s="151" t="n"/>
      <c r="CI43" s="151" t="n"/>
      <c r="CJ43" s="151" t="n"/>
      <c r="CK43" s="151" t="n"/>
      <c r="CL43" s="151" t="n"/>
      <c r="CM43" s="151" t="n"/>
      <c r="CN43" s="151" t="n"/>
      <c r="CO43" s="151" t="n"/>
      <c r="CP43" s="151" t="n"/>
      <c r="CQ43" s="151" t="n"/>
      <c r="CR43" s="151" t="n"/>
      <c r="CS43" s="151" t="n"/>
      <c r="CT43" s="151" t="n"/>
      <c r="CU43" s="151" t="n"/>
      <c r="CV43" s="151" t="n"/>
      <c r="CW43" s="151" t="n"/>
      <c r="CX43" s="151" t="n"/>
      <c r="CY43" s="151" t="n"/>
      <c r="CZ43" s="151" t="n"/>
      <c r="DA43" s="151" t="n"/>
      <c r="DB43" s="151" t="n"/>
      <c r="DC43" s="151" t="n"/>
      <c r="DD43" s="151" t="n"/>
      <c r="DE43" s="151" t="n"/>
      <c r="DF43" s="151" t="n"/>
      <c r="DG43" s="151" t="n"/>
      <c r="DH43" s="151" t="n"/>
      <c r="DI43" s="151" t="n"/>
      <c r="DJ43" s="151" t="n"/>
      <c r="DK43" s="151" t="n"/>
      <c r="DL43" s="151" t="n"/>
      <c r="DM43" s="151" t="n"/>
      <c r="DN43" s="151" t="n"/>
      <c r="DO43" s="151" t="n"/>
      <c r="DP43" s="150" t="n"/>
      <c r="DQ43" s="150" t="n"/>
      <c r="DR43" s="150" t="n"/>
      <c r="DS43" s="150" t="n"/>
      <c r="DT43" s="150" t="n"/>
      <c r="DU43" s="150" t="n"/>
      <c r="DV43" s="150" t="n"/>
      <c r="DW43" s="150" t="n"/>
      <c r="DX43" s="150" t="n"/>
      <c r="DY43" s="150" t="n"/>
      <c r="DZ43" s="150" t="n"/>
      <c r="EA43" s="150" t="n"/>
      <c r="EB43" s="150" t="n"/>
      <c r="EC43" s="150" t="n"/>
      <c r="ED43" s="150" t="n"/>
      <c r="EE43" s="150" t="n"/>
      <c r="EF43" s="150" t="n"/>
      <c r="EG43" s="150" t="n"/>
      <c r="EH43" s="150" t="n"/>
      <c r="EI43" s="150" t="n"/>
      <c r="EJ43" s="150" t="n"/>
      <c r="EK43" s="150" t="n"/>
      <c r="EL43" s="150" t="n"/>
      <c r="EM43" s="150" t="n"/>
      <c r="EN43" s="150" t="n"/>
      <c r="EO43" s="150" t="n"/>
      <c r="EP43" s="150" t="n"/>
      <c r="EQ43" s="150" t="n"/>
      <c r="ER43" s="150" t="n"/>
      <c r="ES43" s="150" t="n"/>
      <c r="ET43" s="150" t="n"/>
      <c r="EU43" s="150" t="n"/>
      <c r="EV43" s="150" t="n"/>
      <c r="EW43" s="150" t="n"/>
      <c r="EX43" s="150" t="n"/>
      <c r="EY43" s="150" t="n"/>
      <c r="EZ43" s="150" t="n"/>
      <c r="FA43" s="150" t="n"/>
      <c r="FB43" s="150" t="n"/>
      <c r="FC43" s="150" t="n"/>
      <c r="FD43" s="150" t="n"/>
      <c r="FE43" s="150" t="n"/>
      <c r="FF43" s="150" t="n"/>
      <c r="FG43" s="150" t="n"/>
      <c r="FH43" s="150" t="n"/>
      <c r="FI43" s="150" t="n"/>
      <c r="FJ43" s="150" t="n"/>
      <c r="FK43" s="150" t="n"/>
      <c r="FL43" s="150" t="n"/>
      <c r="FM43" s="150" t="n"/>
      <c r="FN43" s="150" t="n"/>
      <c r="FO43" s="150" t="n"/>
      <c r="FP43" s="150" t="n"/>
      <c r="FQ43" s="150" t="n"/>
      <c r="FR43" s="150" t="n"/>
      <c r="FS43" s="150" t="n"/>
      <c r="FT43" s="150" t="n"/>
      <c r="FU43" s="150" t="n"/>
      <c r="FV43" s="150" t="n"/>
      <c r="FW43" s="150" t="n"/>
      <c r="FX43" s="150" t="n"/>
      <c r="FY43" s="150" t="n"/>
      <c r="FZ43" s="150" t="n"/>
      <c r="GA43" s="150" t="n"/>
      <c r="GB43" s="150" t="n"/>
      <c r="GC43" s="150" t="n"/>
      <c r="GD43" s="150" t="n"/>
      <c r="GE43" s="150" t="n"/>
      <c r="GF43" s="150" t="n"/>
      <c r="GG43" s="150" t="n"/>
      <c r="GH43" s="150" t="n"/>
    </row>
    <row r="44" ht="28.5" customFormat="1" customHeight="1" s="1295" thickBot="1">
      <c r="A44" s="1107" t="n"/>
      <c r="B44" s="1108" t="n"/>
      <c r="C44" s="1109" t="n"/>
      <c r="D44" s="1109" t="n"/>
      <c r="E44" s="1110" t="n"/>
      <c r="F44" s="1111" t="n"/>
      <c r="G44" s="1112" t="n"/>
      <c r="H44" s="1111" t="n"/>
      <c r="I44" s="1110" t="n"/>
      <c r="J44" s="1109" t="n"/>
      <c r="K44" s="1109" t="n"/>
      <c r="L44" s="1109" t="n"/>
      <c r="M44" s="1109" t="n"/>
      <c r="N44" s="1112" t="n"/>
      <c r="O44" s="1109" t="n"/>
      <c r="P44" s="1109" t="n"/>
      <c r="Q44" s="1587" t="n"/>
      <c r="R44" s="1114" t="n"/>
      <c r="S44" s="1294" t="n"/>
      <c r="T44" s="1294" t="n"/>
      <c r="U44" s="1294" t="n"/>
      <c r="V44" s="1294" t="n"/>
      <c r="W44" s="1294" t="n"/>
      <c r="X44" s="1294" t="n"/>
      <c r="Y44" s="1294" t="n"/>
      <c r="Z44" s="1294" t="n"/>
      <c r="AA44" s="1294" t="n"/>
      <c r="AB44" s="1294" t="n"/>
      <c r="AC44" s="1294" t="n"/>
      <c r="AD44" s="1294" t="n"/>
      <c r="AE44" s="1294" t="n"/>
      <c r="AF44" s="1294" t="n"/>
      <c r="AG44" s="1294" t="n"/>
      <c r="AH44" s="1294" t="n"/>
      <c r="AI44" s="1294" t="n"/>
      <c r="AJ44" s="1294" t="n"/>
      <c r="AK44" s="1294" t="n"/>
      <c r="AL44" s="1294" t="n"/>
      <c r="AM44" s="1294" t="n"/>
      <c r="AN44" s="1294" t="n"/>
      <c r="AO44" s="1294" t="n"/>
      <c r="AP44" s="1294" t="n"/>
      <c r="AQ44" s="1294" t="n"/>
      <c r="AR44" s="1294" t="n"/>
      <c r="AS44" s="1294" t="n"/>
      <c r="AT44" s="1294" t="n"/>
      <c r="AU44" s="1294" t="n"/>
      <c r="AV44" s="1294" t="n"/>
      <c r="AW44" s="1294" t="n"/>
      <c r="AX44" s="1294" t="n"/>
      <c r="AY44" s="1294" t="n"/>
      <c r="AZ44" s="1294" t="n"/>
      <c r="BA44" s="1294" t="n"/>
      <c r="BB44" s="1294" t="n"/>
      <c r="BC44" s="1294" t="n"/>
      <c r="BD44" s="1294" t="n"/>
      <c r="BE44" s="1294" t="n"/>
      <c r="BF44" s="1294" t="n"/>
      <c r="BG44" s="1294" t="n"/>
      <c r="BH44" s="1294" t="n"/>
      <c r="BI44" s="1294" t="n"/>
      <c r="BJ44" s="1294" t="n"/>
      <c r="BK44" s="1294" t="n"/>
      <c r="BL44" s="1294" t="n"/>
      <c r="BM44" s="1294" t="n"/>
      <c r="BN44" s="1294" t="n"/>
      <c r="BO44" s="1294" t="n"/>
      <c r="BP44" s="1294" t="n"/>
      <c r="BQ44" s="1294" t="n"/>
      <c r="BR44" s="1294" t="n"/>
      <c r="BS44" s="1294" t="n"/>
      <c r="BT44" s="1294" t="n"/>
      <c r="BU44" s="1294" t="n"/>
      <c r="BV44" s="1294" t="n"/>
      <c r="BW44" s="1294" t="n"/>
      <c r="BX44" s="1294" t="n"/>
      <c r="BY44" s="1294" t="n"/>
      <c r="BZ44" s="1294" t="n"/>
      <c r="CA44" s="1294" t="n"/>
      <c r="CB44" s="1294" t="n"/>
      <c r="CC44" s="1294" t="n"/>
      <c r="CD44" s="1294" t="n"/>
      <c r="CE44" s="1294" t="n"/>
      <c r="CF44" s="1294" t="n"/>
      <c r="CG44" s="1294" t="n"/>
      <c r="CH44" s="1294" t="n"/>
      <c r="CI44" s="1294" t="n"/>
      <c r="CJ44" s="1294" t="n"/>
      <c r="CK44" s="1294" t="n"/>
      <c r="CL44" s="1294" t="n"/>
      <c r="CM44" s="1294" t="n"/>
      <c r="CN44" s="1294" t="n"/>
      <c r="CO44" s="1294" t="n"/>
      <c r="CP44" s="1294" t="n"/>
      <c r="CQ44" s="1294" t="n"/>
      <c r="CR44" s="1294" t="n"/>
      <c r="CS44" s="1294" t="n"/>
      <c r="CT44" s="1294" t="n"/>
      <c r="CU44" s="1294" t="n"/>
      <c r="CV44" s="1294" t="n"/>
      <c r="CW44" s="1294" t="n"/>
      <c r="CX44" s="1294" t="n"/>
      <c r="CY44" s="1294" t="n"/>
      <c r="CZ44" s="1294" t="n"/>
      <c r="DA44" s="1294" t="n"/>
      <c r="DB44" s="1294" t="n"/>
      <c r="DC44" s="1294" t="n"/>
      <c r="DD44" s="1294" t="n"/>
      <c r="DE44" s="1294" t="n"/>
      <c r="DF44" s="1294" t="n"/>
      <c r="DG44" s="1294" t="n"/>
      <c r="DH44" s="1294" t="n"/>
      <c r="DI44" s="1294" t="n"/>
      <c r="DJ44" s="1294" t="n"/>
      <c r="DK44" s="1294" t="n"/>
      <c r="DL44" s="1294" t="n"/>
      <c r="DM44" s="1294" t="n"/>
      <c r="DN44" s="1294" t="n"/>
      <c r="DO44" s="1294" t="n"/>
      <c r="DP44" s="1294" t="n"/>
      <c r="DQ44" s="1294" t="n"/>
      <c r="DR44" s="1294" t="n"/>
      <c r="DS44" s="1294" t="n"/>
      <c r="DT44" s="1294" t="n"/>
      <c r="DU44" s="1294" t="n"/>
      <c r="DV44" s="1294" t="n"/>
      <c r="DW44" s="1294" t="n"/>
      <c r="DX44" s="1294" t="n"/>
      <c r="DY44" s="1294" t="n"/>
      <c r="DZ44" s="1294" t="n"/>
      <c r="EA44" s="1294" t="n"/>
      <c r="EB44" s="1294" t="n"/>
      <c r="EC44" s="1294" t="n"/>
      <c r="ED44" s="1294" t="n"/>
      <c r="EE44" s="1294" t="n"/>
      <c r="EF44" s="1294" t="n"/>
      <c r="EG44" s="1294" t="n"/>
      <c r="EH44" s="1294" t="n"/>
      <c r="EI44" s="1294" t="n"/>
      <c r="EJ44" s="1294" t="n"/>
      <c r="EK44" s="1294" t="n"/>
      <c r="EL44" s="1294" t="n"/>
      <c r="EM44" s="1294" t="n"/>
      <c r="EN44" s="1294" t="n"/>
      <c r="EO44" s="1294" t="n"/>
      <c r="EP44" s="1294" t="n"/>
      <c r="EQ44" s="1294" t="n"/>
      <c r="ER44" s="1294" t="n"/>
      <c r="ES44" s="1294" t="n"/>
      <c r="ET44" s="1294" t="n"/>
      <c r="EU44" s="1294" t="n"/>
      <c r="EV44" s="1294" t="n"/>
      <c r="EW44" s="1294" t="n"/>
      <c r="EX44" s="1294" t="n"/>
      <c r="EY44" s="1294" t="n"/>
      <c r="EZ44" s="1294" t="n"/>
      <c r="FA44" s="1294" t="n"/>
      <c r="FB44" s="1294" t="n"/>
      <c r="FC44" s="1294" t="n"/>
      <c r="FD44" s="1294" t="n"/>
      <c r="FE44" s="1294" t="n"/>
      <c r="FF44" s="1294" t="n"/>
      <c r="FG44" s="1294" t="n"/>
      <c r="FH44" s="1294" t="n"/>
      <c r="FI44" s="1294" t="n"/>
      <c r="FJ44" s="1294" t="n"/>
      <c r="FK44" s="1294" t="n"/>
      <c r="FL44" s="1294" t="n"/>
      <c r="FM44" s="1294" t="n"/>
      <c r="FN44" s="1294" t="n"/>
      <c r="FO44" s="1294" t="n"/>
      <c r="FP44" s="1294" t="n"/>
      <c r="FQ44" s="1294" t="n"/>
      <c r="FR44" s="1294" t="n"/>
      <c r="FS44" s="1294" t="n"/>
      <c r="FT44" s="1294" t="n"/>
      <c r="FU44" s="1294" t="n"/>
      <c r="FV44" s="1294" t="n"/>
      <c r="FW44" s="1294" t="n"/>
      <c r="FX44" s="1294" t="n"/>
      <c r="FY44" s="1294" t="n"/>
      <c r="FZ44" s="1294" t="n"/>
      <c r="GA44" s="1294" t="n"/>
      <c r="GB44" s="1294" t="n"/>
      <c r="GC44" s="1294" t="n"/>
      <c r="GD44" s="1294" t="n"/>
      <c r="GE44" s="1294" t="n"/>
      <c r="GF44" s="1294" t="n"/>
      <c r="GG44" s="1294" t="n"/>
      <c r="GH44" s="1294" t="n"/>
    </row>
    <row r="45" ht="30.2" customFormat="1" customHeight="1" s="151">
      <c r="A45" s="1063" t="inlineStr">
        <is>
          <t>SHRESTHA, Roji</t>
        </is>
      </c>
      <c r="B45" s="1046" t="n">
        <v>1000</v>
      </c>
      <c r="C45" s="963" t="n">
        <v>750</v>
      </c>
      <c r="D45" s="963" t="n">
        <v>750</v>
      </c>
      <c r="E45" s="963" t="n"/>
      <c r="F45" s="964" t="n"/>
      <c r="G45" s="964" t="n"/>
      <c r="H45" s="964" t="n">
        <v>100</v>
      </c>
      <c r="I45" s="963" t="n"/>
      <c r="J45" s="962" t="n"/>
      <c r="K45" s="963" t="n"/>
      <c r="L45" s="963" t="n"/>
      <c r="M45" s="165" t="n">
        <v>3</v>
      </c>
      <c r="N45" s="964" t="n"/>
      <c r="O45" s="963" t="n">
        <v>1</v>
      </c>
      <c r="P45" s="963" t="n"/>
      <c r="Q45" s="1585" t="n"/>
      <c r="R45" s="1038">
        <f>B45+C45+D45+E45+F45+G45+H45+I45+K45+L45+J45</f>
        <v/>
      </c>
      <c r="AQ45" s="151" t="n"/>
      <c r="AR45" s="151" t="n"/>
      <c r="AS45" s="151" t="n"/>
      <c r="AT45" s="151" t="n"/>
      <c r="AU45" s="151" t="n"/>
      <c r="AV45" s="151" t="n"/>
      <c r="AW45" s="151" t="n"/>
      <c r="AX45" s="151" t="n"/>
      <c r="AY45" s="151" t="n"/>
      <c r="AZ45" s="151" t="n"/>
      <c r="BA45" s="151" t="n"/>
      <c r="BB45" s="151" t="n"/>
      <c r="BC45" s="151" t="n"/>
      <c r="BD45" s="151" t="n"/>
      <c r="BE45" s="151" t="n"/>
      <c r="BF45" s="151" t="n"/>
      <c r="BG45" s="151" t="n"/>
      <c r="BH45" s="151" t="n"/>
      <c r="BI45" s="151" t="n"/>
      <c r="BJ45" s="151" t="n"/>
      <c r="BK45" s="151" t="n"/>
      <c r="BL45" s="151" t="n"/>
      <c r="BM45" s="151" t="n"/>
      <c r="BN45" s="151" t="n"/>
      <c r="BO45" s="151" t="n"/>
      <c r="BP45" s="151" t="n"/>
      <c r="BQ45" s="151" t="n"/>
      <c r="BR45" s="151" t="n"/>
      <c r="BS45" s="151" t="n"/>
      <c r="BT45" s="151" t="n"/>
      <c r="BU45" s="151" t="n"/>
      <c r="BV45" s="151" t="n"/>
      <c r="BW45" s="151" t="n"/>
      <c r="BX45" s="151" t="n"/>
      <c r="BY45" s="151" t="n"/>
      <c r="BZ45" s="151" t="n"/>
      <c r="CA45" s="151" t="n"/>
      <c r="CB45" s="151" t="n"/>
      <c r="CC45" s="151" t="n"/>
      <c r="CD45" s="151" t="n"/>
      <c r="CE45" s="151" t="n"/>
      <c r="CF45" s="151" t="n"/>
      <c r="CG45" s="151" t="n"/>
      <c r="CH45" s="151" t="n"/>
      <c r="CI45" s="151" t="n"/>
      <c r="CJ45" s="151" t="n"/>
      <c r="CK45" s="151" t="n"/>
      <c r="CL45" s="151" t="n"/>
      <c r="CM45" s="151" t="n"/>
      <c r="CN45" s="151" t="n"/>
      <c r="CO45" s="151" t="n"/>
      <c r="CP45" s="151" t="n"/>
      <c r="CQ45" s="151" t="n"/>
      <c r="CR45" s="151" t="n"/>
      <c r="CS45" s="151" t="n"/>
      <c r="CT45" s="151" t="n"/>
      <c r="CU45" s="151" t="n"/>
      <c r="CV45" s="151" t="n"/>
      <c r="CW45" s="151" t="n"/>
      <c r="CX45" s="151" t="n"/>
      <c r="CY45" s="151" t="n"/>
      <c r="CZ45" s="151" t="n"/>
      <c r="DA45" s="151" t="n"/>
      <c r="DB45" s="151" t="n"/>
      <c r="DC45" s="151" t="n"/>
      <c r="DD45" s="151" t="n"/>
      <c r="DE45" s="151" t="n"/>
      <c r="DF45" s="151" t="n"/>
      <c r="DG45" s="151" t="n"/>
      <c r="DH45" s="151" t="n"/>
      <c r="DI45" s="151" t="n"/>
      <c r="DJ45" s="151" t="n"/>
      <c r="DK45" s="151" t="n"/>
      <c r="DL45" s="151" t="n"/>
      <c r="DM45" s="151" t="n"/>
      <c r="DN45" s="151" t="n"/>
      <c r="DO45" s="151" t="n"/>
      <c r="DP45" s="151" t="n"/>
      <c r="DQ45" s="151" t="n"/>
      <c r="DR45" s="151" t="n"/>
      <c r="DS45" s="151" t="n"/>
      <c r="DT45" s="151" t="n"/>
      <c r="DU45" s="151" t="n"/>
      <c r="DV45" s="151" t="n"/>
      <c r="DW45" s="151" t="n"/>
      <c r="DX45" s="151" t="n"/>
      <c r="DY45" s="151" t="n"/>
      <c r="DZ45" s="151" t="n"/>
      <c r="EA45" s="151" t="n"/>
      <c r="EB45" s="151" t="n"/>
      <c r="EC45" s="151" t="n"/>
      <c r="ED45" s="151" t="n"/>
      <c r="EE45" s="151" t="n"/>
      <c r="EF45" s="151" t="n"/>
      <c r="EG45" s="151" t="n"/>
      <c r="EH45" s="151" t="n"/>
      <c r="EI45" s="151" t="n"/>
      <c r="EJ45" s="151" t="n"/>
      <c r="EK45" s="151" t="n"/>
      <c r="EL45" s="151" t="n"/>
      <c r="EM45" s="151" t="n"/>
      <c r="EN45" s="151" t="n"/>
      <c r="EO45" s="151" t="n"/>
      <c r="EP45" s="151" t="n"/>
      <c r="EQ45" s="151" t="n"/>
      <c r="ER45" s="151" t="n"/>
      <c r="ES45" s="151" t="n"/>
      <c r="ET45" s="151" t="n"/>
      <c r="EU45" s="151" t="n"/>
      <c r="EV45" s="151" t="n"/>
      <c r="EW45" s="151" t="n"/>
      <c r="EX45" s="151" t="n"/>
      <c r="EY45" s="151" t="n"/>
      <c r="EZ45" s="151" t="n"/>
      <c r="FA45" s="151" t="n"/>
      <c r="FB45" s="151" t="n"/>
      <c r="FC45" s="151" t="n"/>
      <c r="FD45" s="151" t="n"/>
      <c r="FE45" s="151" t="n"/>
      <c r="FF45" s="151" t="n"/>
      <c r="FG45" s="151" t="n"/>
      <c r="FH45" s="151" t="n"/>
      <c r="FI45" s="151" t="n"/>
      <c r="FJ45" s="151" t="n"/>
      <c r="FK45" s="151" t="n"/>
      <c r="FL45" s="151" t="n"/>
      <c r="FM45" s="151" t="n"/>
      <c r="FN45" s="151" t="n"/>
      <c r="FO45" s="151" t="n"/>
      <c r="FP45" s="151" t="n"/>
      <c r="FQ45" s="151" t="n"/>
      <c r="FR45" s="151" t="n"/>
      <c r="FS45" s="151" t="n"/>
      <c r="FT45" s="151" t="n"/>
      <c r="FU45" s="151" t="n"/>
      <c r="FV45" s="151" t="n"/>
      <c r="FW45" s="151" t="n"/>
      <c r="FX45" s="151" t="n"/>
      <c r="FY45" s="151" t="n"/>
      <c r="FZ45" s="151" t="n"/>
      <c r="GA45" s="151" t="n"/>
      <c r="GB45" s="151" t="n"/>
      <c r="GC45" s="151" t="n"/>
      <c r="GD45" s="151" t="n"/>
      <c r="GE45" s="151" t="n"/>
      <c r="GF45" s="151" t="n"/>
      <c r="GG45" s="151" t="n"/>
      <c r="GH45" s="151" t="n"/>
    </row>
    <row r="46" ht="28.5" customHeight="1" s="2">
      <c r="A46" s="1091" t="inlineStr">
        <is>
          <t>TAMANG, Chandraman</t>
        </is>
      </c>
      <c r="B46" s="1041" t="n"/>
      <c r="C46" s="963" t="n">
        <v>1600</v>
      </c>
      <c r="D46" s="963" t="n">
        <v>600</v>
      </c>
      <c r="E46" s="963" t="n"/>
      <c r="F46" s="964" t="n">
        <v>950</v>
      </c>
      <c r="G46" s="964" t="n">
        <v>25</v>
      </c>
      <c r="H46" s="964" t="n"/>
      <c r="I46" s="962" t="n"/>
      <c r="J46" s="963" t="n"/>
      <c r="K46" s="962" t="n"/>
      <c r="L46" s="962" t="n"/>
      <c r="M46" s="963" t="n">
        <v>3</v>
      </c>
      <c r="N46" s="964" t="n"/>
      <c r="O46" s="963" t="n">
        <v>2</v>
      </c>
      <c r="P46" s="963" t="n"/>
      <c r="Q46" s="1585" t="n"/>
      <c r="R46" s="1038">
        <f>B46+C46+D46+E46+F46+G46+H46+I46+K46+L46+J46</f>
        <v/>
      </c>
      <c r="S46" s="151" t="n"/>
      <c r="T46" s="151" t="n"/>
      <c r="U46" s="151" t="n"/>
      <c r="V46" s="151" t="n"/>
      <c r="W46" s="151" t="n"/>
      <c r="X46" s="151" t="n"/>
      <c r="Y46" s="151" t="n"/>
      <c r="Z46" s="151" t="n"/>
      <c r="AA46" s="151" t="n"/>
      <c r="AB46" s="151" t="n"/>
      <c r="AC46" s="151" t="n"/>
      <c r="AD46" s="151" t="n"/>
      <c r="AE46" s="151" t="n"/>
      <c r="AF46" s="151" t="n"/>
      <c r="AG46" s="151" t="n"/>
      <c r="AH46" s="151" t="n"/>
      <c r="AI46" s="151" t="n"/>
      <c r="AJ46" s="151" t="n"/>
      <c r="AK46" s="151" t="n"/>
      <c r="AL46" s="151" t="n"/>
      <c r="AM46" s="151" t="n"/>
      <c r="AN46" s="151" t="n"/>
      <c r="AO46" s="151" t="n"/>
      <c r="AP46" s="151" t="n"/>
      <c r="AQ46" s="151" t="n"/>
      <c r="AR46" s="151" t="n"/>
      <c r="AS46" s="151" t="n"/>
      <c r="AT46" s="151" t="n"/>
      <c r="AU46" s="151" t="n"/>
      <c r="AV46" s="151" t="n"/>
      <c r="AW46" s="151" t="n"/>
      <c r="AX46" s="151" t="n"/>
      <c r="AY46" s="151" t="n"/>
      <c r="AZ46" s="151" t="n"/>
      <c r="BA46" s="151" t="n"/>
      <c r="BB46" s="151" t="n"/>
      <c r="BC46" s="151" t="n"/>
      <c r="BD46" s="151" t="n"/>
      <c r="BE46" s="151" t="n"/>
      <c r="BF46" s="151" t="n"/>
      <c r="BG46" s="151" t="n"/>
      <c r="BH46" s="151" t="n"/>
      <c r="BI46" s="151" t="n"/>
      <c r="BJ46" s="151" t="n"/>
      <c r="BK46" s="151" t="n"/>
      <c r="BL46" s="151" t="n"/>
      <c r="BM46" s="151" t="n"/>
      <c r="BN46" s="151" t="n"/>
      <c r="BO46" s="151" t="n"/>
      <c r="BP46" s="151" t="n"/>
      <c r="BQ46" s="151" t="n"/>
      <c r="BR46" s="151" t="n"/>
      <c r="BS46" s="151" t="n"/>
      <c r="BT46" s="151" t="n"/>
      <c r="BU46" s="151" t="n"/>
      <c r="BV46" s="151" t="n"/>
      <c r="BW46" s="151" t="n"/>
      <c r="BX46" s="151" t="n"/>
      <c r="BY46" s="151" t="n"/>
      <c r="BZ46" s="151" t="n"/>
      <c r="CA46" s="151" t="n"/>
      <c r="CB46" s="151" t="n"/>
      <c r="CC46" s="151" t="n"/>
      <c r="CD46" s="151" t="n"/>
      <c r="CE46" s="151" t="n"/>
      <c r="CF46" s="151" t="n"/>
      <c r="CG46" s="151" t="n"/>
      <c r="CH46" s="151" t="n"/>
      <c r="CI46" s="151" t="n"/>
      <c r="CJ46" s="151" t="n"/>
      <c r="CK46" s="151" t="n"/>
      <c r="CL46" s="151" t="n"/>
      <c r="CM46" s="151" t="n"/>
      <c r="CN46" s="151" t="n"/>
      <c r="CO46" s="151" t="n"/>
      <c r="CP46" s="151" t="n"/>
      <c r="CQ46" s="151" t="n"/>
      <c r="CR46" s="151" t="n"/>
      <c r="CS46" s="151" t="n"/>
      <c r="CT46" s="151" t="n"/>
      <c r="CU46" s="151" t="n"/>
      <c r="CV46" s="151" t="n"/>
      <c r="CW46" s="151" t="n"/>
      <c r="CX46" s="151" t="n"/>
      <c r="CY46" s="151" t="n"/>
      <c r="CZ46" s="151" t="n"/>
      <c r="DA46" s="151" t="n"/>
      <c r="DB46" s="151" t="n"/>
      <c r="DC46" s="151" t="n"/>
      <c r="DD46" s="151" t="n"/>
      <c r="DE46" s="151" t="n"/>
      <c r="DF46" s="151" t="n"/>
      <c r="DG46" s="151" t="n"/>
      <c r="DH46" s="151" t="n"/>
      <c r="DI46" s="151" t="n"/>
      <c r="DJ46" s="151" t="n"/>
      <c r="DK46" s="151" t="n"/>
      <c r="DL46" s="151" t="n"/>
      <c r="DM46" s="151" t="n"/>
      <c r="DN46" s="151" t="n"/>
      <c r="DO46" s="151" t="n"/>
      <c r="DP46" s="150" t="n"/>
      <c r="DQ46" s="150" t="n"/>
      <c r="DR46" s="150" t="n"/>
      <c r="DS46" s="150" t="n"/>
      <c r="DT46" s="150" t="n"/>
      <c r="DU46" s="150" t="n"/>
      <c r="DV46" s="150" t="n"/>
      <c r="DW46" s="150" t="n"/>
      <c r="DX46" s="150" t="n"/>
      <c r="DY46" s="150" t="n"/>
      <c r="DZ46" s="150" t="n"/>
      <c r="EA46" s="150" t="n"/>
      <c r="EB46" s="150" t="n"/>
      <c r="EC46" s="150" t="n"/>
      <c r="ED46" s="150" t="n"/>
      <c r="EE46" s="150" t="n"/>
      <c r="EF46" s="150" t="n"/>
      <c r="EG46" s="150" t="n"/>
      <c r="EH46" s="150" t="n"/>
      <c r="EI46" s="150" t="n"/>
      <c r="EJ46" s="150" t="n"/>
      <c r="EK46" s="150" t="n"/>
      <c r="EL46" s="150" t="n"/>
      <c r="EM46" s="150" t="n"/>
      <c r="EN46" s="150" t="n"/>
      <c r="EO46" s="150" t="n"/>
      <c r="EP46" s="150" t="n"/>
      <c r="EQ46" s="150" t="n"/>
      <c r="ER46" s="150" t="n"/>
      <c r="ES46" s="150" t="n"/>
      <c r="ET46" s="150" t="n"/>
      <c r="EU46" s="150" t="n"/>
      <c r="EV46" s="150" t="n"/>
      <c r="EW46" s="150" t="n"/>
      <c r="EX46" s="150" t="n"/>
      <c r="EY46" s="150" t="n"/>
      <c r="EZ46" s="150" t="n"/>
      <c r="FA46" s="150" t="n"/>
      <c r="FB46" s="150" t="n"/>
      <c r="FC46" s="150" t="n"/>
      <c r="FD46" s="150" t="n"/>
      <c r="FE46" s="150" t="n"/>
      <c r="FF46" s="150" t="n"/>
      <c r="FG46" s="150" t="n"/>
      <c r="FH46" s="150" t="n"/>
      <c r="FI46" s="150" t="n"/>
      <c r="FJ46" s="150" t="n"/>
      <c r="FK46" s="150" t="n"/>
      <c r="FL46" s="150" t="n"/>
      <c r="FM46" s="150" t="n"/>
      <c r="FN46" s="150" t="n"/>
      <c r="FO46" s="150" t="n"/>
      <c r="FP46" s="150" t="n"/>
      <c r="FQ46" s="150" t="n"/>
      <c r="FR46" s="150" t="n"/>
      <c r="FS46" s="150" t="n"/>
      <c r="FT46" s="150" t="n"/>
      <c r="FU46" s="150" t="n"/>
      <c r="FV46" s="150" t="n"/>
      <c r="FW46" s="150" t="n"/>
      <c r="FX46" s="150" t="n"/>
      <c r="FY46" s="150" t="n"/>
      <c r="FZ46" s="150" t="n"/>
      <c r="GA46" s="150" t="n"/>
      <c r="GB46" s="150" t="n"/>
      <c r="GC46" s="150" t="n"/>
      <c r="GD46" s="150" t="n"/>
      <c r="GE46" s="150" t="n"/>
      <c r="GF46" s="150" t="n"/>
      <c r="GG46" s="150" t="n"/>
      <c r="GH46" s="150" t="n"/>
    </row>
    <row r="47" ht="30.2" customHeight="1" s="2">
      <c r="A47" s="1233" t="inlineStr">
        <is>
          <t>TAMANG, Prajwol</t>
        </is>
      </c>
      <c r="B47" s="1046" t="n">
        <v>950</v>
      </c>
      <c r="C47" s="963" t="n">
        <v>500</v>
      </c>
      <c r="D47" s="963" t="n"/>
      <c r="E47" s="963" t="n"/>
      <c r="F47" s="964" t="n"/>
      <c r="G47" s="964" t="n"/>
      <c r="H47" s="964" t="n"/>
      <c r="I47" s="963" t="n"/>
      <c r="J47" s="962" t="n"/>
      <c r="K47" s="963" t="n"/>
      <c r="L47" s="963" t="n"/>
      <c r="M47" s="165" t="n">
        <v>2</v>
      </c>
      <c r="N47" s="964" t="n"/>
      <c r="O47" s="963" t="n">
        <v>1</v>
      </c>
      <c r="P47" s="963" t="n"/>
      <c r="Q47" s="1585" t="n"/>
      <c r="R47" s="1038">
        <f>B47+C47+D47+E47+F47+G47+H47+I47+K47+L47+J47</f>
        <v/>
      </c>
      <c r="S47" s="151" t="n"/>
      <c r="T47" s="151" t="n"/>
      <c r="U47" s="151" t="n"/>
      <c r="V47" s="151" t="n"/>
      <c r="W47" s="151" t="n"/>
      <c r="X47" s="151" t="n"/>
      <c r="Y47" s="151" t="n"/>
      <c r="Z47" s="151" t="n"/>
      <c r="AA47" s="151" t="n"/>
      <c r="AB47" s="151" t="n"/>
      <c r="AC47" s="151" t="n"/>
      <c r="AD47" s="151" t="n"/>
      <c r="AE47" s="151" t="n"/>
      <c r="AF47" s="151" t="n"/>
      <c r="AG47" s="151" t="n"/>
      <c r="AH47" s="151" t="n"/>
      <c r="AI47" s="151" t="n"/>
      <c r="AJ47" s="151" t="n"/>
      <c r="AK47" s="151" t="n"/>
      <c r="AL47" s="151" t="n"/>
      <c r="AM47" s="151" t="n"/>
      <c r="AN47" s="151" t="n"/>
      <c r="AO47" s="151" t="n"/>
      <c r="AP47" s="151" t="n"/>
      <c r="AQ47" s="151" t="n"/>
      <c r="AR47" s="151" t="n"/>
      <c r="AS47" s="151" t="n"/>
      <c r="AT47" s="151" t="n"/>
      <c r="AU47" s="151" t="n"/>
      <c r="AV47" s="151" t="n"/>
      <c r="AW47" s="151" t="n"/>
      <c r="AX47" s="151" t="n"/>
      <c r="AY47" s="151" t="n"/>
      <c r="AZ47" s="151" t="n"/>
      <c r="BA47" s="151" t="n"/>
      <c r="BB47" s="151" t="n"/>
      <c r="BC47" s="151" t="n"/>
      <c r="BD47" s="151" t="n"/>
      <c r="BE47" s="151" t="n"/>
      <c r="BF47" s="151" t="n"/>
      <c r="BG47" s="151" t="n"/>
      <c r="BH47" s="151" t="n"/>
      <c r="BI47" s="151" t="n"/>
      <c r="BJ47" s="151" t="n"/>
      <c r="BK47" s="151" t="n"/>
      <c r="BL47" s="151" t="n"/>
      <c r="BM47" s="151" t="n"/>
      <c r="BN47" s="151" t="n"/>
      <c r="BO47" s="151" t="n"/>
      <c r="BP47" s="151" t="n"/>
      <c r="BQ47" s="151" t="n"/>
      <c r="BR47" s="151" t="n"/>
      <c r="BS47" s="151" t="n"/>
      <c r="BT47" s="151" t="n"/>
      <c r="BU47" s="151" t="n"/>
      <c r="BV47" s="151" t="n"/>
      <c r="BW47" s="151" t="n"/>
      <c r="BX47" s="151" t="n"/>
      <c r="BY47" s="151" t="n"/>
      <c r="BZ47" s="151" t="n"/>
      <c r="CA47" s="151" t="n"/>
      <c r="CB47" s="151" t="n"/>
      <c r="CC47" s="151" t="n"/>
      <c r="CD47" s="151" t="n"/>
      <c r="CE47" s="151" t="n"/>
      <c r="CF47" s="151" t="n"/>
      <c r="CG47" s="151" t="n"/>
      <c r="CH47" s="151" t="n"/>
      <c r="CI47" s="151" t="n"/>
      <c r="CJ47" s="151" t="n"/>
      <c r="CK47" s="151" t="n"/>
      <c r="CL47" s="151" t="n"/>
      <c r="CM47" s="151" t="n"/>
      <c r="CN47" s="151" t="n"/>
      <c r="CO47" s="151" t="n"/>
      <c r="CP47" s="151" t="n"/>
      <c r="CQ47" s="151" t="n"/>
      <c r="CR47" s="151" t="n"/>
      <c r="CS47" s="151" t="n"/>
      <c r="CT47" s="151" t="n"/>
      <c r="CU47" s="151" t="n"/>
      <c r="CV47" s="151" t="n"/>
      <c r="CW47" s="151" t="n"/>
      <c r="CX47" s="151" t="n"/>
      <c r="CY47" s="151" t="n"/>
      <c r="CZ47" s="151" t="n"/>
      <c r="DA47" s="151" t="n"/>
      <c r="DB47" s="151" t="n"/>
      <c r="DC47" s="151" t="n"/>
      <c r="DD47" s="151" t="n"/>
      <c r="DE47" s="151" t="n"/>
      <c r="DF47" s="151" t="n"/>
      <c r="DG47" s="151" t="n"/>
      <c r="DH47" s="151" t="n"/>
      <c r="DI47" s="151" t="n"/>
      <c r="DJ47" s="151" t="n"/>
      <c r="DK47" s="151" t="n"/>
      <c r="DL47" s="151" t="n"/>
      <c r="DM47" s="151" t="n"/>
      <c r="DN47" s="151" t="n"/>
      <c r="DO47" s="151" t="n"/>
      <c r="DP47" s="150" t="n"/>
      <c r="DQ47" s="150" t="n"/>
      <c r="DR47" s="150" t="n"/>
      <c r="DS47" s="150" t="n"/>
      <c r="DT47" s="150" t="n"/>
      <c r="DU47" s="150" t="n"/>
      <c r="DV47" s="150" t="n"/>
      <c r="DW47" s="150" t="n"/>
      <c r="DX47" s="150" t="n"/>
      <c r="DY47" s="150" t="n"/>
      <c r="DZ47" s="150" t="n"/>
      <c r="EA47" s="150" t="n"/>
      <c r="EB47" s="150" t="n"/>
      <c r="EC47" s="150" t="n"/>
      <c r="ED47" s="150" t="n"/>
      <c r="EE47" s="150" t="n"/>
      <c r="EF47" s="150" t="n"/>
      <c r="EG47" s="150" t="n"/>
      <c r="EH47" s="150" t="n"/>
      <c r="EI47" s="150" t="n"/>
      <c r="EJ47" s="150" t="n"/>
      <c r="EK47" s="150" t="n"/>
      <c r="EL47" s="150" t="n"/>
      <c r="EM47" s="150" t="n"/>
      <c r="EN47" s="150" t="n"/>
      <c r="EO47" s="150" t="n"/>
      <c r="EP47" s="150" t="n"/>
      <c r="EQ47" s="150" t="n"/>
      <c r="ER47" s="150" t="n"/>
      <c r="ES47" s="150" t="n"/>
      <c r="ET47" s="150" t="n"/>
      <c r="EU47" s="150" t="n"/>
      <c r="EV47" s="150" t="n"/>
      <c r="EW47" s="150" t="n"/>
      <c r="EX47" s="150" t="n"/>
      <c r="EY47" s="150" t="n"/>
      <c r="EZ47" s="150" t="n"/>
      <c r="FA47" s="150" t="n"/>
      <c r="FB47" s="150" t="n"/>
      <c r="FC47" s="150" t="n"/>
      <c r="FD47" s="150" t="n"/>
      <c r="FE47" s="150" t="n"/>
      <c r="FF47" s="150" t="n"/>
      <c r="FG47" s="150" t="n"/>
      <c r="FH47" s="150" t="n"/>
      <c r="FI47" s="150" t="n"/>
      <c r="FJ47" s="150" t="n"/>
      <c r="FK47" s="150" t="n"/>
      <c r="FL47" s="150" t="n"/>
      <c r="FM47" s="150" t="n"/>
      <c r="FN47" s="150" t="n"/>
      <c r="FO47" s="150" t="n"/>
      <c r="FP47" s="150" t="n"/>
      <c r="FQ47" s="150" t="n"/>
      <c r="FR47" s="150" t="n"/>
      <c r="FS47" s="150" t="n"/>
      <c r="FT47" s="150" t="n"/>
      <c r="FU47" s="150" t="n"/>
      <c r="FV47" s="150" t="n"/>
      <c r="FW47" s="150" t="n"/>
      <c r="FX47" s="150" t="n"/>
      <c r="FY47" s="150" t="n"/>
      <c r="FZ47" s="150" t="n"/>
      <c r="GA47" s="150" t="n"/>
      <c r="GB47" s="150" t="n"/>
      <c r="GC47" s="150" t="n"/>
      <c r="GD47" s="150" t="n"/>
      <c r="GE47" s="150" t="n"/>
      <c r="GF47" s="150" t="n"/>
      <c r="GG47" s="150" t="n"/>
      <c r="GH47" s="150" t="n"/>
    </row>
    <row r="48" ht="30.2" customHeight="1" s="2">
      <c r="A48" s="1233" t="inlineStr">
        <is>
          <t>THAPALIYA, Sirish</t>
        </is>
      </c>
      <c r="B48" s="1041" t="n"/>
      <c r="C48" s="963" t="n">
        <v>1750</v>
      </c>
      <c r="D48" s="963" t="n">
        <v>750</v>
      </c>
      <c r="E48" s="963" t="n"/>
      <c r="F48" s="964" t="n">
        <v>650</v>
      </c>
      <c r="G48" s="964" t="n"/>
      <c r="H48" s="964" t="n"/>
      <c r="I48" s="962" t="n"/>
      <c r="J48" s="963" t="n"/>
      <c r="K48" s="962" t="n"/>
      <c r="L48" s="962" t="n"/>
      <c r="M48" s="963" t="n">
        <v>3</v>
      </c>
      <c r="N48" s="964" t="n"/>
      <c r="O48" s="963" t="n"/>
      <c r="P48" s="963" t="n"/>
      <c r="Q48" s="1585" t="n"/>
      <c r="R48" s="1038">
        <f>B48+C48+D48+E48+F48+G48+H48+I48+K48+L48+J48</f>
        <v/>
      </c>
      <c r="S48" s="151" t="n"/>
      <c r="T48" s="151" t="n"/>
      <c r="U48" s="151" t="n"/>
      <c r="V48" s="151" t="n"/>
      <c r="W48" s="151" t="n"/>
      <c r="X48" s="151" t="n"/>
      <c r="Y48" s="151" t="n"/>
      <c r="Z48" s="151" t="n"/>
      <c r="AA48" s="151" t="n"/>
      <c r="AB48" s="151" t="n"/>
      <c r="AC48" s="151" t="n"/>
      <c r="AD48" s="151" t="n"/>
      <c r="AE48" s="151" t="n"/>
      <c r="AF48" s="151" t="n"/>
      <c r="AG48" s="151" t="n"/>
      <c r="AH48" s="151" t="n"/>
      <c r="AI48" s="151" t="n"/>
      <c r="AJ48" s="151" t="n"/>
      <c r="AK48" s="151" t="n"/>
      <c r="AL48" s="151" t="n"/>
      <c r="AM48" s="151" t="n"/>
      <c r="AN48" s="151" t="n"/>
      <c r="AO48" s="151" t="n"/>
      <c r="AP48" s="151" t="n"/>
      <c r="AQ48" s="151" t="n"/>
      <c r="AR48" s="151" t="n"/>
      <c r="AS48" s="151" t="n"/>
      <c r="AT48" s="151" t="n"/>
      <c r="AU48" s="151" t="n"/>
      <c r="AV48" s="151" t="n"/>
      <c r="AW48" s="151" t="n"/>
      <c r="AX48" s="151" t="n"/>
      <c r="AY48" s="151" t="n"/>
      <c r="AZ48" s="151" t="n"/>
      <c r="BA48" s="151" t="n"/>
      <c r="BB48" s="151" t="n"/>
      <c r="BC48" s="151" t="n"/>
      <c r="BD48" s="151" t="n"/>
      <c r="BE48" s="151" t="n"/>
      <c r="BF48" s="151" t="n"/>
      <c r="BG48" s="151" t="n"/>
      <c r="BH48" s="151" t="n"/>
      <c r="BI48" s="151" t="n"/>
      <c r="BJ48" s="151" t="n"/>
      <c r="BK48" s="151" t="n"/>
      <c r="BL48" s="151" t="n"/>
      <c r="BM48" s="151" t="n"/>
      <c r="BN48" s="151" t="n"/>
      <c r="BO48" s="151" t="n"/>
      <c r="BP48" s="151" t="n"/>
      <c r="BQ48" s="151" t="n"/>
      <c r="BR48" s="151" t="n"/>
      <c r="BS48" s="151" t="n"/>
      <c r="BT48" s="151" t="n"/>
      <c r="BU48" s="151" t="n"/>
      <c r="BV48" s="151" t="n"/>
      <c r="BW48" s="151" t="n"/>
      <c r="BX48" s="151" t="n"/>
      <c r="BY48" s="151" t="n"/>
      <c r="BZ48" s="151" t="n"/>
      <c r="CA48" s="151" t="n"/>
      <c r="CB48" s="151" t="n"/>
      <c r="CC48" s="151" t="n"/>
      <c r="CD48" s="151" t="n"/>
      <c r="CE48" s="151" t="n"/>
      <c r="CF48" s="151" t="n"/>
      <c r="CG48" s="151" t="n"/>
      <c r="CH48" s="151" t="n"/>
      <c r="CI48" s="151" t="n"/>
      <c r="CJ48" s="151" t="n"/>
      <c r="CK48" s="151" t="n"/>
      <c r="CL48" s="151" t="n"/>
      <c r="CM48" s="151" t="n"/>
      <c r="CN48" s="151" t="n"/>
      <c r="CO48" s="151" t="n"/>
      <c r="CP48" s="151" t="n"/>
      <c r="CQ48" s="151" t="n"/>
      <c r="CR48" s="151" t="n"/>
      <c r="CS48" s="151" t="n"/>
      <c r="CT48" s="151" t="n"/>
      <c r="CU48" s="151" t="n"/>
      <c r="CV48" s="151" t="n"/>
      <c r="CW48" s="151" t="n"/>
      <c r="CX48" s="151" t="n"/>
      <c r="CY48" s="151" t="n"/>
      <c r="CZ48" s="151" t="n"/>
      <c r="DA48" s="151" t="n"/>
      <c r="DB48" s="151" t="n"/>
      <c r="DC48" s="151" t="n"/>
      <c r="DD48" s="151" t="n"/>
      <c r="DE48" s="151" t="n"/>
      <c r="DF48" s="151" t="n"/>
      <c r="DG48" s="151" t="n"/>
      <c r="DH48" s="151" t="n"/>
      <c r="DI48" s="151" t="n"/>
      <c r="DJ48" s="151" t="n"/>
      <c r="DK48" s="151" t="n"/>
      <c r="DL48" s="151" t="n"/>
      <c r="DM48" s="151" t="n"/>
      <c r="DN48" s="151" t="n"/>
      <c r="DO48" s="151" t="n"/>
      <c r="DP48" s="150" t="n"/>
      <c r="DQ48" s="150" t="n"/>
      <c r="DR48" s="150" t="n"/>
      <c r="DS48" s="150" t="n"/>
      <c r="DT48" s="150" t="n"/>
      <c r="DU48" s="150" t="n"/>
      <c r="DV48" s="150" t="n"/>
      <c r="DW48" s="150" t="n"/>
      <c r="DX48" s="150" t="n"/>
      <c r="DY48" s="150" t="n"/>
      <c r="DZ48" s="150" t="n"/>
      <c r="EA48" s="150" t="n"/>
      <c r="EB48" s="150" t="n"/>
      <c r="EC48" s="150" t="n"/>
      <c r="ED48" s="150" t="n"/>
      <c r="EE48" s="150" t="n"/>
      <c r="EF48" s="150" t="n"/>
      <c r="EG48" s="150" t="n"/>
      <c r="EH48" s="150" t="n"/>
      <c r="EI48" s="150" t="n"/>
      <c r="EJ48" s="150" t="n"/>
      <c r="EK48" s="150" t="n"/>
      <c r="EL48" s="150" t="n"/>
      <c r="EM48" s="150" t="n"/>
      <c r="EN48" s="150" t="n"/>
      <c r="EO48" s="150" t="n"/>
      <c r="EP48" s="150" t="n"/>
      <c r="EQ48" s="150" t="n"/>
      <c r="ER48" s="150" t="n"/>
      <c r="ES48" s="150" t="n"/>
      <c r="ET48" s="150" t="n"/>
      <c r="EU48" s="150" t="n"/>
      <c r="EV48" s="150" t="n"/>
      <c r="EW48" s="150" t="n"/>
      <c r="EX48" s="150" t="n"/>
      <c r="EY48" s="150" t="n"/>
      <c r="EZ48" s="150" t="n"/>
      <c r="FA48" s="150" t="n"/>
      <c r="FB48" s="150" t="n"/>
      <c r="FC48" s="150" t="n"/>
      <c r="FD48" s="150" t="n"/>
      <c r="FE48" s="150" t="n"/>
      <c r="FF48" s="150" t="n"/>
      <c r="FG48" s="150" t="n"/>
      <c r="FH48" s="150" t="n"/>
      <c r="FI48" s="150" t="n"/>
      <c r="FJ48" s="150" t="n"/>
      <c r="FK48" s="150" t="n"/>
      <c r="FL48" s="150" t="n"/>
      <c r="FM48" s="150" t="n"/>
      <c r="FN48" s="150" t="n"/>
      <c r="FO48" s="150" t="n"/>
      <c r="FP48" s="150" t="n"/>
      <c r="FQ48" s="150" t="n"/>
      <c r="FR48" s="150" t="n"/>
      <c r="FS48" s="150" t="n"/>
      <c r="FT48" s="150" t="n"/>
      <c r="FU48" s="150" t="n"/>
      <c r="FV48" s="150" t="n"/>
      <c r="FW48" s="150" t="n"/>
      <c r="FX48" s="150" t="n"/>
      <c r="FY48" s="150" t="n"/>
      <c r="FZ48" s="150" t="n"/>
      <c r="GA48" s="150" t="n"/>
      <c r="GB48" s="150" t="n"/>
      <c r="GC48" s="150" t="n"/>
      <c r="GD48" s="150" t="n"/>
      <c r="GE48" s="150" t="n"/>
      <c r="GF48" s="150" t="n"/>
      <c r="GG48" s="150" t="n"/>
      <c r="GH48" s="150" t="n"/>
    </row>
    <row r="49" ht="23.85" customFormat="1" customHeight="1" s="152">
      <c r="A49" s="1091" t="inlineStr">
        <is>
          <t>TIRTHO, Rafid Mahmud</t>
        </is>
      </c>
      <c r="B49" s="1046" t="n">
        <v>2000</v>
      </c>
      <c r="C49" s="963" t="n">
        <v>800</v>
      </c>
      <c r="D49" s="963" t="n">
        <v>950</v>
      </c>
      <c r="E49" s="963" t="n">
        <v>150</v>
      </c>
      <c r="F49" s="964" t="n"/>
      <c r="G49" s="964" t="n">
        <v>50</v>
      </c>
      <c r="H49" s="964" t="n"/>
      <c r="I49" s="963" t="n"/>
      <c r="J49" s="962" t="n"/>
      <c r="K49" s="963" t="n"/>
      <c r="L49" s="963" t="n"/>
      <c r="M49" s="963" t="n">
        <v>3</v>
      </c>
      <c r="N49" s="964" t="n"/>
      <c r="O49" s="963" t="n">
        <v>6</v>
      </c>
      <c r="P49" s="963" t="n">
        <v>2</v>
      </c>
      <c r="Q49" s="1585" t="n"/>
      <c r="R49" s="1038">
        <f>B49+C49+D49+E49+F49+G49+H49+I49+K49+L49+J49</f>
        <v/>
      </c>
      <c r="S49" s="151" t="n"/>
      <c r="T49" s="151" t="n"/>
      <c r="U49" s="151" t="n"/>
      <c r="V49" s="151" t="n"/>
      <c r="W49" s="151" t="n"/>
      <c r="X49" s="151" t="n"/>
      <c r="Y49" s="151" t="n"/>
      <c r="Z49" s="151" t="n"/>
      <c r="AA49" s="151" t="n"/>
      <c r="AB49" s="151" t="n"/>
      <c r="AC49" s="151" t="n"/>
      <c r="AD49" s="151" t="n"/>
      <c r="AE49" s="151" t="n"/>
      <c r="AF49" s="151" t="n"/>
      <c r="AG49" s="151" t="n"/>
      <c r="AH49" s="151" t="n"/>
      <c r="AI49" s="151" t="n"/>
      <c r="AJ49" s="151" t="n"/>
      <c r="AK49" s="151" t="n"/>
      <c r="AL49" s="151" t="n"/>
      <c r="AM49" s="151" t="n"/>
      <c r="AN49" s="151" t="n"/>
      <c r="AO49" s="151" t="n"/>
      <c r="AP49" s="151" t="n"/>
      <c r="AQ49" s="151" t="n"/>
      <c r="AR49" s="151" t="n"/>
      <c r="AS49" s="151" t="n"/>
      <c r="AT49" s="151" t="n"/>
      <c r="AU49" s="151" t="n"/>
      <c r="AV49" s="151" t="n"/>
      <c r="AW49" s="151" t="n"/>
      <c r="AX49" s="151" t="n"/>
      <c r="AY49" s="151" t="n"/>
      <c r="AZ49" s="151" t="n"/>
      <c r="BA49" s="151" t="n"/>
      <c r="BB49" s="151" t="n"/>
      <c r="BC49" s="151" t="n"/>
      <c r="BD49" s="151" t="n"/>
      <c r="BE49" s="151" t="n"/>
      <c r="BF49" s="151" t="n"/>
      <c r="BG49" s="151" t="n"/>
      <c r="BH49" s="151" t="n"/>
      <c r="BI49" s="151" t="n"/>
      <c r="BJ49" s="151" t="n"/>
      <c r="BK49" s="151" t="n"/>
      <c r="BL49" s="151" t="n"/>
      <c r="BM49" s="151" t="n"/>
      <c r="BN49" s="151" t="n"/>
      <c r="BO49" s="151" t="n"/>
      <c r="BP49" s="151" t="n"/>
      <c r="BQ49" s="151" t="n"/>
      <c r="BR49" s="151" t="n"/>
      <c r="BS49" s="151" t="n"/>
      <c r="BT49" s="151" t="n"/>
      <c r="BU49" s="151" t="n"/>
      <c r="BV49" s="151" t="n"/>
      <c r="BW49" s="151" t="n"/>
      <c r="BX49" s="151" t="n"/>
      <c r="BY49" s="151" t="n"/>
      <c r="BZ49" s="151" t="n"/>
      <c r="CA49" s="151" t="n"/>
      <c r="CB49" s="151" t="n"/>
      <c r="CC49" s="151" t="n"/>
      <c r="CD49" s="151" t="n"/>
      <c r="CE49" s="151" t="n"/>
      <c r="CF49" s="151" t="n"/>
      <c r="CG49" s="151" t="n"/>
      <c r="CH49" s="151" t="n"/>
      <c r="CI49" s="151" t="n"/>
      <c r="CJ49" s="151" t="n"/>
      <c r="CK49" s="151" t="n"/>
      <c r="CL49" s="151" t="n"/>
      <c r="CM49" s="151" t="n"/>
      <c r="CN49" s="151" t="n"/>
      <c r="CO49" s="151" t="n"/>
      <c r="CP49" s="151" t="n"/>
      <c r="CQ49" s="151" t="n"/>
      <c r="CR49" s="151" t="n"/>
      <c r="CS49" s="151" t="n"/>
      <c r="CT49" s="151" t="n"/>
      <c r="CU49" s="151" t="n"/>
      <c r="CV49" s="151" t="n"/>
      <c r="CW49" s="151" t="n"/>
      <c r="CX49" s="151" t="n"/>
      <c r="CY49" s="151" t="n"/>
      <c r="CZ49" s="151" t="n"/>
      <c r="DA49" s="151" t="n"/>
      <c r="DB49" s="151" t="n"/>
      <c r="DC49" s="151" t="n"/>
      <c r="DD49" s="151" t="n"/>
      <c r="DE49" s="151" t="n"/>
      <c r="DF49" s="151" t="n"/>
      <c r="DG49" s="151" t="n"/>
      <c r="DH49" s="151" t="n"/>
      <c r="DI49" s="151" t="n"/>
      <c r="DJ49" s="151" t="n"/>
      <c r="DK49" s="151" t="n"/>
      <c r="DL49" s="151" t="n"/>
      <c r="DM49" s="151" t="n"/>
      <c r="DN49" s="151" t="n"/>
      <c r="DO49" s="151" t="n"/>
      <c r="DP49" s="150" t="n"/>
      <c r="DQ49" s="150" t="n"/>
      <c r="DR49" s="150" t="n"/>
      <c r="DS49" s="150" t="n"/>
      <c r="DT49" s="150" t="n"/>
      <c r="DU49" s="150" t="n"/>
      <c r="DV49" s="150" t="n"/>
      <c r="DW49" s="150" t="n"/>
      <c r="DX49" s="150" t="n"/>
      <c r="DY49" s="150" t="n"/>
      <c r="DZ49" s="150" t="n"/>
      <c r="EA49" s="150" t="n"/>
      <c r="EB49" s="150" t="n"/>
      <c r="EC49" s="150" t="n"/>
      <c r="ED49" s="150" t="n"/>
      <c r="EE49" s="150" t="n"/>
      <c r="EF49" s="150" t="n"/>
      <c r="EG49" s="150" t="n"/>
      <c r="EH49" s="150" t="n"/>
      <c r="EI49" s="150" t="n"/>
      <c r="EJ49" s="150" t="n"/>
      <c r="EK49" s="150" t="n"/>
      <c r="EL49" s="150" t="n"/>
      <c r="EM49" s="150" t="n"/>
      <c r="EN49" s="150" t="n"/>
      <c r="EO49" s="150" t="n"/>
      <c r="EP49" s="150" t="n"/>
      <c r="EQ49" s="150" t="n"/>
      <c r="ER49" s="150" t="n"/>
      <c r="ES49" s="150" t="n"/>
      <c r="ET49" s="150" t="n"/>
      <c r="EU49" s="150" t="n"/>
      <c r="EV49" s="150" t="n"/>
      <c r="EW49" s="150" t="n"/>
      <c r="EX49" s="150" t="n"/>
      <c r="EY49" s="150" t="n"/>
      <c r="EZ49" s="150" t="n"/>
      <c r="FA49" s="150" t="n"/>
      <c r="FB49" s="150" t="n"/>
      <c r="FC49" s="150" t="n"/>
      <c r="FD49" s="150" t="n"/>
      <c r="FE49" s="150" t="n"/>
      <c r="FF49" s="150" t="n"/>
      <c r="FG49" s="150" t="n"/>
      <c r="FH49" s="150" t="n"/>
      <c r="FI49" s="150" t="n"/>
      <c r="FJ49" s="150" t="n"/>
      <c r="FK49" s="150" t="n"/>
      <c r="FL49" s="150" t="n"/>
      <c r="FM49" s="150" t="n"/>
      <c r="FN49" s="150" t="n"/>
      <c r="FO49" s="150" t="n"/>
      <c r="FP49" s="150" t="n"/>
      <c r="FQ49" s="150" t="n"/>
      <c r="FR49" s="150" t="n"/>
      <c r="FS49" s="150" t="n"/>
      <c r="FT49" s="150" t="n"/>
      <c r="FU49" s="150" t="n"/>
      <c r="FV49" s="150" t="n"/>
      <c r="FW49" s="150" t="n"/>
      <c r="FX49" s="150" t="n"/>
      <c r="FY49" s="150" t="n"/>
      <c r="FZ49" s="150" t="n"/>
      <c r="GA49" s="150" t="n"/>
      <c r="GB49" s="150" t="n"/>
      <c r="GC49" s="150" t="n"/>
      <c r="GD49" s="150" t="n"/>
      <c r="GE49" s="150" t="n"/>
      <c r="GF49" s="150" t="n"/>
      <c r="GG49" s="150" t="n"/>
      <c r="GH49" s="150" t="n"/>
    </row>
    <row r="50" ht="30.75" customHeight="1" s="2" thickBot="1">
      <c r="A50" s="1092" t="n"/>
      <c r="B50" s="1096">
        <f>SUM(B5:B49)</f>
        <v/>
      </c>
      <c r="C50" s="1097">
        <f>SUM(C5:C49)</f>
        <v/>
      </c>
      <c r="D50" s="1097">
        <f>SUM(D5:D49)</f>
        <v/>
      </c>
      <c r="E50" s="1097">
        <f>SUM(E5:E49)</f>
        <v/>
      </c>
      <c r="F50" s="1097">
        <f>SUM(F5:F49)</f>
        <v/>
      </c>
      <c r="G50" s="1097">
        <f>SUM(G5:G49)</f>
        <v/>
      </c>
      <c r="H50" s="1097">
        <f>SUM(H5:H49)</f>
        <v/>
      </c>
      <c r="I50" s="1097">
        <f>SUM(I5:I49)</f>
        <v/>
      </c>
      <c r="J50" s="1097">
        <f>SUM(J7:J49)</f>
        <v/>
      </c>
      <c r="K50" s="1097">
        <f>SUM(K5:K49)</f>
        <v/>
      </c>
      <c r="L50" s="1097">
        <f>SUM(L5:L49)</f>
        <v/>
      </c>
      <c r="M50" s="1590">
        <f>SUM(M5:M12,M15:M16,M23:M24,M31:M35,M38:M40,M45:M49)*2.3+(M13+M17+M21+M29+M36+M41+M43+M25+M27+M19)</f>
        <v/>
      </c>
      <c r="N50" s="1590">
        <f>SUM(N5:N49)</f>
        <v/>
      </c>
      <c r="O50" s="1099">
        <f>SUM(O5:O49)</f>
        <v/>
      </c>
      <c r="P50" s="1099">
        <f>SUM(P5:P49)</f>
        <v/>
      </c>
      <c r="Q50" s="1590">
        <f>SUM(Q5:Q49)</f>
        <v/>
      </c>
      <c r="R50" s="1100">
        <f>SUM(R5:R49)</f>
        <v/>
      </c>
      <c r="S50" s="151" t="n"/>
      <c r="T50" s="151" t="n"/>
      <c r="U50" s="151" t="n"/>
      <c r="V50" s="151" t="n"/>
      <c r="W50" s="151" t="n"/>
      <c r="X50" s="151" t="n"/>
      <c r="Y50" s="151" t="n"/>
      <c r="Z50" s="151" t="n"/>
      <c r="AA50" s="151" t="n"/>
      <c r="AB50" s="151" t="n"/>
      <c r="AC50" s="151" t="n"/>
      <c r="AD50" s="151" t="n"/>
      <c r="AE50" s="151" t="n"/>
      <c r="AF50" s="151" t="n"/>
      <c r="AG50" s="151" t="n"/>
      <c r="AH50" s="151" t="n"/>
      <c r="AI50" s="151" t="n"/>
      <c r="AJ50" s="151" t="n"/>
      <c r="AK50" s="151" t="n"/>
      <c r="AL50" s="151" t="n"/>
      <c r="AM50" s="151" t="n"/>
      <c r="AN50" s="151" t="n"/>
      <c r="AO50" s="151" t="n"/>
      <c r="AP50" s="151" t="n"/>
      <c r="AQ50" s="151" t="n"/>
      <c r="AR50" s="151" t="n"/>
      <c r="AS50" s="151" t="n"/>
      <c r="AT50" s="151" t="n"/>
      <c r="AU50" s="151" t="n"/>
      <c r="AV50" s="151" t="n"/>
      <c r="AW50" s="151" t="n"/>
      <c r="AX50" s="151" t="n"/>
      <c r="AY50" s="151" t="n"/>
      <c r="AZ50" s="151" t="n"/>
      <c r="BA50" s="151" t="n"/>
      <c r="BB50" s="151" t="n"/>
      <c r="BC50" s="151" t="n"/>
      <c r="BD50" s="151" t="n"/>
      <c r="BE50" s="151" t="n"/>
      <c r="BF50" s="151" t="n"/>
      <c r="BG50" s="151" t="n"/>
      <c r="BH50" s="151" t="n"/>
      <c r="BI50" s="151" t="n"/>
      <c r="BJ50" s="151" t="n"/>
      <c r="BK50" s="151" t="n"/>
      <c r="BL50" s="151" t="n"/>
      <c r="BM50" s="151" t="n"/>
      <c r="BN50" s="151" t="n"/>
      <c r="BO50" s="151" t="n"/>
      <c r="BP50" s="151" t="n"/>
      <c r="BQ50" s="151" t="n"/>
      <c r="BR50" s="151" t="n"/>
      <c r="BS50" s="151" t="n"/>
      <c r="BT50" s="151" t="n"/>
      <c r="BU50" s="151" t="n"/>
      <c r="BV50" s="151" t="n"/>
      <c r="BW50" s="151" t="n"/>
      <c r="BX50" s="151" t="n"/>
      <c r="BY50" s="151" t="n"/>
      <c r="BZ50" s="151" t="n"/>
      <c r="CA50" s="151" t="n"/>
      <c r="CB50" s="151" t="n"/>
      <c r="CC50" s="151" t="n"/>
      <c r="CD50" s="151" t="n"/>
      <c r="CE50" s="151" t="n"/>
      <c r="CF50" s="151" t="n"/>
      <c r="CG50" s="151" t="n"/>
      <c r="CH50" s="151" t="n"/>
      <c r="CI50" s="151" t="n"/>
      <c r="CJ50" s="151" t="n"/>
      <c r="CK50" s="151" t="n"/>
      <c r="CL50" s="151" t="n"/>
      <c r="CM50" s="151" t="n"/>
      <c r="CN50" s="151" t="n"/>
      <c r="CO50" s="151" t="n"/>
      <c r="CP50" s="151" t="n"/>
      <c r="CQ50" s="151" t="n"/>
      <c r="CR50" s="151" t="n"/>
      <c r="CS50" s="151" t="n"/>
      <c r="CT50" s="151" t="n"/>
      <c r="CU50" s="151" t="n"/>
      <c r="CV50" s="151" t="n"/>
      <c r="CW50" s="151" t="n"/>
      <c r="CX50" s="151" t="n"/>
      <c r="CY50" s="151" t="n"/>
      <c r="CZ50" s="151" t="n"/>
      <c r="DA50" s="151" t="n"/>
      <c r="DB50" s="151" t="n"/>
      <c r="DC50" s="151" t="n"/>
      <c r="DD50" s="151" t="n"/>
      <c r="DE50" s="151" t="n"/>
      <c r="DF50" s="151" t="n"/>
      <c r="DG50" s="151" t="n"/>
      <c r="DH50" s="151" t="n"/>
      <c r="DI50" s="151" t="n"/>
      <c r="DJ50" s="151" t="n"/>
      <c r="DK50" s="151" t="n"/>
      <c r="DL50" s="151" t="n"/>
      <c r="DM50" s="151" t="n"/>
      <c r="DN50" s="151" t="n"/>
      <c r="DO50" s="150" t="n"/>
      <c r="DP50" s="150" t="n"/>
      <c r="DQ50" s="150" t="n"/>
      <c r="DR50" s="150" t="n"/>
      <c r="DS50" s="150" t="n"/>
      <c r="DT50" s="150" t="n"/>
      <c r="DU50" s="150" t="n"/>
      <c r="DV50" s="150" t="n"/>
      <c r="DW50" s="150" t="n"/>
      <c r="DX50" s="150" t="n"/>
      <c r="DY50" s="150" t="n"/>
      <c r="DZ50" s="150" t="n"/>
      <c r="EA50" s="150" t="n"/>
      <c r="EB50" s="150" t="n"/>
      <c r="EC50" s="150" t="n"/>
      <c r="ED50" s="150" t="n"/>
      <c r="EE50" s="150" t="n"/>
      <c r="EF50" s="150" t="n"/>
      <c r="EG50" s="150" t="n"/>
      <c r="EH50" s="150" t="n"/>
      <c r="EI50" s="150" t="n"/>
      <c r="EJ50" s="150" t="n"/>
      <c r="EK50" s="150" t="n"/>
      <c r="EL50" s="150" t="n"/>
      <c r="EM50" s="150" t="n"/>
      <c r="EN50" s="150" t="n"/>
      <c r="EO50" s="150" t="n"/>
      <c r="EP50" s="150" t="n"/>
      <c r="EQ50" s="150" t="n"/>
      <c r="ER50" s="150" t="n"/>
      <c r="ES50" s="150" t="n"/>
      <c r="ET50" s="150" t="n"/>
      <c r="EU50" s="150" t="n"/>
      <c r="EV50" s="150" t="n"/>
      <c r="EW50" s="150" t="n"/>
      <c r="EX50" s="150" t="n"/>
      <c r="EY50" s="150" t="n"/>
      <c r="EZ50" s="150" t="n"/>
      <c r="FA50" s="150" t="n"/>
      <c r="FB50" s="150" t="n"/>
      <c r="FC50" s="150" t="n"/>
      <c r="FD50" s="150" t="n"/>
      <c r="FE50" s="150" t="n"/>
      <c r="FF50" s="150" t="n"/>
      <c r="FG50" s="150" t="n"/>
      <c r="FH50" s="150" t="n"/>
      <c r="FI50" s="150" t="n"/>
      <c r="FJ50" s="150" t="n"/>
      <c r="FK50" s="150" t="n"/>
      <c r="FL50" s="150" t="n"/>
      <c r="FM50" s="150" t="n"/>
      <c r="FN50" s="150" t="n"/>
      <c r="FO50" s="150" t="n"/>
      <c r="FP50" s="150" t="n"/>
      <c r="FQ50" s="150" t="n"/>
      <c r="FR50" s="150" t="n"/>
      <c r="FS50" s="150" t="n"/>
      <c r="FT50" s="150" t="n"/>
      <c r="FU50" s="150" t="n"/>
      <c r="FV50" s="150" t="n"/>
      <c r="FW50" s="150" t="n"/>
      <c r="FX50" s="150" t="n"/>
      <c r="FY50" s="150" t="n"/>
      <c r="FZ50" s="150" t="n"/>
      <c r="GA50" s="150" t="n"/>
      <c r="GB50" s="150" t="n"/>
      <c r="GC50" s="150" t="n"/>
      <c r="GD50" s="150" t="n"/>
      <c r="GE50" s="150" t="n"/>
      <c r="GF50" s="150" t="n"/>
      <c r="GG50" s="150" t="n"/>
      <c r="GH50" s="882" t="n"/>
    </row>
    <row r="51" ht="15" customHeight="1" s="2">
      <c r="A51" s="153" t="n"/>
      <c r="B51" s="1037" t="n"/>
      <c r="C51" s="1037" t="n"/>
      <c r="D51" s="1037" t="n"/>
      <c r="E51" s="151" t="n"/>
      <c r="F51" s="1037" t="n"/>
      <c r="G51" s="1037" t="n"/>
      <c r="H51" s="151" t="n"/>
      <c r="I51" s="1037" t="n"/>
      <c r="J51" s="1037" t="n"/>
      <c r="K51" s="1037" t="n"/>
      <c r="L51" s="1037" t="n"/>
      <c r="M51" s="1037" t="n"/>
      <c r="N51" s="1037" t="n"/>
      <c r="O51" s="1037" t="n"/>
      <c r="P51" s="1037" t="n"/>
      <c r="Q51" s="1037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  <c r="AA51" s="151" t="n"/>
      <c r="AB51" s="151" t="n"/>
      <c r="AC51" s="151" t="n"/>
      <c r="AD51" s="151" t="n"/>
      <c r="AE51" s="151" t="n"/>
      <c r="AF51" s="151" t="n"/>
      <c r="AG51" s="151" t="n"/>
      <c r="AH51" s="151" t="n"/>
      <c r="AI51" s="151" t="n"/>
      <c r="AJ51" s="151" t="n"/>
      <c r="AK51" s="151" t="n"/>
      <c r="AL51" s="151" t="n"/>
      <c r="AM51" s="151" t="n"/>
      <c r="AN51" s="151" t="n"/>
      <c r="AO51" s="151" t="n"/>
      <c r="AP51" s="151" t="n"/>
      <c r="AQ51" s="151" t="n"/>
      <c r="AR51" s="151" t="n"/>
      <c r="AS51" s="151" t="n"/>
      <c r="AT51" s="151" t="n"/>
      <c r="AU51" s="151" t="n"/>
      <c r="AV51" s="151" t="n"/>
      <c r="AW51" s="151" t="n"/>
      <c r="AX51" s="151" t="n"/>
      <c r="AY51" s="151" t="n"/>
      <c r="AZ51" s="151" t="n"/>
      <c r="BA51" s="151" t="n"/>
      <c r="BB51" s="151" t="n"/>
      <c r="BC51" s="151" t="n"/>
      <c r="BD51" s="151" t="n"/>
      <c r="BE51" s="151" t="n"/>
      <c r="BF51" s="151" t="n"/>
      <c r="BG51" s="151" t="n"/>
      <c r="BH51" s="151" t="n"/>
      <c r="BI51" s="151" t="n"/>
      <c r="BJ51" s="151" t="n"/>
      <c r="BK51" s="151" t="n"/>
      <c r="BL51" s="151" t="n"/>
      <c r="BM51" s="151" t="n"/>
      <c r="BN51" s="151" t="n"/>
      <c r="BO51" s="151" t="n"/>
      <c r="BP51" s="151" t="n"/>
      <c r="BQ51" s="151" t="n"/>
      <c r="BR51" s="151" t="n"/>
      <c r="BS51" s="151" t="n"/>
      <c r="BT51" s="151" t="n"/>
      <c r="BU51" s="151" t="n"/>
      <c r="BV51" s="151" t="n"/>
      <c r="BW51" s="151" t="n"/>
      <c r="BX51" s="151" t="n"/>
      <c r="BY51" s="151" t="n"/>
      <c r="BZ51" s="151" t="n"/>
      <c r="CA51" s="151" t="n"/>
      <c r="CB51" s="151" t="n"/>
      <c r="CC51" s="151" t="n"/>
      <c r="CD51" s="151" t="n"/>
      <c r="CE51" s="151" t="n"/>
      <c r="CF51" s="151" t="n"/>
      <c r="CG51" s="151" t="n"/>
      <c r="CH51" s="151" t="n"/>
      <c r="CI51" s="151" t="n"/>
      <c r="CJ51" s="151" t="n"/>
      <c r="CK51" s="151" t="n"/>
      <c r="CL51" s="151" t="n"/>
      <c r="CM51" s="151" t="n"/>
      <c r="CN51" s="151" t="n"/>
      <c r="CO51" s="151" t="n"/>
      <c r="CP51" s="151" t="n"/>
      <c r="CQ51" s="151" t="n"/>
      <c r="CR51" s="151" t="n"/>
      <c r="CS51" s="151" t="n"/>
      <c r="CT51" s="151" t="n"/>
      <c r="CU51" s="151" t="n"/>
      <c r="CV51" s="151" t="n"/>
      <c r="CW51" s="151" t="n"/>
      <c r="CX51" s="151" t="n"/>
      <c r="CY51" s="151" t="n"/>
      <c r="CZ51" s="151" t="n"/>
      <c r="DA51" s="151" t="n"/>
      <c r="DB51" s="151" t="n"/>
      <c r="DC51" s="151" t="n"/>
      <c r="DD51" s="151" t="n"/>
      <c r="DE51" s="151" t="n"/>
      <c r="DF51" s="151" t="n"/>
      <c r="DG51" s="151" t="n"/>
      <c r="DH51" s="151" t="n"/>
      <c r="DI51" s="151" t="n"/>
      <c r="DJ51" s="151" t="n"/>
      <c r="DK51" s="151" t="n"/>
      <c r="DL51" s="151" t="n"/>
      <c r="DM51" s="151" t="n"/>
      <c r="DN51" s="151" t="n"/>
      <c r="DO51" s="150" t="n"/>
      <c r="DP51" s="150" t="n"/>
      <c r="DQ51" s="150" t="n"/>
      <c r="DR51" s="150" t="n"/>
      <c r="DS51" s="150" t="n"/>
      <c r="DT51" s="150" t="n"/>
      <c r="DU51" s="150" t="n"/>
      <c r="DV51" s="150" t="n"/>
      <c r="DW51" s="150" t="n"/>
      <c r="DX51" s="150" t="n"/>
      <c r="DY51" s="150" t="n"/>
      <c r="DZ51" s="150" t="n"/>
      <c r="EA51" s="150" t="n"/>
      <c r="EB51" s="150" t="n"/>
      <c r="EC51" s="150" t="n"/>
      <c r="ED51" s="150" t="n"/>
      <c r="EE51" s="150" t="n"/>
      <c r="EF51" s="150" t="n"/>
      <c r="EG51" s="150" t="n"/>
      <c r="EH51" s="150" t="n"/>
      <c r="EI51" s="150" t="n"/>
      <c r="EJ51" s="150" t="n"/>
      <c r="EK51" s="150" t="n"/>
      <c r="EL51" s="150" t="n"/>
      <c r="EM51" s="150" t="n"/>
      <c r="EN51" s="150" t="n"/>
      <c r="EO51" s="150" t="n"/>
      <c r="EP51" s="150" t="n"/>
      <c r="EQ51" s="150" t="n"/>
      <c r="ER51" s="150" t="n"/>
      <c r="ES51" s="150" t="n"/>
      <c r="ET51" s="150" t="n"/>
      <c r="EU51" s="150" t="n"/>
      <c r="EV51" s="150" t="n"/>
      <c r="EW51" s="150" t="n"/>
      <c r="EX51" s="150" t="n"/>
      <c r="EY51" s="150" t="n"/>
      <c r="EZ51" s="150" t="n"/>
      <c r="FA51" s="150" t="n"/>
      <c r="FB51" s="150" t="n"/>
      <c r="FC51" s="150" t="n"/>
      <c r="FD51" s="150" t="n"/>
      <c r="FE51" s="150" t="n"/>
      <c r="FF51" s="150" t="n"/>
      <c r="FG51" s="150" t="n"/>
      <c r="FH51" s="150" t="n"/>
      <c r="FI51" s="150" t="n"/>
      <c r="FJ51" s="150" t="n"/>
      <c r="FK51" s="150" t="n"/>
      <c r="FL51" s="150" t="n"/>
      <c r="FM51" s="150" t="n"/>
      <c r="FN51" s="150" t="n"/>
      <c r="FO51" s="150" t="n"/>
      <c r="FP51" s="150" t="n"/>
      <c r="FQ51" s="150" t="n"/>
      <c r="FR51" s="150" t="n"/>
      <c r="FS51" s="150" t="n"/>
      <c r="FT51" s="150" t="n"/>
      <c r="FU51" s="150" t="n"/>
      <c r="FV51" s="150" t="n"/>
      <c r="FW51" s="150" t="n"/>
      <c r="FX51" s="150" t="n"/>
      <c r="FY51" s="150" t="n"/>
      <c r="FZ51" s="150" t="n"/>
      <c r="GA51" s="150" t="n"/>
      <c r="GB51" s="150" t="n"/>
      <c r="GC51" s="150" t="n"/>
      <c r="GD51" s="150" t="n"/>
      <c r="GE51" s="150" t="n"/>
      <c r="GF51" s="150" t="n"/>
      <c r="GG51" s="150" t="n"/>
      <c r="GH51" s="882" t="n"/>
    </row>
    <row r="52" ht="28.5" customHeight="1" s="2">
      <c r="A52" s="153" t="n"/>
      <c r="B52" s="1037" t="n"/>
      <c r="C52" s="1037" t="n"/>
      <c r="D52" s="1037" t="n"/>
      <c r="E52" s="151" t="n"/>
      <c r="F52" s="1037" t="n"/>
      <c r="G52" s="1037" t="n"/>
      <c r="H52" s="151" t="n"/>
      <c r="I52" s="1037" t="n"/>
      <c r="J52" s="1037" t="n"/>
      <c r="K52" s="1037" t="n"/>
      <c r="L52" s="1037" t="n"/>
      <c r="M52" s="1037" t="n"/>
      <c r="N52" s="1037" t="n"/>
      <c r="O52" s="1037" t="n"/>
      <c r="P52" s="1037" t="n"/>
      <c r="Q52" s="1037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  <c r="AA52" s="151" t="n"/>
      <c r="AB52" s="151" t="n"/>
      <c r="AC52" s="151" t="n"/>
      <c r="AD52" s="151" t="n"/>
      <c r="AE52" s="151" t="n"/>
      <c r="AF52" s="151" t="n"/>
      <c r="AG52" s="151" t="n"/>
      <c r="AH52" s="151" t="n"/>
      <c r="AI52" s="151" t="n"/>
      <c r="AJ52" s="151" t="n"/>
      <c r="AK52" s="151" t="n"/>
      <c r="AL52" s="151" t="n"/>
      <c r="AM52" s="151" t="n"/>
      <c r="AN52" s="151" t="n"/>
      <c r="AO52" s="151" t="n"/>
      <c r="AP52" s="151" t="n"/>
      <c r="AQ52" s="151" t="n"/>
      <c r="AR52" s="151" t="n"/>
      <c r="AS52" s="151" t="n"/>
      <c r="AT52" s="151" t="n"/>
      <c r="AU52" s="151" t="n"/>
      <c r="AV52" s="151" t="n"/>
      <c r="AW52" s="151" t="n"/>
      <c r="AX52" s="151" t="n"/>
      <c r="AY52" s="151" t="n"/>
      <c r="AZ52" s="151" t="n"/>
      <c r="BA52" s="151" t="n"/>
      <c r="BB52" s="151" t="n"/>
      <c r="BC52" s="151" t="n"/>
      <c r="BD52" s="151" t="n"/>
      <c r="BE52" s="151" t="n"/>
      <c r="BF52" s="151" t="n"/>
      <c r="BG52" s="151" t="n"/>
      <c r="BH52" s="151" t="n"/>
      <c r="BI52" s="151" t="n"/>
      <c r="BJ52" s="151" t="n"/>
      <c r="BK52" s="151" t="n"/>
      <c r="BL52" s="151" t="n"/>
      <c r="BM52" s="151" t="n"/>
      <c r="BN52" s="151" t="n"/>
      <c r="BO52" s="151" t="n"/>
      <c r="BP52" s="151" t="n"/>
      <c r="BQ52" s="151" t="n"/>
      <c r="BR52" s="151" t="n"/>
      <c r="BS52" s="151" t="n"/>
      <c r="BT52" s="151" t="n"/>
      <c r="BU52" s="151" t="n"/>
      <c r="BV52" s="151" t="n"/>
      <c r="BW52" s="151" t="n"/>
      <c r="BX52" s="151" t="n"/>
      <c r="BY52" s="151" t="n"/>
      <c r="BZ52" s="151" t="n"/>
      <c r="CA52" s="151" t="n"/>
      <c r="CB52" s="151" t="n"/>
      <c r="CC52" s="151" t="n"/>
      <c r="CD52" s="151" t="n"/>
      <c r="CE52" s="151" t="n"/>
      <c r="CF52" s="151" t="n"/>
      <c r="CG52" s="151" t="n"/>
      <c r="CH52" s="151" t="n"/>
      <c r="CI52" s="151" t="n"/>
      <c r="CJ52" s="151" t="n"/>
      <c r="CK52" s="151" t="n"/>
      <c r="CL52" s="151" t="n"/>
      <c r="CM52" s="151" t="n"/>
      <c r="CN52" s="151" t="n"/>
      <c r="CO52" s="151" t="n"/>
      <c r="CP52" s="151" t="n"/>
      <c r="CQ52" s="151" t="n"/>
      <c r="CR52" s="151" t="n"/>
      <c r="CS52" s="151" t="n"/>
      <c r="CT52" s="151" t="n"/>
      <c r="CU52" s="151" t="n"/>
      <c r="CV52" s="151" t="n"/>
      <c r="CW52" s="151" t="n"/>
      <c r="CX52" s="151" t="n"/>
      <c r="CY52" s="151" t="n"/>
      <c r="CZ52" s="151" t="n"/>
      <c r="DA52" s="151" t="n"/>
      <c r="DB52" s="151" t="n"/>
      <c r="DC52" s="151" t="n"/>
      <c r="DD52" s="151" t="n"/>
      <c r="DE52" s="151" t="n"/>
      <c r="DF52" s="151" t="n"/>
      <c r="DG52" s="151" t="n"/>
      <c r="DH52" s="151" t="n"/>
      <c r="DI52" s="151" t="n"/>
      <c r="DJ52" s="151" t="n"/>
      <c r="DK52" s="151" t="n"/>
      <c r="DL52" s="151" t="n"/>
      <c r="DM52" s="151" t="n"/>
      <c r="DN52" s="151" t="n"/>
      <c r="DO52" s="150" t="n"/>
      <c r="DP52" s="150" t="n"/>
      <c r="DQ52" s="150" t="n"/>
      <c r="DR52" s="150" t="n"/>
      <c r="DS52" s="150" t="n"/>
      <c r="DT52" s="150" t="n"/>
      <c r="DU52" s="150" t="n"/>
      <c r="DV52" s="150" t="n"/>
      <c r="DW52" s="150" t="n"/>
      <c r="DX52" s="150" t="n"/>
      <c r="DY52" s="150" t="n"/>
      <c r="DZ52" s="150" t="n"/>
      <c r="EA52" s="150" t="n"/>
      <c r="EB52" s="150" t="n"/>
      <c r="EC52" s="150" t="n"/>
      <c r="ED52" s="150" t="n"/>
      <c r="EE52" s="150" t="n"/>
      <c r="EF52" s="150" t="n"/>
      <c r="EG52" s="150" t="n"/>
      <c r="EH52" s="150" t="n"/>
      <c r="EI52" s="150" t="n"/>
      <c r="EJ52" s="150" t="n"/>
      <c r="EK52" s="150" t="n"/>
      <c r="EL52" s="150" t="n"/>
      <c r="EM52" s="150" t="n"/>
      <c r="EN52" s="150" t="n"/>
      <c r="EO52" s="150" t="n"/>
      <c r="EP52" s="150" t="n"/>
      <c r="EQ52" s="150" t="n"/>
      <c r="ER52" s="150" t="n"/>
      <c r="ES52" s="150" t="n"/>
      <c r="ET52" s="150" t="n"/>
      <c r="EU52" s="150" t="n"/>
      <c r="EV52" s="150" t="n"/>
      <c r="EW52" s="150" t="n"/>
      <c r="EX52" s="150" t="n"/>
      <c r="EY52" s="150" t="n"/>
      <c r="EZ52" s="150" t="n"/>
      <c r="FA52" s="150" t="n"/>
      <c r="FB52" s="150" t="n"/>
      <c r="FC52" s="150" t="n"/>
      <c r="FD52" s="150" t="n"/>
      <c r="FE52" s="150" t="n"/>
      <c r="FF52" s="150" t="n"/>
      <c r="FG52" s="150" t="n"/>
      <c r="FH52" s="150" t="n"/>
      <c r="FI52" s="150" t="n"/>
      <c r="FJ52" s="150" t="n"/>
      <c r="FK52" s="150" t="n"/>
      <c r="FL52" s="150" t="n"/>
      <c r="FM52" s="150" t="n"/>
      <c r="FN52" s="150" t="n"/>
      <c r="FO52" s="150" t="n"/>
      <c r="FP52" s="150" t="n"/>
      <c r="FQ52" s="150" t="n"/>
      <c r="FR52" s="150" t="n"/>
      <c r="FS52" s="150" t="n"/>
      <c r="FT52" s="150" t="n"/>
      <c r="FU52" s="150" t="n"/>
      <c r="FV52" s="150" t="n"/>
      <c r="FW52" s="150" t="n"/>
      <c r="FX52" s="150" t="n"/>
      <c r="FY52" s="150" t="n"/>
      <c r="FZ52" s="150" t="n"/>
      <c r="GA52" s="150" t="n"/>
      <c r="GB52" s="150" t="n"/>
      <c r="GC52" s="150" t="n"/>
      <c r="GD52" s="150" t="n"/>
      <c r="GE52" s="150" t="n"/>
      <c r="GF52" s="150" t="n"/>
      <c r="GG52" s="150" t="n"/>
      <c r="GH52" s="882" t="n"/>
    </row>
    <row r="53" ht="39.75" customHeight="1" s="2">
      <c r="A53" s="153" t="n"/>
      <c r="B53" s="1037" t="n"/>
      <c r="C53" s="1037" t="n"/>
      <c r="D53" s="1037" t="n"/>
      <c r="E53" s="151" t="n"/>
      <c r="F53" s="1037" t="n"/>
      <c r="G53" s="1037" t="n"/>
      <c r="H53" s="151" t="n"/>
      <c r="I53" s="1037" t="n"/>
      <c r="J53" s="1037" t="n"/>
      <c r="K53" s="1037" t="n"/>
      <c r="L53" s="1037" t="n"/>
      <c r="M53" s="1037" t="n"/>
      <c r="N53" s="1037" t="n"/>
      <c r="O53" s="1037" t="n"/>
      <c r="P53" s="1037" t="n"/>
      <c r="Q53" s="1037" t="n"/>
      <c r="R53" s="151" t="n"/>
      <c r="S53" s="157" t="n"/>
      <c r="T53" s="157" t="n"/>
      <c r="U53" s="151" t="n"/>
      <c r="V53" s="151" t="n"/>
      <c r="W53" s="151" t="n"/>
      <c r="X53" s="151" t="n"/>
      <c r="Y53" s="151" t="n"/>
      <c r="Z53" s="151" t="n"/>
      <c r="AA53" s="151" t="n"/>
      <c r="AB53" s="151" t="n"/>
      <c r="AC53" s="151" t="n"/>
      <c r="AD53" s="151" t="n"/>
      <c r="AE53" s="151" t="n"/>
      <c r="AF53" s="151" t="n"/>
      <c r="AG53" s="151" t="n"/>
      <c r="AH53" s="151" t="n"/>
      <c r="AI53" s="151" t="n"/>
      <c r="AJ53" s="151" t="n"/>
      <c r="AK53" s="151" t="n"/>
      <c r="AL53" s="151" t="n"/>
      <c r="AM53" s="151" t="n"/>
      <c r="AN53" s="151" t="n"/>
      <c r="AO53" s="151" t="n"/>
      <c r="AP53" s="151" t="n"/>
      <c r="AQ53" s="151" t="n"/>
      <c r="AR53" s="151" t="n"/>
      <c r="AS53" s="151" t="n"/>
      <c r="AT53" s="151" t="n"/>
      <c r="AU53" s="151" t="n"/>
      <c r="AV53" s="151" t="n"/>
      <c r="AW53" s="151" t="n"/>
      <c r="AX53" s="151" t="n"/>
      <c r="AY53" s="151" t="n"/>
      <c r="AZ53" s="151" t="n"/>
      <c r="BA53" s="151" t="n"/>
      <c r="BB53" s="151" t="n"/>
      <c r="BC53" s="151" t="n"/>
      <c r="BD53" s="151" t="n"/>
      <c r="BE53" s="151" t="n"/>
      <c r="BF53" s="151" t="n"/>
      <c r="BG53" s="151" t="n"/>
      <c r="BH53" s="151" t="n"/>
      <c r="BI53" s="151" t="n"/>
      <c r="BJ53" s="151" t="n"/>
      <c r="BK53" s="151" t="n"/>
      <c r="BL53" s="151" t="n"/>
      <c r="BM53" s="151" t="n"/>
      <c r="BN53" s="151" t="n"/>
      <c r="BO53" s="151" t="n"/>
      <c r="BP53" s="151" t="n"/>
      <c r="BQ53" s="151" t="n"/>
      <c r="BR53" s="151" t="n"/>
      <c r="BS53" s="151" t="n"/>
      <c r="BT53" s="151" t="n"/>
      <c r="BU53" s="151" t="n"/>
      <c r="BV53" s="151" t="n"/>
      <c r="BW53" s="151" t="n"/>
      <c r="BX53" s="151" t="n"/>
      <c r="BY53" s="151" t="n"/>
      <c r="BZ53" s="151" t="n"/>
      <c r="CA53" s="151" t="n"/>
      <c r="CB53" s="151" t="n"/>
      <c r="CC53" s="151" t="n"/>
      <c r="CD53" s="151" t="n"/>
      <c r="CE53" s="151" t="n"/>
      <c r="CF53" s="151" t="n"/>
      <c r="CG53" s="151" t="n"/>
      <c r="CH53" s="151" t="n"/>
      <c r="CI53" s="151" t="n"/>
      <c r="CJ53" s="151" t="n"/>
      <c r="CK53" s="151" t="n"/>
      <c r="CL53" s="151" t="n"/>
      <c r="CM53" s="151" t="n"/>
      <c r="CN53" s="151" t="n"/>
      <c r="CO53" s="151" t="n"/>
      <c r="CP53" s="151" t="n"/>
      <c r="CQ53" s="151" t="n"/>
      <c r="CR53" s="151" t="n"/>
      <c r="CS53" s="151" t="n"/>
      <c r="CT53" s="151" t="n"/>
      <c r="CU53" s="151" t="n"/>
      <c r="CV53" s="151" t="n"/>
      <c r="CW53" s="151" t="n"/>
      <c r="CX53" s="151" t="n"/>
      <c r="CY53" s="151" t="n"/>
      <c r="CZ53" s="151" t="n"/>
      <c r="DA53" s="151" t="n"/>
      <c r="DB53" s="151" t="n"/>
      <c r="DC53" s="151" t="n"/>
      <c r="DD53" s="151" t="n"/>
      <c r="DE53" s="151" t="n"/>
      <c r="DF53" s="151" t="n"/>
      <c r="DG53" s="151" t="n"/>
      <c r="DH53" s="151" t="n"/>
      <c r="DI53" s="151" t="n"/>
      <c r="DJ53" s="151" t="n"/>
      <c r="DK53" s="151" t="n"/>
      <c r="DL53" s="151" t="n"/>
      <c r="DM53" s="151" t="n"/>
      <c r="DN53" s="151" t="n"/>
      <c r="DO53" s="150" t="n"/>
      <c r="DP53" s="150" t="n"/>
      <c r="DQ53" s="150" t="n"/>
      <c r="DR53" s="150" t="n"/>
      <c r="DS53" s="150" t="n"/>
      <c r="DT53" s="150" t="n"/>
      <c r="DU53" s="150" t="n"/>
      <c r="DV53" s="150" t="n"/>
      <c r="DW53" s="150" t="n"/>
      <c r="DX53" s="150" t="n"/>
      <c r="DY53" s="150" t="n"/>
      <c r="DZ53" s="150" t="n"/>
      <c r="EA53" s="150" t="n"/>
      <c r="EB53" s="150" t="n"/>
      <c r="EC53" s="150" t="n"/>
      <c r="ED53" s="150" t="n"/>
      <c r="EE53" s="150" t="n"/>
      <c r="EF53" s="150" t="n"/>
      <c r="EG53" s="150" t="n"/>
      <c r="EH53" s="150" t="n"/>
      <c r="EI53" s="150" t="n"/>
      <c r="EJ53" s="150" t="n"/>
      <c r="EK53" s="150" t="n"/>
      <c r="EL53" s="150" t="n"/>
      <c r="EM53" s="150" t="n"/>
      <c r="EN53" s="150" t="n"/>
      <c r="EO53" s="150" t="n"/>
      <c r="EP53" s="150" t="n"/>
      <c r="EQ53" s="150" t="n"/>
      <c r="ER53" s="150" t="n"/>
      <c r="ES53" s="150" t="n"/>
      <c r="ET53" s="150" t="n"/>
      <c r="EU53" s="150" t="n"/>
      <c r="EV53" s="150" t="n"/>
      <c r="EW53" s="150" t="n"/>
      <c r="EX53" s="150" t="n"/>
      <c r="EY53" s="150" t="n"/>
      <c r="EZ53" s="150" t="n"/>
      <c r="FA53" s="150" t="n"/>
      <c r="FB53" s="150" t="n"/>
      <c r="FC53" s="150" t="n"/>
      <c r="FD53" s="150" t="n"/>
      <c r="FE53" s="150" t="n"/>
      <c r="FF53" s="150" t="n"/>
      <c r="FG53" s="150" t="n"/>
      <c r="FH53" s="150" t="n"/>
      <c r="FI53" s="150" t="n"/>
      <c r="FJ53" s="150" t="n"/>
      <c r="FK53" s="150" t="n"/>
      <c r="FL53" s="150" t="n"/>
      <c r="FM53" s="150" t="n"/>
      <c r="FN53" s="150" t="n"/>
      <c r="FO53" s="150" t="n"/>
      <c r="FP53" s="150" t="n"/>
      <c r="FQ53" s="150" t="n"/>
      <c r="FR53" s="150" t="n"/>
      <c r="FS53" s="150" t="n"/>
      <c r="FT53" s="150" t="n"/>
      <c r="FU53" s="150" t="n"/>
      <c r="FV53" s="150" t="n"/>
      <c r="FW53" s="150" t="n"/>
      <c r="FX53" s="150" t="n"/>
      <c r="FY53" s="150" t="n"/>
      <c r="FZ53" s="150" t="n"/>
      <c r="GA53" s="150" t="n"/>
      <c r="GB53" s="150" t="n"/>
      <c r="GC53" s="150" t="n"/>
      <c r="GD53" s="150" t="n"/>
      <c r="GE53" s="150" t="n"/>
      <c r="GF53" s="150" t="n"/>
      <c r="GG53" s="150" t="n"/>
      <c r="GH53" s="882" t="n"/>
    </row>
    <row r="54" ht="12.75" customHeight="1" s="2">
      <c r="A54" s="153" t="n"/>
      <c r="B54" s="1037" t="n"/>
      <c r="C54" s="1037" t="n"/>
      <c r="D54" s="1037" t="n"/>
      <c r="E54" s="151" t="n"/>
      <c r="F54" s="1037" t="n"/>
      <c r="G54" s="1037" t="n"/>
      <c r="H54" s="151" t="n"/>
      <c r="I54" s="1037" t="n"/>
      <c r="J54" s="1037" t="n"/>
      <c r="K54" s="1037" t="n"/>
      <c r="L54" s="1037" t="n"/>
      <c r="M54" s="1037" t="n"/>
      <c r="N54" s="1037" t="n"/>
      <c r="O54" s="1037" t="n"/>
      <c r="P54" s="1037" t="n"/>
      <c r="Q54" s="1037" t="n"/>
      <c r="R54" s="151" t="n"/>
      <c r="S54" s="150" t="n"/>
      <c r="T54" s="151" t="n"/>
      <c r="U54" s="151" t="n"/>
      <c r="V54" s="151" t="n"/>
      <c r="W54" s="151" t="n"/>
      <c r="X54" s="151" t="n"/>
      <c r="Y54" s="151" t="n"/>
      <c r="Z54" s="151" t="n"/>
      <c r="AA54" s="151" t="n"/>
      <c r="AB54" s="151" t="n"/>
      <c r="AC54" s="151" t="n"/>
      <c r="AD54" s="151" t="n"/>
      <c r="AE54" s="151" t="n"/>
      <c r="AF54" s="151" t="n"/>
      <c r="AG54" s="151" t="n"/>
      <c r="AH54" s="151" t="n"/>
      <c r="AI54" s="151" t="n"/>
      <c r="AJ54" s="151" t="n"/>
      <c r="AK54" s="151" t="n"/>
      <c r="AL54" s="151" t="n"/>
      <c r="AM54" s="151" t="n"/>
      <c r="AN54" s="151" t="n"/>
      <c r="AO54" s="151" t="n"/>
      <c r="AP54" s="151" t="n"/>
      <c r="AQ54" s="151" t="n"/>
      <c r="AR54" s="151" t="n"/>
      <c r="AS54" s="151" t="n"/>
      <c r="AT54" s="151" t="n"/>
      <c r="AU54" s="151" t="n"/>
      <c r="AV54" s="151" t="n"/>
      <c r="AW54" s="151" t="n"/>
      <c r="AX54" s="151" t="n"/>
      <c r="AY54" s="151" t="n"/>
      <c r="AZ54" s="151" t="n"/>
      <c r="BA54" s="151" t="n"/>
      <c r="BB54" s="151" t="n"/>
      <c r="BC54" s="151" t="n"/>
      <c r="BD54" s="151" t="n"/>
      <c r="BE54" s="151" t="n"/>
      <c r="BF54" s="151" t="n"/>
      <c r="BG54" s="151" t="n"/>
      <c r="BH54" s="151" t="n"/>
      <c r="BI54" s="151" t="n"/>
      <c r="BJ54" s="151" t="n"/>
      <c r="BK54" s="151" t="n"/>
      <c r="BL54" s="151" t="n"/>
      <c r="BM54" s="151" t="n"/>
      <c r="BN54" s="151" t="n"/>
      <c r="BO54" s="151" t="n"/>
      <c r="BP54" s="151" t="n"/>
      <c r="BQ54" s="151" t="n"/>
      <c r="BR54" s="151" t="n"/>
      <c r="BS54" s="151" t="n"/>
      <c r="BT54" s="151" t="n"/>
      <c r="BU54" s="151" t="n"/>
      <c r="BV54" s="151" t="n"/>
      <c r="BW54" s="151" t="n"/>
      <c r="BX54" s="151" t="n"/>
      <c r="BY54" s="151" t="n"/>
      <c r="BZ54" s="151" t="n"/>
      <c r="CA54" s="151" t="n"/>
      <c r="CB54" s="151" t="n"/>
      <c r="CC54" s="151" t="n"/>
      <c r="CD54" s="151" t="n"/>
      <c r="CE54" s="151" t="n"/>
      <c r="CF54" s="151" t="n"/>
      <c r="CG54" s="151" t="n"/>
      <c r="CH54" s="151" t="n"/>
      <c r="CI54" s="151" t="n"/>
      <c r="CJ54" s="151" t="n"/>
      <c r="CK54" s="151" t="n"/>
      <c r="CL54" s="151" t="n"/>
      <c r="CM54" s="151" t="n"/>
      <c r="CN54" s="151" t="n"/>
      <c r="CO54" s="151" t="n"/>
      <c r="CP54" s="151" t="n"/>
      <c r="CQ54" s="151" t="n"/>
      <c r="CR54" s="151" t="n"/>
      <c r="CS54" s="151" t="n"/>
      <c r="CT54" s="151" t="n"/>
      <c r="CU54" s="151" t="n"/>
      <c r="CV54" s="151" t="n"/>
      <c r="CW54" s="151" t="n"/>
      <c r="CX54" s="151" t="n"/>
      <c r="CY54" s="151" t="n"/>
      <c r="CZ54" s="151" t="n"/>
      <c r="DA54" s="151" t="n"/>
      <c r="DB54" s="151" t="n"/>
      <c r="DC54" s="151" t="n"/>
      <c r="DD54" s="151" t="n"/>
      <c r="DE54" s="151" t="n"/>
      <c r="DF54" s="151" t="n"/>
      <c r="DG54" s="151" t="n"/>
      <c r="DH54" s="151" t="n"/>
      <c r="DI54" s="151" t="n"/>
      <c r="DJ54" s="151" t="n"/>
      <c r="DK54" s="151" t="n"/>
      <c r="DL54" s="151" t="n"/>
      <c r="DM54" s="151" t="n"/>
      <c r="DN54" s="151" t="n"/>
      <c r="DO54" s="150" t="n"/>
      <c r="DP54" s="150" t="n"/>
      <c r="DQ54" s="150" t="n"/>
      <c r="DR54" s="150" t="n"/>
      <c r="DS54" s="150" t="n"/>
      <c r="DT54" s="150" t="n"/>
      <c r="DU54" s="150" t="n"/>
      <c r="DV54" s="150" t="n"/>
      <c r="DW54" s="150" t="n"/>
      <c r="DX54" s="150" t="n"/>
      <c r="DY54" s="150" t="n"/>
      <c r="DZ54" s="150" t="n"/>
      <c r="EA54" s="150" t="n"/>
      <c r="EB54" s="150" t="n"/>
      <c r="EC54" s="150" t="n"/>
      <c r="ED54" s="150" t="n"/>
      <c r="EE54" s="150" t="n"/>
      <c r="EF54" s="150" t="n"/>
      <c r="EG54" s="150" t="n"/>
      <c r="EH54" s="150" t="n"/>
      <c r="EI54" s="150" t="n"/>
      <c r="EJ54" s="150" t="n"/>
      <c r="EK54" s="150" t="n"/>
      <c r="EL54" s="150" t="n"/>
      <c r="EM54" s="150" t="n"/>
      <c r="EN54" s="150" t="n"/>
      <c r="EO54" s="150" t="n"/>
      <c r="EP54" s="150" t="n"/>
      <c r="EQ54" s="150" t="n"/>
      <c r="ER54" s="150" t="n"/>
      <c r="ES54" s="150" t="n"/>
      <c r="ET54" s="150" t="n"/>
      <c r="EU54" s="150" t="n"/>
      <c r="EV54" s="150" t="n"/>
      <c r="EW54" s="150" t="n"/>
      <c r="EX54" s="150" t="n"/>
      <c r="EY54" s="150" t="n"/>
      <c r="EZ54" s="150" t="n"/>
      <c r="FA54" s="150" t="n"/>
      <c r="FB54" s="150" t="n"/>
      <c r="FC54" s="150" t="n"/>
      <c r="FD54" s="150" t="n"/>
      <c r="FE54" s="150" t="n"/>
      <c r="FF54" s="150" t="n"/>
      <c r="FG54" s="150" t="n"/>
      <c r="FH54" s="150" t="n"/>
      <c r="FI54" s="150" t="n"/>
      <c r="FJ54" s="150" t="n"/>
      <c r="FK54" s="150" t="n"/>
      <c r="FL54" s="150" t="n"/>
      <c r="FM54" s="150" t="n"/>
      <c r="FN54" s="150" t="n"/>
      <c r="FO54" s="150" t="n"/>
      <c r="FP54" s="150" t="n"/>
      <c r="FQ54" s="150" t="n"/>
      <c r="FR54" s="150" t="n"/>
      <c r="FS54" s="150" t="n"/>
      <c r="FT54" s="150" t="n"/>
      <c r="FU54" s="150" t="n"/>
      <c r="FV54" s="150" t="n"/>
      <c r="FW54" s="150" t="n"/>
      <c r="FX54" s="150" t="n"/>
      <c r="FY54" s="150" t="n"/>
      <c r="FZ54" s="150" t="n"/>
      <c r="GA54" s="150" t="n"/>
      <c r="GB54" s="150" t="n"/>
      <c r="GC54" s="150" t="n"/>
      <c r="GD54" s="150" t="n"/>
      <c r="GE54" s="150" t="n"/>
      <c r="GF54" s="150" t="n"/>
      <c r="GG54" s="150" t="n"/>
      <c r="GH54" s="882" t="n"/>
    </row>
    <row r="55" ht="12.75" customHeight="1" s="2">
      <c r="A55" s="154" t="n"/>
      <c r="B55" s="155" t="n"/>
      <c r="C55" s="155" t="n"/>
      <c r="D55" s="155" t="n"/>
      <c r="E55" s="157" t="n"/>
      <c r="F55" s="155" t="n"/>
      <c r="G55" s="155" t="n"/>
      <c r="H55" s="157" t="n"/>
      <c r="I55" s="155" t="n"/>
      <c r="J55" s="155" t="n"/>
      <c r="K55" s="155" t="n"/>
      <c r="L55" s="155" t="n"/>
      <c r="M55" s="1591" t="n"/>
      <c r="N55" s="725" t="n"/>
      <c r="O55" s="155" t="n"/>
      <c r="P55" s="155" t="n"/>
      <c r="Q55" s="155" t="n"/>
      <c r="R55" s="157" t="n"/>
      <c r="S55" s="150" t="n"/>
      <c r="T55" s="151" t="n"/>
      <c r="U55" s="151" t="n"/>
      <c r="V55" s="151" t="n"/>
      <c r="W55" s="151" t="n"/>
      <c r="X55" s="151" t="n"/>
      <c r="Y55" s="151" t="n"/>
      <c r="Z55" s="151" t="n"/>
      <c r="AA55" s="151" t="n"/>
      <c r="AB55" s="151" t="n"/>
      <c r="AC55" s="151" t="n"/>
      <c r="AD55" s="151" t="n"/>
      <c r="AE55" s="151" t="n"/>
      <c r="AF55" s="151" t="n"/>
      <c r="AG55" s="151" t="n"/>
      <c r="AH55" s="151" t="n"/>
      <c r="AI55" s="151" t="n"/>
      <c r="AJ55" s="151" t="n"/>
      <c r="AK55" s="151" t="n"/>
      <c r="AL55" s="151" t="n"/>
      <c r="AM55" s="151" t="n"/>
      <c r="AN55" s="151" t="n"/>
      <c r="AO55" s="151" t="n"/>
      <c r="AP55" s="151" t="n"/>
      <c r="AQ55" s="151" t="n"/>
      <c r="AR55" s="151" t="n"/>
      <c r="AS55" s="151" t="n"/>
      <c r="AT55" s="151" t="n"/>
      <c r="AU55" s="151" t="n"/>
      <c r="AV55" s="151" t="n"/>
      <c r="AW55" s="151" t="n"/>
      <c r="AX55" s="151" t="n"/>
      <c r="AY55" s="151" t="n"/>
      <c r="AZ55" s="151" t="n"/>
      <c r="BA55" s="151" t="n"/>
      <c r="BB55" s="151" t="n"/>
      <c r="BC55" s="151" t="n"/>
      <c r="BD55" s="151" t="n"/>
      <c r="BE55" s="151" t="n"/>
      <c r="BF55" s="151" t="n"/>
      <c r="BG55" s="151" t="n"/>
      <c r="BH55" s="151" t="n"/>
      <c r="BI55" s="151" t="n"/>
      <c r="BJ55" s="151" t="n"/>
      <c r="BK55" s="151" t="n"/>
      <c r="BL55" s="151" t="n"/>
      <c r="BM55" s="151" t="n"/>
      <c r="BN55" s="151" t="n"/>
      <c r="BO55" s="151" t="n"/>
      <c r="BP55" s="151" t="n"/>
      <c r="BQ55" s="151" t="n"/>
      <c r="BR55" s="151" t="n"/>
      <c r="BS55" s="151" t="n"/>
      <c r="BT55" s="151" t="n"/>
      <c r="BU55" s="151" t="n"/>
      <c r="BV55" s="151" t="n"/>
      <c r="BW55" s="151" t="n"/>
      <c r="BX55" s="151" t="n"/>
      <c r="BY55" s="151" t="n"/>
      <c r="BZ55" s="151" t="n"/>
      <c r="CA55" s="151" t="n"/>
      <c r="CB55" s="151" t="n"/>
      <c r="CC55" s="151" t="n"/>
      <c r="CD55" s="151" t="n"/>
      <c r="CE55" s="151" t="n"/>
      <c r="CF55" s="151" t="n"/>
      <c r="CG55" s="151" t="n"/>
      <c r="CH55" s="151" t="n"/>
      <c r="CI55" s="151" t="n"/>
      <c r="CJ55" s="151" t="n"/>
      <c r="CK55" s="151" t="n"/>
      <c r="CL55" s="151" t="n"/>
      <c r="CM55" s="151" t="n"/>
      <c r="CN55" s="151" t="n"/>
      <c r="CO55" s="151" t="n"/>
      <c r="CP55" s="151" t="n"/>
      <c r="CQ55" s="151" t="n"/>
      <c r="CR55" s="151" t="n"/>
      <c r="CS55" s="151" t="n"/>
      <c r="CT55" s="151" t="n"/>
      <c r="CU55" s="151" t="n"/>
      <c r="CV55" s="151" t="n"/>
      <c r="CW55" s="151" t="n"/>
      <c r="CX55" s="151" t="n"/>
      <c r="CY55" s="151" t="n"/>
      <c r="CZ55" s="151" t="n"/>
      <c r="DA55" s="151" t="n"/>
      <c r="DB55" s="151" t="n"/>
      <c r="DC55" s="151" t="n"/>
      <c r="DD55" s="151" t="n"/>
      <c r="DE55" s="151" t="n"/>
      <c r="DF55" s="151" t="n"/>
      <c r="DG55" s="151" t="n"/>
      <c r="DH55" s="151" t="n"/>
      <c r="DI55" s="151" t="n"/>
      <c r="DJ55" s="151" t="n"/>
      <c r="DK55" s="151" t="n"/>
      <c r="DL55" s="151" t="n"/>
      <c r="DM55" s="151" t="n"/>
      <c r="DN55" s="151" t="n"/>
      <c r="DO55" s="150" t="n"/>
      <c r="DP55" s="150" t="n"/>
      <c r="DQ55" s="150" t="n"/>
      <c r="DR55" s="150" t="n"/>
      <c r="DS55" s="150" t="n"/>
      <c r="DT55" s="150" t="n"/>
      <c r="DU55" s="150" t="n"/>
      <c r="DV55" s="150" t="n"/>
      <c r="DW55" s="150" t="n"/>
      <c r="DX55" s="150" t="n"/>
      <c r="DY55" s="150" t="n"/>
      <c r="DZ55" s="150" t="n"/>
      <c r="EA55" s="150" t="n"/>
      <c r="EB55" s="150" t="n"/>
      <c r="EC55" s="150" t="n"/>
      <c r="ED55" s="150" t="n"/>
      <c r="EE55" s="150" t="n"/>
      <c r="EF55" s="150" t="n"/>
      <c r="EG55" s="150" t="n"/>
      <c r="EH55" s="150" t="n"/>
      <c r="EI55" s="150" t="n"/>
      <c r="EJ55" s="150" t="n"/>
      <c r="EK55" s="150" t="n"/>
      <c r="EL55" s="150" t="n"/>
      <c r="EM55" s="150" t="n"/>
      <c r="EN55" s="150" t="n"/>
      <c r="EO55" s="150" t="n"/>
      <c r="EP55" s="150" t="n"/>
      <c r="EQ55" s="150" t="n"/>
      <c r="ER55" s="150" t="n"/>
      <c r="ES55" s="150" t="n"/>
      <c r="ET55" s="150" t="n"/>
      <c r="EU55" s="150" t="n"/>
      <c r="EV55" s="150" t="n"/>
      <c r="EW55" s="150" t="n"/>
      <c r="EX55" s="150" t="n"/>
      <c r="EY55" s="150" t="n"/>
      <c r="EZ55" s="150" t="n"/>
      <c r="FA55" s="150" t="n"/>
      <c r="FB55" s="150" t="n"/>
      <c r="FC55" s="150" t="n"/>
      <c r="FD55" s="150" t="n"/>
      <c r="FE55" s="150" t="n"/>
      <c r="FF55" s="150" t="n"/>
      <c r="FG55" s="150" t="n"/>
      <c r="FH55" s="150" t="n"/>
      <c r="FI55" s="150" t="n"/>
      <c r="FJ55" s="150" t="n"/>
      <c r="FK55" s="150" t="n"/>
      <c r="FL55" s="150" t="n"/>
      <c r="FM55" s="150" t="n"/>
      <c r="FN55" s="150" t="n"/>
      <c r="FO55" s="150" t="n"/>
      <c r="FP55" s="150" t="n"/>
      <c r="FQ55" s="150" t="n"/>
      <c r="FR55" s="150" t="n"/>
      <c r="FS55" s="150" t="n"/>
      <c r="FT55" s="150" t="n"/>
      <c r="FU55" s="150" t="n"/>
      <c r="FV55" s="150" t="n"/>
      <c r="FW55" s="150" t="n"/>
      <c r="FX55" s="150" t="n"/>
      <c r="FY55" s="150" t="n"/>
      <c r="FZ55" s="150" t="n"/>
      <c r="GA55" s="150" t="n"/>
      <c r="GB55" s="150" t="n"/>
      <c r="GC55" s="150" t="n"/>
      <c r="GD55" s="150" t="n"/>
      <c r="GE55" s="150" t="n"/>
      <c r="GF55" s="150" t="n"/>
      <c r="GG55" s="150" t="n"/>
      <c r="GH55" s="882" t="n"/>
    </row>
    <row r="56" ht="12.75" customHeight="1" s="2">
      <c r="R56" s="150" t="n"/>
      <c r="T56" s="1037" t="n"/>
      <c r="U56" s="1037" t="n"/>
      <c r="V56" s="1037" t="n"/>
      <c r="W56" s="1037" t="n"/>
      <c r="X56" s="1037" t="n"/>
      <c r="Y56" s="1037" t="n"/>
      <c r="Z56" s="1037" t="n"/>
      <c r="AA56" s="1037" t="n"/>
      <c r="AB56" s="1037" t="n"/>
      <c r="AC56" s="1037" t="n"/>
      <c r="AD56" s="1037" t="n"/>
      <c r="AE56" s="1037" t="n"/>
      <c r="AF56" s="1037" t="n"/>
      <c r="AG56" s="1037" t="n"/>
      <c r="AH56" s="1037" t="n"/>
      <c r="AI56" s="1037" t="n"/>
      <c r="AJ56" s="1037" t="n"/>
      <c r="AK56" s="1037" t="n"/>
      <c r="AL56" s="1037" t="n"/>
      <c r="AM56" s="1037" t="n"/>
      <c r="AN56" s="1037" t="n"/>
      <c r="AO56" s="1037" t="n"/>
      <c r="AP56" s="1037" t="n"/>
      <c r="AQ56" s="1037" t="n"/>
      <c r="AR56" s="1037" t="n"/>
      <c r="AS56" s="1037" t="n"/>
      <c r="AT56" s="1037" t="n"/>
      <c r="AU56" s="1037" t="n"/>
      <c r="AV56" s="1037" t="n"/>
      <c r="AW56" s="1037" t="n"/>
      <c r="AX56" s="1037" t="n"/>
      <c r="AY56" s="1037" t="n"/>
      <c r="AZ56" s="1037" t="n"/>
      <c r="BA56" s="1037" t="n"/>
      <c r="BB56" s="1037" t="n"/>
      <c r="BC56" s="1037" t="n"/>
      <c r="BD56" s="1037" t="n"/>
      <c r="BE56" s="1037" t="n"/>
      <c r="BF56" s="1037" t="n"/>
      <c r="BG56" s="1037" t="n"/>
      <c r="BH56" s="1037" t="n"/>
      <c r="BI56" s="1037" t="n"/>
      <c r="BJ56" s="1037" t="n"/>
      <c r="BK56" s="1037" t="n"/>
      <c r="BL56" s="1037" t="n"/>
      <c r="BM56" s="1037" t="n"/>
      <c r="BN56" s="1037" t="n"/>
      <c r="BO56" s="1037" t="n"/>
      <c r="BP56" s="1037" t="n"/>
      <c r="BQ56" s="1037" t="n"/>
      <c r="BR56" s="1037" t="n"/>
      <c r="BS56" s="1037" t="n"/>
      <c r="BT56" s="1037" t="n"/>
      <c r="BU56" s="1037" t="n"/>
      <c r="BV56" s="1037" t="n"/>
      <c r="BW56" s="1037" t="n"/>
      <c r="BX56" s="1037" t="n"/>
      <c r="BY56" s="1037" t="n"/>
      <c r="BZ56" s="1037" t="n"/>
      <c r="CA56" s="1037" t="n"/>
      <c r="CB56" s="1037" t="n"/>
      <c r="CC56" s="1037" t="n"/>
      <c r="CD56" s="1037" t="n"/>
      <c r="CE56" s="1037" t="n"/>
      <c r="CF56" s="1037" t="n"/>
      <c r="CG56" s="1037" t="n"/>
      <c r="CH56" s="1037" t="n"/>
      <c r="CI56" s="1037" t="n"/>
      <c r="CJ56" s="1037" t="n"/>
      <c r="CK56" s="1037" t="n"/>
      <c r="CL56" s="1037" t="n"/>
      <c r="CM56" s="1037" t="n"/>
      <c r="CN56" s="1037" t="n"/>
      <c r="CO56" s="1037" t="n"/>
      <c r="CP56" s="1037" t="n"/>
      <c r="CQ56" s="1037" t="n"/>
      <c r="CR56" s="1037" t="n"/>
      <c r="CS56" s="1037" t="n"/>
      <c r="CT56" s="1037" t="n"/>
      <c r="CU56" s="1037" t="n"/>
      <c r="CV56" s="1037" t="n"/>
      <c r="CW56" s="1037" t="n"/>
      <c r="CX56" s="1037" t="n"/>
      <c r="CY56" s="1037" t="n"/>
      <c r="CZ56" s="1037" t="n"/>
      <c r="DA56" s="1037" t="n"/>
      <c r="DB56" s="1037" t="n"/>
      <c r="DC56" s="1037" t="n"/>
      <c r="DD56" s="1037" t="n"/>
      <c r="DE56" s="1037" t="n"/>
      <c r="DF56" s="1037" t="n"/>
      <c r="DG56" s="1037" t="n"/>
      <c r="DH56" s="1037" t="n"/>
      <c r="DI56" s="1037" t="n"/>
      <c r="DJ56" s="1037" t="n"/>
      <c r="DK56" s="1037" t="n"/>
      <c r="DL56" s="1037" t="n"/>
      <c r="DM56" s="1037" t="n"/>
      <c r="DN56" s="1037" t="n"/>
      <c r="GH56" s="882" t="n"/>
    </row>
    <row r="57" ht="12.75" customHeight="1" s="2">
      <c r="R57" s="150" t="n"/>
      <c r="T57" s="1037" t="n"/>
      <c r="U57" s="1037" t="n"/>
      <c r="V57" s="1037" t="n"/>
      <c r="W57" s="1037" t="n"/>
      <c r="X57" s="1037" t="n"/>
      <c r="Y57" s="1037" t="n"/>
      <c r="Z57" s="1037" t="n"/>
      <c r="AA57" s="1037" t="n"/>
      <c r="AB57" s="1037" t="n"/>
      <c r="AC57" s="1037" t="n"/>
      <c r="AD57" s="1037" t="n"/>
      <c r="AE57" s="1037" t="n"/>
      <c r="AF57" s="1037" t="n"/>
      <c r="AG57" s="1037" t="n"/>
      <c r="AH57" s="1037" t="n"/>
      <c r="AI57" s="1037" t="n"/>
      <c r="AJ57" s="1037" t="n"/>
      <c r="AK57" s="1037" t="n"/>
      <c r="AL57" s="1037" t="n"/>
      <c r="AM57" s="1037" t="n"/>
      <c r="AN57" s="1037" t="n"/>
      <c r="AO57" s="1037" t="n"/>
      <c r="AP57" s="1037" t="n"/>
      <c r="AQ57" s="1037" t="n"/>
      <c r="AR57" s="1037" t="n"/>
      <c r="AS57" s="1037" t="n"/>
      <c r="AT57" s="1037" t="n"/>
      <c r="AU57" s="1037" t="n"/>
      <c r="AV57" s="1037" t="n"/>
      <c r="AW57" s="1037" t="n"/>
      <c r="AX57" s="1037" t="n"/>
      <c r="AY57" s="1037" t="n"/>
      <c r="AZ57" s="1037" t="n"/>
      <c r="BA57" s="1037" t="n"/>
      <c r="BB57" s="1037" t="n"/>
      <c r="BC57" s="1037" t="n"/>
      <c r="BD57" s="1037" t="n"/>
      <c r="BE57" s="1037" t="n"/>
      <c r="BF57" s="1037" t="n"/>
      <c r="BG57" s="1037" t="n"/>
      <c r="BH57" s="1037" t="n"/>
      <c r="BI57" s="1037" t="n"/>
      <c r="BJ57" s="1037" t="n"/>
      <c r="BK57" s="1037" t="n"/>
      <c r="BL57" s="1037" t="n"/>
      <c r="BM57" s="1037" t="n"/>
      <c r="BN57" s="1037" t="n"/>
      <c r="BO57" s="1037" t="n"/>
      <c r="BP57" s="1037" t="n"/>
      <c r="BQ57" s="1037" t="n"/>
      <c r="BR57" s="1037" t="n"/>
      <c r="BS57" s="1037" t="n"/>
      <c r="BT57" s="1037" t="n"/>
      <c r="BU57" s="1037" t="n"/>
      <c r="BV57" s="1037" t="n"/>
      <c r="BW57" s="1037" t="n"/>
      <c r="BX57" s="1037" t="n"/>
      <c r="BY57" s="1037" t="n"/>
      <c r="BZ57" s="1037" t="n"/>
      <c r="CA57" s="1037" t="n"/>
      <c r="CB57" s="1037" t="n"/>
      <c r="CC57" s="1037" t="n"/>
      <c r="CD57" s="1037" t="n"/>
      <c r="CE57" s="1037" t="n"/>
      <c r="CF57" s="1037" t="n"/>
      <c r="CG57" s="1037" t="n"/>
      <c r="CH57" s="1037" t="n"/>
      <c r="CI57" s="1037" t="n"/>
      <c r="CJ57" s="1037" t="n"/>
      <c r="CK57" s="1037" t="n"/>
      <c r="CL57" s="1037" t="n"/>
      <c r="CM57" s="1037" t="n"/>
      <c r="CN57" s="1037" t="n"/>
      <c r="CO57" s="1037" t="n"/>
      <c r="CP57" s="1037" t="n"/>
      <c r="CQ57" s="1037" t="n"/>
      <c r="CR57" s="1037" t="n"/>
      <c r="CS57" s="1037" t="n"/>
      <c r="CT57" s="1037" t="n"/>
      <c r="CU57" s="1037" t="n"/>
      <c r="CV57" s="1037" t="n"/>
      <c r="CW57" s="1037" t="n"/>
      <c r="CX57" s="1037" t="n"/>
      <c r="CY57" s="1037" t="n"/>
      <c r="CZ57" s="1037" t="n"/>
      <c r="DA57" s="1037" t="n"/>
      <c r="DB57" s="1037" t="n"/>
      <c r="DC57" s="1037" t="n"/>
      <c r="DD57" s="1037" t="n"/>
      <c r="DE57" s="1037" t="n"/>
      <c r="DF57" s="1037" t="n"/>
      <c r="DG57" s="1037" t="n"/>
      <c r="DH57" s="1037" t="n"/>
      <c r="DI57" s="1037" t="n"/>
      <c r="DJ57" s="1037" t="n"/>
      <c r="DK57" s="1037" t="n"/>
      <c r="DL57" s="1037" t="n"/>
      <c r="DM57" s="1037" t="n"/>
      <c r="DN57" s="1037" t="n"/>
      <c r="GH57" s="882" t="n"/>
    </row>
    <row r="58" ht="12.75" customHeight="1" s="2">
      <c r="GH58" s="882" t="n"/>
    </row>
  </sheetData>
  <mergeCells count="1">
    <mergeCell ref="G2:G4"/>
  </mergeCells>
  <pageMargins left="0.11811" right="0.19685" top="0.11811" bottom="0.11811" header="0.511811" footer="0.15748"/>
  <pageSetup orientation="landscape" scale="37" fitToWidth="0"/>
  <headerFooter>
    <oddHeader/>
    <oddFooter>&amp;C&amp;"Helvetica,Regular"&amp;12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X35"/>
  <sheetViews>
    <sheetView showGridLines="0" topLeftCell="B1" zoomScale="115" zoomScaleNormal="115" workbookViewId="0">
      <selection activeCell="T13" sqref="T13"/>
    </sheetView>
  </sheetViews>
  <sheetFormatPr baseColWidth="8" defaultColWidth="11.42578125" defaultRowHeight="12.75" customHeight="1"/>
  <cols>
    <col width="21.140625" customWidth="1" style="2" min="1" max="1"/>
    <col width="3.140625" customWidth="1" style="2" min="2" max="2"/>
    <col width="8.42578125" customWidth="1" style="2" min="3" max="3"/>
    <col width="8.140625" customWidth="1" style="2" min="4" max="4"/>
    <col width="8.42578125" customWidth="1" style="2" min="5" max="5"/>
    <col width="7.85546875" customWidth="1" style="2" min="6" max="6"/>
    <col width="8.42578125" customWidth="1" style="2" min="7" max="7"/>
    <col width="7" customWidth="1" style="2" min="8" max="8"/>
    <col width="10.140625" customWidth="1" style="2" min="9" max="9"/>
    <col width="7" customWidth="1" style="2" min="10" max="10"/>
    <col width="7.140625" customWidth="1" style="2" min="11" max="11"/>
    <col width="7" customWidth="1" style="2" min="12" max="12"/>
    <col width="8.140625" customWidth="1" style="2" min="13" max="13"/>
    <col width="5.42578125" customWidth="1" style="2" min="14" max="14"/>
    <col width="8.42578125" customWidth="1" style="2" min="15" max="15"/>
    <col width="5.85546875" customWidth="1" style="2" min="16" max="16"/>
    <col width="8.7109375" customWidth="1" style="2" min="17" max="17"/>
    <col width="6.42578125" customWidth="1" style="2" min="18" max="18"/>
    <col width="7.140625" customWidth="1" style="2" min="19" max="19"/>
    <col width="7.42578125" customWidth="1" style="2" min="20" max="20"/>
    <col width="7.140625" customWidth="1" style="2" min="21" max="21"/>
    <col width="7.85546875" customWidth="1" style="2" min="22" max="22"/>
    <col width="7" bestFit="1" customWidth="1" style="2" min="23" max="23"/>
    <col width="6.85546875" customWidth="1" style="2" min="24" max="24"/>
    <col width="7.42578125" customWidth="1" style="2" min="25" max="25"/>
    <col width="6.85546875" customWidth="1" style="2" min="26" max="26"/>
    <col width="6.42578125" customWidth="1" style="2" min="27" max="27"/>
    <col width="9.140625" customWidth="1" style="2" min="28" max="28"/>
    <col width="11.42578125" customWidth="1" style="2" min="29" max="256"/>
  </cols>
  <sheetData>
    <row r="1" ht="17.85" customHeight="1" s="2">
      <c r="A1" s="887">
        <f>'Data Sheet'!B1</f>
        <v/>
      </c>
      <c r="B1" s="591" t="n"/>
      <c r="C1" s="596" t="n"/>
      <c r="D1" s="592" t="inlineStr">
        <is>
          <t>THE ROCKS</t>
        </is>
      </c>
      <c r="E1" s="591" t="n"/>
      <c r="F1" s="591" t="n"/>
      <c r="G1" s="591" t="n"/>
      <c r="H1" s="591" t="n"/>
      <c r="I1" s="591" t="n"/>
      <c r="J1" s="591" t="n"/>
      <c r="K1" s="591" t="n"/>
      <c r="L1" s="593" t="n"/>
      <c r="M1" s="591" t="n"/>
      <c r="N1" s="591" t="n"/>
      <c r="O1" s="591" t="n"/>
      <c r="P1" s="591" t="n"/>
      <c r="Q1" s="591" t="n"/>
      <c r="R1" s="591" t="n"/>
      <c r="S1" s="591" t="n"/>
      <c r="T1" s="591" t="n"/>
      <c r="U1" s="591" t="n"/>
      <c r="V1" s="591" t="n"/>
      <c r="W1" s="591" t="n"/>
      <c r="X1" s="1592" t="n"/>
      <c r="Y1" s="591" t="n"/>
      <c r="Z1" s="591" t="n"/>
      <c r="AA1" s="591" t="n"/>
      <c r="AB1" s="591" t="n"/>
      <c r="AC1" s="591" t="n"/>
      <c r="AD1" s="591" t="n"/>
    </row>
    <row r="2" ht="17.85" customHeight="1" s="2" thickBot="1">
      <c r="A2" s="1593" t="n"/>
      <c r="B2" s="1594" t="n"/>
      <c r="C2" s="1595" t="n"/>
      <c r="D2" s="598" t="n"/>
      <c r="E2" s="598" t="n"/>
      <c r="F2" s="598" t="n"/>
      <c r="G2" s="598" t="n"/>
      <c r="H2" s="598" t="n"/>
      <c r="I2" s="598" t="n"/>
      <c r="J2" s="598" t="n"/>
      <c r="K2" s="599" t="inlineStr">
        <is>
          <t>HOURLY COSTING</t>
        </is>
      </c>
      <c r="L2" s="600" t="n"/>
      <c r="M2" s="601" t="n"/>
      <c r="N2" s="598" t="n"/>
      <c r="O2" s="598" t="n"/>
      <c r="P2" s="598" t="n"/>
      <c r="Q2" s="598" t="n"/>
      <c r="R2" s="598" t="n"/>
      <c r="S2" s="598" t="n"/>
      <c r="T2" s="598" t="n"/>
      <c r="U2" s="598" t="n"/>
      <c r="V2" s="1480" t="inlineStr">
        <is>
          <t>Allowances</t>
        </is>
      </c>
      <c r="W2" s="1596" t="n"/>
      <c r="X2" s="1597" t="n"/>
      <c r="Y2" s="1598" t="n">
        <v>2.95</v>
      </c>
      <c r="Z2" s="1599" t="n"/>
      <c r="AA2" s="1598" t="n">
        <v>4.42</v>
      </c>
      <c r="AB2" s="1598" t="n">
        <v>11.2</v>
      </c>
      <c r="AC2" s="598" t="n"/>
      <c r="AD2" s="605" t="n"/>
    </row>
    <row r="3" ht="14.85" customHeight="1" s="2">
      <c r="A3" s="613" t="inlineStr">
        <is>
          <t>EMPLOYEE</t>
        </is>
      </c>
      <c r="B3" s="614" t="n"/>
      <c r="C3" s="637" t="inlineStr">
        <is>
          <t>RATE</t>
        </is>
      </c>
      <c r="D3" s="639" t="n">
        <v>1</v>
      </c>
      <c r="E3" s="616" t="inlineStr">
        <is>
          <t>$</t>
        </is>
      </c>
      <c r="F3" s="616" t="inlineStr">
        <is>
          <t>1.25</t>
        </is>
      </c>
      <c r="G3" s="616" t="n"/>
      <c r="H3" s="617" t="n">
        <v>1.5</v>
      </c>
      <c r="I3" s="616" t="inlineStr">
        <is>
          <t>$</t>
        </is>
      </c>
      <c r="J3" s="615" t="n">
        <v>1.5</v>
      </c>
      <c r="K3" s="616" t="inlineStr">
        <is>
          <t>$</t>
        </is>
      </c>
      <c r="L3" s="615" t="n">
        <v>1.75</v>
      </c>
      <c r="M3" s="616" t="inlineStr">
        <is>
          <t>$</t>
        </is>
      </c>
      <c r="N3" s="615" t="n">
        <v>2</v>
      </c>
      <c r="O3" s="616" t="inlineStr">
        <is>
          <t>$</t>
        </is>
      </c>
      <c r="P3" s="683" t="n">
        <v>2.25</v>
      </c>
      <c r="Q3" s="616" t="inlineStr">
        <is>
          <t>$</t>
        </is>
      </c>
      <c r="R3" s="616" t="inlineStr">
        <is>
          <t>Sick</t>
        </is>
      </c>
      <c r="S3" s="616" t="inlineStr">
        <is>
          <t>$</t>
        </is>
      </c>
      <c r="T3" s="616" t="inlineStr">
        <is>
          <t>Holiday</t>
        </is>
      </c>
      <c r="U3" s="626" t="inlineStr">
        <is>
          <t>$</t>
        </is>
      </c>
      <c r="V3" s="629" t="inlineStr">
        <is>
          <t>Laundry</t>
        </is>
      </c>
      <c r="W3" s="618" t="inlineStr">
        <is>
          <t>Superv.</t>
        </is>
      </c>
      <c r="X3" s="619" t="inlineStr">
        <is>
          <t>Penalty</t>
        </is>
      </c>
      <c r="Y3" s="619" t="inlineStr">
        <is>
          <t>$</t>
        </is>
      </c>
      <c r="Z3" s="619" t="inlineStr">
        <is>
          <t>Penalty</t>
        </is>
      </c>
      <c r="AA3" s="618" t="inlineStr">
        <is>
          <t>$</t>
        </is>
      </c>
      <c r="AB3" s="630" t="inlineStr">
        <is>
          <t>Split</t>
        </is>
      </c>
      <c r="AC3" s="627" t="inlineStr">
        <is>
          <t>TOTAL</t>
        </is>
      </c>
      <c r="AD3" s="620" t="inlineStr">
        <is>
          <t xml:space="preserve">TOTAL </t>
        </is>
      </c>
    </row>
    <row r="4" ht="14.85" customHeight="1" s="2" thickBot="1">
      <c r="A4" s="621" t="n"/>
      <c r="B4" s="595" t="n"/>
      <c r="C4" s="638" t="n"/>
      <c r="D4" s="640" t="inlineStr">
        <is>
          <t>ORD</t>
        </is>
      </c>
      <c r="E4" s="641" t="n"/>
      <c r="F4" s="641" t="inlineStr">
        <is>
          <t>SAT</t>
        </is>
      </c>
      <c r="G4" s="641" t="n"/>
      <c r="H4" s="642" t="inlineStr">
        <is>
          <t>SUN</t>
        </is>
      </c>
      <c r="I4" s="641" t="n"/>
      <c r="J4" s="642" t="inlineStr">
        <is>
          <t>OT</t>
        </is>
      </c>
      <c r="K4" s="641" t="n"/>
      <c r="L4" s="642" t="inlineStr">
        <is>
          <t>O/Time</t>
        </is>
      </c>
      <c r="M4" s="641" t="n"/>
      <c r="N4" s="642" t="inlineStr">
        <is>
          <t>O/Time OR sat milko</t>
        </is>
      </c>
      <c r="O4" s="641" t="n"/>
      <c r="P4" s="684" t="inlineStr">
        <is>
          <t>P/Hol</t>
        </is>
      </c>
      <c r="Q4" s="641" t="n"/>
      <c r="R4" s="643" t="inlineStr">
        <is>
          <t>Leave</t>
        </is>
      </c>
      <c r="S4" s="641" t="n"/>
      <c r="T4" s="644" t="n"/>
      <c r="U4" s="645" t="n"/>
      <c r="V4" s="646" t="inlineStr">
        <is>
          <t>Clothing</t>
        </is>
      </c>
      <c r="W4" s="647" t="inlineStr">
        <is>
          <t>P/Hol</t>
        </is>
      </c>
      <c r="X4" s="648" t="inlineStr">
        <is>
          <t>10-12pm</t>
        </is>
      </c>
      <c r="Y4" s="649" t="n"/>
      <c r="Z4" s="648" t="inlineStr">
        <is>
          <t>12-7am</t>
        </is>
      </c>
      <c r="AA4" s="650" t="n"/>
      <c r="AB4" s="651" t="inlineStr">
        <is>
          <t>Shift</t>
        </is>
      </c>
      <c r="AC4" s="652" t="inlineStr">
        <is>
          <t>HOURS</t>
        </is>
      </c>
      <c r="AD4" s="653" t="inlineStr">
        <is>
          <t>$'s</t>
        </is>
      </c>
    </row>
    <row r="5" ht="12.2" customFormat="1" customHeight="1" s="895">
      <c r="A5" s="896" t="inlineStr">
        <is>
          <t>DUTTA PINAKE</t>
        </is>
      </c>
      <c r="B5" s="851" t="n"/>
      <c r="C5" s="1600" t="n">
        <v>31.3</v>
      </c>
      <c r="D5" s="685" t="n">
        <v>22.25</v>
      </c>
      <c r="E5" s="1601">
        <f>C5*D5</f>
        <v/>
      </c>
      <c r="F5" s="705" t="n">
        <v>6.5</v>
      </c>
      <c r="G5" s="1602">
        <f>F5*C5*1.25</f>
        <v/>
      </c>
      <c r="H5" s="685" t="n">
        <v>9</v>
      </c>
      <c r="I5" s="1601">
        <f>C5*1.5*H5</f>
        <v/>
      </c>
      <c r="J5" s="685" t="n"/>
      <c r="K5" s="1601">
        <f>C5*1.5*J5</f>
        <v/>
      </c>
      <c r="L5" s="685" t="n"/>
      <c r="M5" s="1601">
        <f>C5*1.75*L5</f>
        <v/>
      </c>
      <c r="N5" s="685" t="n">
        <v>4</v>
      </c>
      <c r="O5" s="1601">
        <f>C5*2*N5</f>
        <v/>
      </c>
      <c r="P5" s="685" t="n"/>
      <c r="Q5" s="1601">
        <f>C5*2.25*P5</f>
        <v/>
      </c>
      <c r="R5" s="685" t="n"/>
      <c r="S5" s="1601">
        <f>C5*R5</f>
        <v/>
      </c>
      <c r="T5" s="685" t="n"/>
      <c r="U5" s="1603">
        <f>C5*T5</f>
        <v/>
      </c>
      <c r="V5" s="1604" t="n">
        <v>6.9</v>
      </c>
      <c r="W5" s="1605" t="n">
        <v>45</v>
      </c>
      <c r="X5" s="899" t="n">
        <v>2</v>
      </c>
      <c r="Y5" s="1606">
        <f>X5*2.95</f>
        <v/>
      </c>
      <c r="Z5" s="899" t="n">
        <v>1</v>
      </c>
      <c r="AA5" s="1601">
        <f>Z5*4.42</f>
        <v/>
      </c>
      <c r="AB5" s="1607" t="n"/>
      <c r="AC5" s="902">
        <f>D5+F5+H5+J5+L5+N5+P5+R5+T5</f>
        <v/>
      </c>
      <c r="AD5" s="1603">
        <f>E5+G5+I5+K5+M5+O5+Q5+V5+W5+S5+U5+Y5+AA5+AB5</f>
        <v/>
      </c>
      <c r="AE5" s="90" t="n"/>
      <c r="AF5" s="895" t="n"/>
      <c r="AG5" s="895" t="n"/>
      <c r="AH5" s="895" t="n"/>
      <c r="AI5" s="895" t="n"/>
      <c r="AJ5" s="895" t="n"/>
      <c r="AK5" s="895" t="n"/>
      <c r="AL5" s="895" t="n"/>
      <c r="AM5" s="895" t="n"/>
      <c r="AN5" s="895" t="n"/>
      <c r="AO5" s="895" t="n"/>
      <c r="AP5" s="895" t="n"/>
      <c r="AQ5" s="895" t="n"/>
      <c r="AR5" s="895" t="n"/>
      <c r="AS5" s="895" t="n"/>
      <c r="AT5" s="895" t="n"/>
      <c r="AU5" s="895" t="n"/>
      <c r="AV5" s="895" t="n"/>
      <c r="AW5" s="895" t="n"/>
      <c r="AX5" s="895" t="n"/>
      <c r="AY5" s="895" t="n"/>
      <c r="AZ5" s="895" t="n"/>
      <c r="BA5" s="895" t="n"/>
      <c r="BB5" s="895" t="n"/>
      <c r="BC5" s="895" t="n"/>
      <c r="BD5" s="895" t="n"/>
      <c r="BE5" s="895" t="n"/>
      <c r="BF5" s="895" t="n"/>
      <c r="BG5" s="895" t="n"/>
      <c r="BH5" s="895" t="n"/>
      <c r="BI5" s="895" t="n"/>
      <c r="BJ5" s="895" t="n"/>
      <c r="BK5" s="895" t="n"/>
      <c r="BL5" s="895" t="n"/>
      <c r="BM5" s="895" t="n"/>
      <c r="BN5" s="895" t="n"/>
      <c r="BO5" s="895" t="n"/>
      <c r="BP5" s="895" t="n"/>
      <c r="BQ5" s="895" t="n"/>
      <c r="BR5" s="895" t="n"/>
      <c r="BS5" s="895" t="n"/>
      <c r="BT5" s="895" t="n"/>
      <c r="BU5" s="895" t="n"/>
      <c r="BV5" s="895" t="n"/>
      <c r="BW5" s="895" t="n"/>
      <c r="BX5" s="895" t="n"/>
      <c r="BY5" s="895" t="n"/>
      <c r="BZ5" s="895" t="n"/>
      <c r="CA5" s="895" t="n"/>
      <c r="CB5" s="895" t="n"/>
      <c r="CC5" s="895" t="n"/>
      <c r="CD5" s="895" t="n"/>
      <c r="CE5" s="895" t="n"/>
      <c r="CF5" s="895" t="n"/>
      <c r="CG5" s="895" t="n"/>
      <c r="CH5" s="895" t="n"/>
      <c r="CI5" s="895" t="n"/>
      <c r="CJ5" s="895" t="n"/>
      <c r="CK5" s="895" t="n"/>
      <c r="CL5" s="895" t="n"/>
      <c r="CM5" s="895" t="n"/>
      <c r="CN5" s="895" t="n"/>
      <c r="CO5" s="895" t="n"/>
      <c r="CP5" s="895" t="n"/>
      <c r="CQ5" s="895" t="n"/>
      <c r="CR5" s="895" t="n"/>
      <c r="CS5" s="895" t="n"/>
      <c r="CT5" s="895" t="n"/>
      <c r="CU5" s="895" t="n"/>
      <c r="CV5" s="895" t="n"/>
      <c r="CW5" s="895" t="n"/>
      <c r="CX5" s="895" t="n"/>
      <c r="CY5" s="895" t="n"/>
      <c r="CZ5" s="895" t="n"/>
      <c r="DA5" s="895" t="n"/>
      <c r="DB5" s="895" t="n"/>
      <c r="DC5" s="895" t="n"/>
      <c r="DD5" s="895" t="n"/>
      <c r="DE5" s="895" t="n"/>
      <c r="DF5" s="895" t="n"/>
      <c r="DG5" s="895" t="n"/>
      <c r="DH5" s="895" t="n"/>
      <c r="DI5" s="895" t="n"/>
      <c r="DJ5" s="895" t="n"/>
      <c r="DK5" s="895" t="n"/>
      <c r="DL5" s="895" t="n"/>
      <c r="DM5" s="895" t="n"/>
      <c r="DN5" s="895" t="n"/>
      <c r="DO5" s="895" t="n"/>
      <c r="DP5" s="895" t="n"/>
      <c r="DQ5" s="895" t="n"/>
      <c r="DR5" s="895" t="n"/>
      <c r="DS5" s="895" t="n"/>
      <c r="DT5" s="895" t="n"/>
      <c r="DU5" s="895" t="n"/>
      <c r="DV5" s="895" t="n"/>
      <c r="DW5" s="895" t="n"/>
      <c r="DX5" s="895" t="n"/>
      <c r="DY5" s="895" t="n"/>
      <c r="DZ5" s="895" t="n"/>
      <c r="EA5" s="895" t="n"/>
      <c r="EB5" s="895" t="n"/>
      <c r="EC5" s="895" t="n"/>
      <c r="ED5" s="895" t="n"/>
      <c r="EE5" s="895" t="n"/>
      <c r="EF5" s="895" t="n"/>
      <c r="EG5" s="895" t="n"/>
      <c r="EH5" s="895" t="n"/>
      <c r="EI5" s="895" t="n"/>
      <c r="EJ5" s="895" t="n"/>
      <c r="EK5" s="895" t="n"/>
      <c r="EL5" s="895" t="n"/>
      <c r="EM5" s="895" t="n"/>
      <c r="EN5" s="895" t="n"/>
      <c r="EO5" s="895" t="n"/>
      <c r="EP5" s="895" t="n"/>
      <c r="EQ5" s="895" t="n"/>
      <c r="ER5" s="895" t="n"/>
      <c r="ES5" s="895" t="n"/>
      <c r="ET5" s="895" t="n"/>
      <c r="EU5" s="895" t="n"/>
      <c r="EV5" s="895" t="n"/>
      <c r="EW5" s="895" t="n"/>
      <c r="EX5" s="895" t="n"/>
      <c r="EY5" s="895" t="n"/>
      <c r="EZ5" s="895" t="n"/>
      <c r="FA5" s="895" t="n"/>
      <c r="FB5" s="895" t="n"/>
      <c r="FC5" s="895" t="n"/>
      <c r="FD5" s="895" t="n"/>
      <c r="FE5" s="895" t="n"/>
      <c r="FF5" s="895" t="n"/>
      <c r="FG5" s="895" t="n"/>
      <c r="FH5" s="895" t="n"/>
      <c r="FI5" s="895" t="n"/>
      <c r="FJ5" s="895" t="n"/>
      <c r="FK5" s="895" t="n"/>
      <c r="FL5" s="895" t="n"/>
      <c r="FM5" s="895" t="n"/>
      <c r="FN5" s="895" t="n"/>
      <c r="FO5" s="895" t="n"/>
      <c r="FP5" s="895" t="n"/>
      <c r="FQ5" s="895" t="n"/>
      <c r="FR5" s="895" t="n"/>
      <c r="FS5" s="895" t="n"/>
      <c r="FT5" s="895" t="n"/>
      <c r="FU5" s="895" t="n"/>
      <c r="FV5" s="895" t="n"/>
      <c r="FW5" s="895" t="n"/>
      <c r="FX5" s="895" t="n"/>
      <c r="FY5" s="895" t="n"/>
      <c r="FZ5" s="895" t="n"/>
      <c r="GA5" s="895" t="n"/>
      <c r="GB5" s="895" t="n"/>
      <c r="GC5" s="895" t="n"/>
      <c r="GD5" s="895" t="n"/>
      <c r="GE5" s="895" t="n"/>
      <c r="GF5" s="895" t="n"/>
      <c r="GG5" s="895" t="n"/>
      <c r="GH5" s="895" t="n"/>
      <c r="GI5" s="895" t="n"/>
      <c r="GJ5" s="895" t="n"/>
      <c r="GK5" s="895" t="n"/>
      <c r="GL5" s="895" t="n"/>
      <c r="GM5" s="895" t="n"/>
      <c r="GN5" s="895" t="n"/>
      <c r="GO5" s="895" t="n"/>
      <c r="GP5" s="895" t="n"/>
      <c r="GQ5" s="895" t="n"/>
      <c r="GR5" s="895" t="n"/>
      <c r="GS5" s="895" t="n"/>
      <c r="GT5" s="895" t="n"/>
      <c r="GU5" s="895" t="n"/>
      <c r="GV5" s="895" t="n"/>
      <c r="GW5" s="895" t="n"/>
      <c r="GX5" s="895" t="n"/>
      <c r="GY5" s="895" t="n"/>
      <c r="GZ5" s="895" t="n"/>
      <c r="HA5" s="895" t="n"/>
      <c r="HB5" s="895" t="n"/>
      <c r="HC5" s="895" t="n"/>
      <c r="HD5" s="895" t="n"/>
      <c r="HE5" s="895" t="n"/>
      <c r="HF5" s="895" t="n"/>
      <c r="HG5" s="895" t="n"/>
      <c r="HH5" s="895" t="n"/>
      <c r="HI5" s="895" t="n"/>
      <c r="HJ5" s="895" t="n"/>
      <c r="HK5" s="895" t="n"/>
      <c r="HL5" s="895" t="n"/>
      <c r="HM5" s="895" t="n"/>
      <c r="HN5" s="895" t="n"/>
      <c r="HO5" s="895" t="n"/>
      <c r="HP5" s="895" t="n"/>
      <c r="HQ5" s="895" t="n"/>
      <c r="HR5" s="895" t="n"/>
      <c r="HS5" s="895" t="n"/>
      <c r="HT5" s="895" t="n"/>
      <c r="HU5" s="895" t="n"/>
      <c r="HV5" s="895" t="n"/>
      <c r="HW5" s="895" t="n"/>
      <c r="HX5" s="895" t="n"/>
      <c r="HY5" s="895" t="n"/>
      <c r="HZ5" s="895" t="n"/>
      <c r="IA5" s="895" t="n"/>
      <c r="IB5" s="895" t="n"/>
      <c r="IC5" s="895" t="n"/>
      <c r="ID5" s="895" t="n"/>
      <c r="IE5" s="895" t="n"/>
      <c r="IF5" s="895" t="n"/>
      <c r="IG5" s="895" t="n"/>
      <c r="IH5" s="895" t="n"/>
      <c r="II5" s="895" t="n"/>
      <c r="IJ5" s="895" t="n"/>
      <c r="IK5" s="895" t="n"/>
      <c r="IL5" s="895" t="n"/>
      <c r="IM5" s="895" t="n"/>
      <c r="IN5" s="895" t="n"/>
      <c r="IO5" s="895" t="n"/>
      <c r="IP5" s="895" t="n"/>
      <c r="IQ5" s="895" t="n"/>
      <c r="IR5" s="895" t="n"/>
      <c r="IS5" s="895" t="n"/>
      <c r="IT5" s="895" t="n"/>
      <c r="IU5" s="895" t="n"/>
      <c r="IV5" s="895" t="n"/>
      <c r="IW5" s="895" t="n"/>
      <c r="IX5" s="895" t="n"/>
    </row>
    <row r="6" ht="11.85" customHeight="1" s="2">
      <c r="A6" s="622" t="inlineStr">
        <is>
          <t>FERNANDES,  Delisha</t>
        </is>
      </c>
      <c r="B6" s="595" t="n"/>
      <c r="C6" s="1608" t="n">
        <v>29.45</v>
      </c>
      <c r="D6" s="854" t="n">
        <v>21.5</v>
      </c>
      <c r="E6" s="1609">
        <f>C6*D6</f>
        <v/>
      </c>
      <c r="F6" s="576" t="n">
        <v>0.5</v>
      </c>
      <c r="G6" s="1610">
        <f>F6*C6*1.25</f>
        <v/>
      </c>
      <c r="H6" s="854" t="n"/>
      <c r="I6" s="1609">
        <f>C6*1.5*H6</f>
        <v/>
      </c>
      <c r="J6" s="854" t="n"/>
      <c r="K6" s="1609">
        <f>C6*1.5*J6</f>
        <v/>
      </c>
      <c r="L6" s="854" t="n"/>
      <c r="M6" s="1609">
        <f>C6*1.75*L6</f>
        <v/>
      </c>
      <c r="N6" s="854" t="n"/>
      <c r="O6" s="1609">
        <f>C6*2*N6</f>
        <v/>
      </c>
      <c r="P6" s="116" t="n"/>
      <c r="Q6" s="1601">
        <f>C6*2.25*P6</f>
        <v/>
      </c>
      <c r="R6" s="854" t="n"/>
      <c r="S6" s="1400">
        <f>C6*R6</f>
        <v/>
      </c>
      <c r="T6" s="854" t="n">
        <v>16</v>
      </c>
      <c r="U6" s="1611">
        <f>C6*T6</f>
        <v/>
      </c>
      <c r="V6" s="1612" t="n">
        <v>6.9</v>
      </c>
      <c r="W6" s="1613" t="n">
        <v>15</v>
      </c>
      <c r="X6" s="1262" t="n">
        <v>6</v>
      </c>
      <c r="Y6" s="1606">
        <f>X6*2.95</f>
        <v/>
      </c>
      <c r="Z6" s="1262" t="n"/>
      <c r="AA6" s="1601">
        <f>Z6*4.42</f>
        <v/>
      </c>
      <c r="AB6" s="1614" t="n"/>
      <c r="AC6" s="628">
        <f>D6+F6+H6+J6+L6+N6+P6+R6+T6</f>
        <v/>
      </c>
      <c r="AD6" s="1615">
        <f>E6+G6+I6+K6+M6+O6+Q6+V6+W6+S6+U6+Y6+AA6+AB6</f>
        <v/>
      </c>
    </row>
    <row r="7" ht="13.35" customHeight="1" s="2">
      <c r="A7" s="885" t="inlineStr">
        <is>
          <t>GAUCHAN, Bibek</t>
        </is>
      </c>
      <c r="B7" s="851" t="n"/>
      <c r="C7" s="1600" t="n">
        <v>29.45</v>
      </c>
      <c r="D7" s="116" t="n"/>
      <c r="E7" s="1609">
        <f>C7*D7</f>
        <v/>
      </c>
      <c r="F7" s="576" t="n"/>
      <c r="G7" s="1610">
        <f>F7*C7*1.25</f>
        <v/>
      </c>
      <c r="H7" s="854" t="n"/>
      <c r="I7" s="1609">
        <f>C7*1.5*H7</f>
        <v/>
      </c>
      <c r="J7" s="854" t="n"/>
      <c r="K7" s="1609">
        <f>C7*1.5*J7</f>
        <v/>
      </c>
      <c r="L7" s="854" t="n"/>
      <c r="M7" s="1609">
        <f>C7*1.75*L7</f>
        <v/>
      </c>
      <c r="N7" s="854" t="n"/>
      <c r="O7" s="1609">
        <f>C7*2*N7</f>
        <v/>
      </c>
      <c r="P7" s="116" t="n"/>
      <c r="Q7" s="1601">
        <f>C7*2.25*P7</f>
        <v/>
      </c>
      <c r="R7" s="854" t="n"/>
      <c r="S7" s="1400">
        <f>C7*R7</f>
        <v/>
      </c>
      <c r="T7" s="854" t="n">
        <v>38</v>
      </c>
      <c r="U7" s="1325">
        <f>C7*T7</f>
        <v/>
      </c>
      <c r="V7" s="1612" t="n"/>
      <c r="W7" s="1613" t="n"/>
      <c r="X7" s="1262" t="n"/>
      <c r="Y7" s="1606">
        <f>X7*2.95</f>
        <v/>
      </c>
      <c r="Z7" s="1262" t="n"/>
      <c r="AA7" s="1601">
        <f>Z7*4.42</f>
        <v/>
      </c>
      <c r="AB7" s="1614" t="n"/>
      <c r="AC7" s="628">
        <f>D7+F7+H7+J7+L7+N7+P7+R7+T7</f>
        <v/>
      </c>
      <c r="AD7" s="1615">
        <f>E7+G7+I7+K7+M7+O7+Q7+V7+W7+S7+U7+Y7+AA7+AB7</f>
        <v/>
      </c>
    </row>
    <row r="8" ht="11.85" customHeight="1" s="2">
      <c r="A8" s="622" t="inlineStr">
        <is>
          <t>GAUCHAN, Roshani</t>
        </is>
      </c>
      <c r="B8" s="595" t="n"/>
      <c r="C8" s="1608" t="n">
        <v>29.45</v>
      </c>
      <c r="D8" s="854" t="n">
        <v>32</v>
      </c>
      <c r="E8" s="1609">
        <f>C8*D8</f>
        <v/>
      </c>
      <c r="F8" s="576" t="n">
        <v>6</v>
      </c>
      <c r="G8" s="1610">
        <f>F8*C8*1.25</f>
        <v/>
      </c>
      <c r="H8" s="854" t="n"/>
      <c r="I8" s="1609">
        <f>C8*1.5*H8</f>
        <v/>
      </c>
      <c r="J8" s="854" t="n">
        <v>0.25</v>
      </c>
      <c r="K8" s="1609">
        <f>C8*1.5*J8</f>
        <v/>
      </c>
      <c r="L8" s="854" t="n"/>
      <c r="M8" s="1609">
        <f>C8*1.75*L8</f>
        <v/>
      </c>
      <c r="N8" s="854" t="n"/>
      <c r="O8" s="1609">
        <f>C8*2*N8</f>
        <v/>
      </c>
      <c r="P8" s="116" t="n"/>
      <c r="Q8" s="1601">
        <f>C8*2.25*P8</f>
        <v/>
      </c>
      <c r="R8" s="854" t="n"/>
      <c r="S8" s="1400">
        <f>C8*R8</f>
        <v/>
      </c>
      <c r="T8" s="854" t="n"/>
      <c r="U8" s="1314">
        <f>C8*T8</f>
        <v/>
      </c>
      <c r="V8" s="1612" t="n">
        <v>6.9</v>
      </c>
      <c r="W8" s="1613" t="n"/>
      <c r="X8" s="1262" t="n"/>
      <c r="Y8" s="1606">
        <f>X8*2.95</f>
        <v/>
      </c>
      <c r="Z8" s="1262" t="n"/>
      <c r="AA8" s="1601">
        <f>Z8*4.42</f>
        <v/>
      </c>
      <c r="AB8" s="1614" t="n"/>
      <c r="AC8" s="628">
        <f>D8+F8+H8+J8+L8+N8+P8+R8+T8</f>
        <v/>
      </c>
      <c r="AD8" s="1615">
        <f>E8+G8+I8+K8+M8+O8+Q8+V8+W8+S8+U8+Y8+AA8+AB8</f>
        <v/>
      </c>
    </row>
    <row r="9" ht="13.35" customHeight="1" s="2">
      <c r="A9" s="885" t="inlineStr">
        <is>
          <t>KC Sulav</t>
        </is>
      </c>
      <c r="B9" s="851" t="n"/>
      <c r="C9" s="1600" t="n">
        <v>29.45</v>
      </c>
      <c r="D9" s="116" t="n"/>
      <c r="E9" s="1609">
        <f>C9*D9</f>
        <v/>
      </c>
      <c r="F9" s="576" t="n"/>
      <c r="G9" s="1610">
        <f>F9*C9*1.25</f>
        <v/>
      </c>
      <c r="H9" s="854" t="n"/>
      <c r="I9" s="1609">
        <f>C9*1.5*H9</f>
        <v/>
      </c>
      <c r="J9" s="854" t="n"/>
      <c r="K9" s="1609">
        <f>C9*1.5*J9</f>
        <v/>
      </c>
      <c r="L9" s="854" t="n"/>
      <c r="M9" s="1609">
        <f>C9*1.75*L9</f>
        <v/>
      </c>
      <c r="N9" s="854" t="n"/>
      <c r="O9" s="1609">
        <f>C9*2*N9</f>
        <v/>
      </c>
      <c r="P9" s="116" t="n"/>
      <c r="Q9" s="1601">
        <f>C9*2.25*P9</f>
        <v/>
      </c>
      <c r="R9" s="854" t="n"/>
      <c r="S9" s="1400">
        <f>C9*R9</f>
        <v/>
      </c>
      <c r="T9" s="854" t="n">
        <v>38</v>
      </c>
      <c r="U9" s="1325">
        <f>C9*T9</f>
        <v/>
      </c>
      <c r="V9" s="1612" t="n"/>
      <c r="W9" s="1613" t="n"/>
      <c r="X9" s="1262" t="n"/>
      <c r="Y9" s="1606">
        <f>X9*2.95</f>
        <v/>
      </c>
      <c r="Z9" s="1262" t="n"/>
      <c r="AA9" s="1601">
        <f>Z9*4.42</f>
        <v/>
      </c>
      <c r="AB9" s="1614" t="n"/>
      <c r="AC9" s="628">
        <f>D9+F9+H9+J9+L9+N9+P9+R9+T9</f>
        <v/>
      </c>
      <c r="AD9" s="1615">
        <f>E9+G9+I9+K9+M9+O9+Q9+V9+W9+S9+U9+Y9+AA9+AB9</f>
        <v/>
      </c>
    </row>
    <row r="10" ht="13.35" customHeight="1" s="2">
      <c r="A10" s="885" t="inlineStr">
        <is>
          <t>KHATRI, Sanjay</t>
        </is>
      </c>
      <c r="B10" s="851" t="n"/>
      <c r="C10" s="1600" t="n">
        <v>29.45</v>
      </c>
      <c r="D10" s="116" t="n">
        <v>23.5</v>
      </c>
      <c r="E10" s="1609">
        <f>C10*D10</f>
        <v/>
      </c>
      <c r="F10" s="576" t="n">
        <v>7</v>
      </c>
      <c r="G10" s="1610">
        <f>F10*C10*1.25</f>
        <v/>
      </c>
      <c r="H10" s="854" t="n">
        <v>6</v>
      </c>
      <c r="I10" s="1609">
        <f>C10*1.5*H10</f>
        <v/>
      </c>
      <c r="J10" s="854" t="n"/>
      <c r="K10" s="1609">
        <f>C10*1.5*J10</f>
        <v/>
      </c>
      <c r="L10" s="854" t="n"/>
      <c r="M10" s="1609">
        <f>C10*1.75*L10</f>
        <v/>
      </c>
      <c r="N10" s="854" t="n"/>
      <c r="O10" s="1609">
        <f>C10*2*N10</f>
        <v/>
      </c>
      <c r="P10" s="116" t="n"/>
      <c r="Q10" s="1601">
        <f>C10*2.25*P10</f>
        <v/>
      </c>
      <c r="R10" s="854" t="n">
        <v>1.5</v>
      </c>
      <c r="S10" s="1400">
        <f>C10*R10</f>
        <v/>
      </c>
      <c r="T10" s="854" t="n"/>
      <c r="U10" s="1325">
        <f>C10*T10</f>
        <v/>
      </c>
      <c r="V10" s="1612" t="n">
        <v>6.9</v>
      </c>
      <c r="W10" s="1613" t="n"/>
      <c r="X10" s="1262" t="n"/>
      <c r="Y10" s="1606">
        <f>X10*2.95</f>
        <v/>
      </c>
      <c r="Z10" s="1262" t="n"/>
      <c r="AA10" s="1601">
        <f>Z10*4.42</f>
        <v/>
      </c>
      <c r="AB10" s="1614" t="n"/>
      <c r="AC10" s="628">
        <f>D10+F10+H10+J10+L10+N10+P10+R10+T10</f>
        <v/>
      </c>
      <c r="AD10" s="1615">
        <f>E10+G10+I10+K10+M10+O10+Q10+V10+W10+S10+U10+Y10+AA10+AB10</f>
        <v/>
      </c>
    </row>
    <row r="11" ht="10.5" customHeight="1" s="2">
      <c r="A11" s="932" t="inlineStr">
        <is>
          <t>MAHMUD M M FERDOUS</t>
        </is>
      </c>
      <c r="B11" s="595" t="n"/>
      <c r="C11" s="1608" t="n">
        <v>29.45</v>
      </c>
      <c r="D11" s="854" t="n">
        <v>22</v>
      </c>
      <c r="E11" s="1609">
        <f>C11*D11</f>
        <v/>
      </c>
      <c r="F11" s="576" t="n">
        <v>7.5</v>
      </c>
      <c r="G11" s="1610">
        <f>F11*C11*1.25</f>
        <v/>
      </c>
      <c r="H11" s="854" t="n">
        <v>8</v>
      </c>
      <c r="I11" s="1609">
        <f>C11*1.5*H11</f>
        <v/>
      </c>
      <c r="J11" s="854" t="n"/>
      <c r="K11" s="1609">
        <f>C11*1.5*J11</f>
        <v/>
      </c>
      <c r="L11" s="854" t="n"/>
      <c r="M11" s="1609">
        <f>C11*1.75*L11</f>
        <v/>
      </c>
      <c r="N11" s="854" t="n"/>
      <c r="O11" s="1609">
        <f>C11*2*N11</f>
        <v/>
      </c>
      <c r="P11" s="116" t="n"/>
      <c r="Q11" s="1601">
        <f>C11*2.25*P11</f>
        <v/>
      </c>
      <c r="R11" s="854" t="n"/>
      <c r="S11" s="1400">
        <f>C11*R11</f>
        <v/>
      </c>
      <c r="T11" s="854" t="n">
        <v>0.5</v>
      </c>
      <c r="U11" s="1325">
        <f>C11*T11</f>
        <v/>
      </c>
      <c r="V11" s="1612" t="n">
        <v>6.9</v>
      </c>
      <c r="W11" s="1613" t="n"/>
      <c r="X11" s="1262" t="n"/>
      <c r="Y11" s="1606">
        <f>X11*2.95</f>
        <v/>
      </c>
      <c r="Z11" s="1262" t="n"/>
      <c r="AA11" s="1601">
        <f>Z11*4.42</f>
        <v/>
      </c>
      <c r="AB11" s="1614" t="n"/>
      <c r="AC11" s="628">
        <f>D11+F11+H11+J11+L11+N11+P11+R11+T11</f>
        <v/>
      </c>
      <c r="AD11" s="1615">
        <f>E11+G11+I11+K11+M11+O11+Q11+V11+W11+S11+U11+Y11+AA11+AB11</f>
        <v/>
      </c>
    </row>
    <row r="12" ht="13.35" customHeight="1" s="2">
      <c r="A12" s="885" t="inlineStr">
        <is>
          <t>SAIYED WASIM</t>
        </is>
      </c>
      <c r="B12" s="851" t="n"/>
      <c r="C12" s="1600" t="n">
        <v>29.45</v>
      </c>
      <c r="D12" s="116" t="n">
        <v>16</v>
      </c>
      <c r="E12" s="1609">
        <f>C12*D12</f>
        <v/>
      </c>
      <c r="F12" s="576" t="n">
        <v>7.5</v>
      </c>
      <c r="G12" s="1610">
        <f>F12*C12*1.25</f>
        <v/>
      </c>
      <c r="H12" s="854" t="n">
        <v>6.75</v>
      </c>
      <c r="I12" s="1609">
        <f>C12*1.5*H12</f>
        <v/>
      </c>
      <c r="J12" s="854" t="n"/>
      <c r="K12" s="1609">
        <f>C12*1.5*J12</f>
        <v/>
      </c>
      <c r="L12" s="854" t="n"/>
      <c r="M12" s="1609">
        <f>C12*1.75*L12</f>
        <v/>
      </c>
      <c r="N12" s="854" t="n"/>
      <c r="O12" s="1609">
        <f>C12*2*N12</f>
        <v/>
      </c>
      <c r="P12" s="116" t="n"/>
      <c r="Q12" s="1601">
        <f>C12*2.25*P12</f>
        <v/>
      </c>
      <c r="R12" s="854" t="n"/>
      <c r="S12" s="1400">
        <f>C12*R12</f>
        <v/>
      </c>
      <c r="T12" s="854" t="n">
        <v>7.75</v>
      </c>
      <c r="U12" s="1325">
        <f>C12*T12</f>
        <v/>
      </c>
      <c r="V12" s="1612" t="n">
        <v>6.9</v>
      </c>
      <c r="W12" s="1613" t="n"/>
      <c r="X12" s="1262" t="n">
        <v>4</v>
      </c>
      <c r="Y12" s="1606">
        <f>X12*2.95</f>
        <v/>
      </c>
      <c r="Z12" s="1262" t="n">
        <v>1</v>
      </c>
      <c r="AA12" s="1601">
        <f>Z12*4.42</f>
        <v/>
      </c>
      <c r="AB12" s="1614" t="n"/>
      <c r="AC12" s="628">
        <f>D12+F12+H12+J12+L12+N12+P12+R12+T12</f>
        <v/>
      </c>
      <c r="AD12" s="1615">
        <f>E12+G12+I12+K12+M12+O12+Q12+V12+W12+S12+U12+Y12+AA12+AB12</f>
        <v/>
      </c>
    </row>
    <row r="13" ht="13.35" customHeight="1" s="2">
      <c r="A13" s="885" t="inlineStr">
        <is>
          <t>SHRESTHA, Nikita</t>
        </is>
      </c>
      <c r="B13" s="851" t="n"/>
      <c r="C13" s="1600" t="n">
        <v>29.45</v>
      </c>
      <c r="D13" s="116" t="n">
        <v>24</v>
      </c>
      <c r="E13" s="1609">
        <f>C13*D13</f>
        <v/>
      </c>
      <c r="F13" s="576" t="n">
        <v>8</v>
      </c>
      <c r="G13" s="1610">
        <f>F13*C13*1.25</f>
        <v/>
      </c>
      <c r="H13" s="854" t="n">
        <v>6</v>
      </c>
      <c r="I13" s="1609">
        <f>C13*1.5*H13</f>
        <v/>
      </c>
      <c r="J13" s="854" t="n"/>
      <c r="K13" s="1609">
        <f>C13*1.5*J13</f>
        <v/>
      </c>
      <c r="L13" s="854" t="n"/>
      <c r="M13" s="1609">
        <f>C13*1.75*L13</f>
        <v/>
      </c>
      <c r="N13" s="854" t="n">
        <v>1</v>
      </c>
      <c r="O13" s="1609">
        <f>C13*2*N13</f>
        <v/>
      </c>
      <c r="P13" s="116" t="n"/>
      <c r="Q13" s="1601">
        <f>C13*2.25*P13</f>
        <v/>
      </c>
      <c r="R13" s="854" t="n"/>
      <c r="S13" s="1400">
        <f>C13*R13</f>
        <v/>
      </c>
      <c r="T13" s="854" t="n"/>
      <c r="U13" s="1325">
        <f>C13*T13</f>
        <v/>
      </c>
      <c r="V13" s="1612" t="n">
        <v>6.9</v>
      </c>
      <c r="W13" s="1613" t="n">
        <v>45</v>
      </c>
      <c r="X13" s="1262" t="n">
        <v>4</v>
      </c>
      <c r="Y13" s="1606">
        <f>X13*2.95</f>
        <v/>
      </c>
      <c r="Z13" s="1262" t="n">
        <v>1</v>
      </c>
      <c r="AA13" s="1601">
        <f>Z13*4.42</f>
        <v/>
      </c>
      <c r="AB13" s="1614" t="n"/>
      <c r="AC13" s="628">
        <f>D13+F13+H13+J13+L13+N13+P13+R13+T13</f>
        <v/>
      </c>
      <c r="AD13" s="1615">
        <f>E13+G13+I13+K13+M13+O13+Q13+V13+W13+S13+U13+Y13+AA13+AB13</f>
        <v/>
      </c>
    </row>
    <row r="14" ht="13.35" customHeight="1" s="2" thickBot="1">
      <c r="A14" s="885" t="inlineStr">
        <is>
          <t>SHRESTHA, Rojan</t>
        </is>
      </c>
      <c r="B14" s="851" t="n"/>
      <c r="C14" s="1600" t="n">
        <v>29.45</v>
      </c>
      <c r="D14" s="116" t="n">
        <v>22</v>
      </c>
      <c r="E14" s="1609">
        <f>C14*D14</f>
        <v/>
      </c>
      <c r="F14" s="576" t="n">
        <v>6.5</v>
      </c>
      <c r="G14" s="1610">
        <f>F14*C14*1.25</f>
        <v/>
      </c>
      <c r="H14" s="854" t="n">
        <v>9.5</v>
      </c>
      <c r="I14" s="1609">
        <f>C14*1.5*H14</f>
        <v/>
      </c>
      <c r="J14" s="854" t="n">
        <v>2</v>
      </c>
      <c r="K14" s="1609">
        <f>C14*1.5*J14</f>
        <v/>
      </c>
      <c r="L14" s="854" t="n"/>
      <c r="M14" s="1609">
        <f>C14*1.75*L14</f>
        <v/>
      </c>
      <c r="N14" s="854" t="n">
        <v>2</v>
      </c>
      <c r="O14" s="1609">
        <f>C14*2*N14</f>
        <v/>
      </c>
      <c r="P14" s="116" t="n"/>
      <c r="Q14" s="1601">
        <f>C14*2.25*P14</f>
        <v/>
      </c>
      <c r="R14" s="854" t="n"/>
      <c r="S14" s="1400">
        <f>C14*R14</f>
        <v/>
      </c>
      <c r="T14" s="854" t="n"/>
      <c r="U14" s="1325">
        <f>C14*T14</f>
        <v/>
      </c>
      <c r="V14" s="1612" t="n">
        <v>6.9</v>
      </c>
      <c r="W14" s="1613" t="n"/>
      <c r="X14" s="1262" t="n">
        <v>1</v>
      </c>
      <c r="Y14" s="1606">
        <f>X14*2.95</f>
        <v/>
      </c>
      <c r="Z14" s="1262" t="n"/>
      <c r="AA14" s="1601">
        <f>Z14*4.42</f>
        <v/>
      </c>
      <c r="AB14" s="1614" t="n"/>
      <c r="AC14" s="628">
        <f>D14+F14+H14+J14+L14+N14+P14+R14+T14</f>
        <v/>
      </c>
      <c r="AD14" s="1615">
        <f>E14+G14+I14+K14+M14+O14+Q14+V14+W14+S14+U14+Y14+AA14+AB14</f>
        <v/>
      </c>
    </row>
    <row r="15" ht="11.85" customHeight="1" s="2" thickBot="1">
      <c r="A15" s="624" t="n"/>
      <c r="B15" s="625" t="n"/>
      <c r="C15" s="1616" t="n"/>
      <c r="D15" s="632">
        <f>SUM(D5:D14)</f>
        <v/>
      </c>
      <c r="E15" s="633">
        <f>SUM(E5:E14)</f>
        <v/>
      </c>
      <c r="F15" s="633">
        <f>SUM(F5:F14)</f>
        <v/>
      </c>
      <c r="G15" s="633">
        <f>SUM(G5:G14)</f>
        <v/>
      </c>
      <c r="H15" s="633">
        <f>SUM(H5:H14)</f>
        <v/>
      </c>
      <c r="I15" s="633">
        <f>SUM(I5:I14)</f>
        <v/>
      </c>
      <c r="J15" s="633">
        <f>SUM(J5:J14)</f>
        <v/>
      </c>
      <c r="K15" s="633">
        <f>SUM(K5:K14)</f>
        <v/>
      </c>
      <c r="L15" s="633">
        <f>SUM(L5:L14)</f>
        <v/>
      </c>
      <c r="M15" s="633">
        <f>SUM(M5:M14)</f>
        <v/>
      </c>
      <c r="N15" s="633">
        <f>SUM(N5:N14)</f>
        <v/>
      </c>
      <c r="O15" s="633">
        <f>SUM(O5:O14)</f>
        <v/>
      </c>
      <c r="P15" s="633">
        <f>SUM(P5:P14)</f>
        <v/>
      </c>
      <c r="Q15" s="633">
        <f>SUM(Q5:Q14)</f>
        <v/>
      </c>
      <c r="R15" s="633">
        <f>SUM(R5:R14)</f>
        <v/>
      </c>
      <c r="S15" s="633">
        <f>SUM(S5:S14)</f>
        <v/>
      </c>
      <c r="T15" s="633">
        <f>SUM(T5:T14)</f>
        <v/>
      </c>
      <c r="U15" s="634">
        <f>SUM(U5:U14)</f>
        <v/>
      </c>
      <c r="V15" s="632">
        <f>SUM(V5:V14)</f>
        <v/>
      </c>
      <c r="W15" s="633">
        <f>SUM(W5:W14)</f>
        <v/>
      </c>
      <c r="X15" s="1315">
        <f>SUM(X5:X14)</f>
        <v/>
      </c>
      <c r="Y15" s="633">
        <f>SUM(Y5:Y14)</f>
        <v/>
      </c>
      <c r="Z15" s="633">
        <f>SUM(Z5:Z14)</f>
        <v/>
      </c>
      <c r="AA15" s="633">
        <f>SUM(AA5:AA14)</f>
        <v/>
      </c>
      <c r="AB15" s="634">
        <f>SUM(AB5:AB14)</f>
        <v/>
      </c>
      <c r="AC15" s="635">
        <f>SUM(AC5:AC14)</f>
        <v/>
      </c>
      <c r="AD15" s="1617">
        <f>E15+I15+K15+M15+O15+Q15+V15+W15+S15+U15+Y15+AA15+AB15+G15</f>
        <v/>
      </c>
    </row>
    <row r="16" ht="12.2" customHeight="1" s="2">
      <c r="A16" s="606" t="n"/>
      <c r="B16" s="606" t="n"/>
      <c r="C16" s="607" t="n"/>
      <c r="D16" s="608" t="n"/>
      <c r="E16" s="1618" t="n"/>
      <c r="F16" s="1618" t="n"/>
      <c r="G16" s="1618" t="n"/>
      <c r="H16" s="606" t="n"/>
      <c r="I16" s="606" t="n"/>
      <c r="J16" s="606" t="n"/>
      <c r="K16" s="606" t="n"/>
      <c r="L16" s="608" t="n"/>
      <c r="M16" s="606" t="n"/>
      <c r="N16" s="606" t="n"/>
      <c r="O16" s="606" t="n"/>
      <c r="P16" s="606" t="n"/>
      <c r="Q16" s="606" t="n"/>
      <c r="R16" s="606" t="n"/>
      <c r="S16" s="606" t="n"/>
      <c r="T16" s="606" t="n"/>
      <c r="U16" s="606" t="n"/>
      <c r="V16" s="606" t="n"/>
      <c r="W16" s="606" t="n"/>
      <c r="X16" s="1619" t="n"/>
      <c r="Y16" s="606" t="n"/>
      <c r="Z16" s="606" t="n"/>
      <c r="AA16" s="606" t="n"/>
      <c r="AB16" s="1208" t="inlineStr">
        <is>
          <t xml:space="preserve">Check - </t>
        </is>
      </c>
      <c r="AC16" s="611">
        <f>D15+H15+J15+L15+N15+P15+R15+T15+F15</f>
        <v/>
      </c>
      <c r="AD16" s="612">
        <f>AB15+Y15+AA15+W15+V15+U15+S15+Q15+O15+M15+K15+I15+E15</f>
        <v/>
      </c>
    </row>
    <row r="17" ht="1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1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1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1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1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1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5" customHeight="1" s="2">
      <c r="A35" s="1" t="n"/>
      <c r="B35" s="1" t="n"/>
      <c r="C35" s="4" t="inlineStr">
        <is>
          <t>`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</sheetData>
  <mergeCells count="2">
    <mergeCell ref="A2:C2"/>
    <mergeCell ref="V2:W2"/>
  </mergeCells>
  <conditionalFormatting sqref="Y2 AA2:AB2">
    <cfRule type="cellIs" priority="1" operator="lessThan" dxfId="0" stopIfTrue="1">
      <formula>0</formula>
    </cfRule>
  </conditionalFormatting>
  <pageMargins left="0" right="0" top="0.472441" bottom="0.393701" header="0.511811" footer="0.511811"/>
  <pageSetup orientation="landscape" scale="59"/>
  <headerFooter>
    <oddHeader/>
    <oddFooter>&amp;C&amp;"Helvetica,Regular"&amp;12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3715"/>
  <sheetViews>
    <sheetView showGridLines="0" topLeftCell="A3401" zoomScale="85" zoomScaleNormal="85" workbookViewId="0">
      <selection activeCell="G3433" sqref="G3433"/>
    </sheetView>
  </sheetViews>
  <sheetFormatPr baseColWidth="8" defaultColWidth="11.42578125" defaultRowHeight="15.75" customHeight="1"/>
  <cols>
    <col width="46.140625" customWidth="1" style="454" min="1" max="1"/>
    <col width="17.85546875" customWidth="1" style="454" min="2" max="2"/>
    <col width="17.140625" customWidth="1" style="454" min="3" max="3"/>
    <col width="18.7109375" customWidth="1" style="454" min="4" max="4"/>
    <col width="18.28515625" customWidth="1" style="454" min="5" max="5"/>
    <col width="19.7109375" customWidth="1" style="454" min="6" max="6"/>
    <col width="21.140625" customWidth="1" style="454" min="7" max="7"/>
    <col width="18.28515625" customWidth="1" style="454" min="8" max="8"/>
    <col width="18.85546875" customWidth="1" style="454" min="9" max="9"/>
    <col width="17.7109375" customWidth="1" style="454" min="10" max="10"/>
    <col width="18.28515625" customWidth="1" style="454" min="11" max="12"/>
    <col width="17.7109375" customWidth="1" style="454" min="13" max="13"/>
    <col width="18.28515625" customWidth="1" style="454" min="14" max="15"/>
    <col width="17.7109375" customWidth="1" style="454" min="16" max="16"/>
    <col width="11.42578125" customWidth="1" style="454" min="17" max="256"/>
    <col width="11.42578125" customWidth="1" style="454" min="257" max="16384"/>
  </cols>
  <sheetData>
    <row r="1" ht="15" customHeight="1" s="2">
      <c r="A1" s="166" t="n"/>
      <c r="B1" s="166" t="n"/>
      <c r="C1" s="166" t="n"/>
      <c r="D1" s="166" t="n"/>
      <c r="E1" s="166" t="n"/>
      <c r="F1" s="166" t="n"/>
      <c r="G1" s="166" t="n"/>
      <c r="H1" s="166" t="n"/>
      <c r="I1" s="166" t="n"/>
      <c r="J1" s="166" t="n"/>
      <c r="K1" s="166" t="n"/>
      <c r="L1" s="166" t="n"/>
    </row>
    <row r="2" ht="15" customHeight="1" s="2">
      <c r="A2" s="166" t="n"/>
      <c r="B2" s="166" t="n"/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</row>
    <row r="3" ht="15" customHeight="1" s="2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</row>
    <row r="4" ht="15" customHeight="1" s="2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</row>
    <row r="5" ht="15" customHeight="1" s="2">
      <c r="A5" s="166" t="n"/>
      <c r="B5" s="166" t="n"/>
      <c r="C5" s="168" t="n"/>
      <c r="D5" s="166" t="n"/>
      <c r="E5" s="166" t="n"/>
      <c r="F5" s="166" t="n"/>
      <c r="G5" s="166" t="n"/>
      <c r="H5" s="166" t="n"/>
      <c r="I5" s="166" t="n"/>
      <c r="J5" s="166" t="n"/>
      <c r="K5" s="166" t="n"/>
      <c r="L5" s="166" t="n"/>
    </row>
    <row r="6" ht="43.5" customHeight="1" s="2">
      <c r="A6" s="166" t="n"/>
      <c r="B6" s="169" t="n"/>
      <c r="C6" s="170" t="n">
        <v>42736</v>
      </c>
      <c r="D6" s="171" t="n"/>
      <c r="E6" s="166" t="n"/>
      <c r="F6" s="166" t="n"/>
      <c r="G6" s="166" t="n"/>
      <c r="H6" s="166" t="n"/>
      <c r="I6" s="166" t="n"/>
      <c r="J6" s="166" t="n"/>
      <c r="K6" s="166" t="n"/>
      <c r="L6" s="166" t="n"/>
    </row>
    <row r="7" ht="15" customHeight="1" s="2">
      <c r="A7" s="166" t="n"/>
      <c r="B7" s="166" t="n"/>
      <c r="C7" s="172" t="n"/>
      <c r="D7" s="166" t="n"/>
      <c r="E7" s="166" t="n"/>
      <c r="F7" s="166" t="n"/>
      <c r="G7" s="166" t="n"/>
      <c r="H7" s="166" t="n"/>
      <c r="I7" s="166" t="n"/>
      <c r="J7" s="166" t="n"/>
      <c r="K7" s="166" t="n"/>
      <c r="L7" s="166" t="n"/>
    </row>
    <row r="8" ht="15" customHeight="1" s="2">
      <c r="A8" s="166" t="n"/>
      <c r="B8" s="166" t="n"/>
      <c r="C8" s="166" t="n"/>
      <c r="D8" s="166" t="n"/>
      <c r="E8" s="166" t="n"/>
      <c r="F8" s="166" t="n"/>
      <c r="G8" s="166" t="n"/>
      <c r="H8" s="166" t="n"/>
      <c r="I8" s="166" t="n"/>
      <c r="J8" s="166" t="n"/>
      <c r="K8" s="166" t="n"/>
      <c r="L8" s="166" t="n"/>
    </row>
    <row r="9" ht="15" customHeight="1" s="2">
      <c r="A9" s="166" t="n"/>
      <c r="B9" s="166" t="n"/>
      <c r="C9" s="166" t="n"/>
      <c r="D9" s="166" t="n"/>
      <c r="E9" s="166" t="n"/>
      <c r="F9" s="166" t="n"/>
      <c r="G9" s="166" t="n"/>
      <c r="H9" s="166" t="n"/>
      <c r="I9" s="166" t="n"/>
      <c r="J9" s="166" t="n"/>
      <c r="K9" s="166" t="n"/>
      <c r="L9" s="166" t="n"/>
    </row>
    <row r="10" ht="18" customHeight="1" s="2" thickBot="1">
      <c r="A10" s="173" t="n"/>
      <c r="B10" s="174" t="n">
        <v>42373</v>
      </c>
      <c r="C10" s="174" t="n">
        <v>42737</v>
      </c>
      <c r="D10" s="173" t="n"/>
      <c r="E10" s="175" t="n">
        <v>42380</v>
      </c>
      <c r="F10" s="174" t="n">
        <v>42744</v>
      </c>
      <c r="G10" s="173" t="n"/>
      <c r="H10" s="174" t="n">
        <v>42387</v>
      </c>
      <c r="I10" s="174" t="n">
        <v>42751</v>
      </c>
      <c r="J10" s="173" t="n"/>
      <c r="K10" s="166" t="n"/>
      <c r="L10" s="166" t="n"/>
    </row>
    <row r="11" ht="17.85" customHeight="1" s="2" thickBot="1">
      <c r="A11" s="176" t="n"/>
      <c r="B11" s="177" t="inlineStr">
        <is>
          <t>Last Year</t>
        </is>
      </c>
      <c r="C11" s="178" t="inlineStr">
        <is>
          <t>Projected</t>
        </is>
      </c>
      <c r="D11" s="179" t="inlineStr">
        <is>
          <t>Actual</t>
        </is>
      </c>
      <c r="E11" s="177" t="inlineStr">
        <is>
          <t>Last Year</t>
        </is>
      </c>
      <c r="F11" s="178" t="inlineStr">
        <is>
          <t>Projected</t>
        </is>
      </c>
      <c r="G11" s="179" t="inlineStr">
        <is>
          <t>Actual</t>
        </is>
      </c>
      <c r="H11" s="177" t="inlineStr">
        <is>
          <t>Last Year</t>
        </is>
      </c>
      <c r="I11" s="178" t="inlineStr">
        <is>
          <t>Projected</t>
        </is>
      </c>
      <c r="J11" s="179" t="inlineStr">
        <is>
          <t>Actual</t>
        </is>
      </c>
      <c r="K11" s="180" t="n"/>
      <c r="L11" s="166" t="n"/>
    </row>
    <row r="12" ht="18" customHeight="1" s="2">
      <c r="A12" s="181" t="inlineStr">
        <is>
          <t>GROSS TOTAL</t>
        </is>
      </c>
      <c r="B12" s="182" t="n">
        <v>286926.8</v>
      </c>
      <c r="C12" s="183" t="n">
        <v>302722</v>
      </c>
      <c r="D12" s="184" t="n">
        <v>299560</v>
      </c>
      <c r="E12" s="182" t="n">
        <v>197704.39</v>
      </c>
      <c r="F12" s="183" t="n">
        <v>194160</v>
      </c>
      <c r="G12" s="184" t="n">
        <v>210706.33</v>
      </c>
      <c r="H12" s="182" t="n">
        <v>168782.39</v>
      </c>
      <c r="I12" s="183" t="n">
        <v>170258</v>
      </c>
      <c r="J12" s="185" t="n">
        <v>168047.44</v>
      </c>
      <c r="K12" s="186" t="n"/>
      <c r="L12" s="166" t="n"/>
    </row>
    <row r="13" ht="17.45" customHeight="1" s="2">
      <c r="A13" s="187" t="inlineStr">
        <is>
          <t>NETT  TOTAL</t>
        </is>
      </c>
      <c r="B13" s="8">
        <f>B12/1.1</f>
        <v/>
      </c>
      <c r="C13" s="9">
        <f>C12/1.1</f>
        <v/>
      </c>
      <c r="D13" s="10">
        <f>D12/1.1</f>
        <v/>
      </c>
      <c r="E13" s="8">
        <f>E12/1.1</f>
        <v/>
      </c>
      <c r="F13" s="9">
        <f>F12/1.1</f>
        <v/>
      </c>
      <c r="G13" s="10">
        <f>G12/1.1</f>
        <v/>
      </c>
      <c r="H13" s="8">
        <f>H12/1.1</f>
        <v/>
      </c>
      <c r="I13" s="9">
        <f>I12/1.1</f>
        <v/>
      </c>
      <c r="J13" s="22">
        <f>J12/1.1</f>
        <v/>
      </c>
      <c r="K13" s="186" t="n"/>
      <c r="L13" s="166" t="n"/>
    </row>
    <row r="14" ht="17.45" customHeight="1" s="2">
      <c r="A14" s="188" t="inlineStr">
        <is>
          <t>Customers</t>
        </is>
      </c>
      <c r="B14" s="12" t="n">
        <v>13426</v>
      </c>
      <c r="C14" s="189" t="n">
        <v>12990</v>
      </c>
      <c r="D14" s="10" t="n">
        <v>13376</v>
      </c>
      <c r="E14" s="12" t="n">
        <v>9668</v>
      </c>
      <c r="F14" s="189" t="n">
        <v>9525</v>
      </c>
      <c r="G14" s="22" t="n">
        <v>10184</v>
      </c>
      <c r="H14" s="190" t="n">
        <v>8274</v>
      </c>
      <c r="I14" s="189" t="n">
        <v>8300</v>
      </c>
      <c r="J14" s="11" t="n">
        <v>8007</v>
      </c>
      <c r="K14" s="171" t="n"/>
      <c r="L14" s="166" t="n"/>
    </row>
    <row r="15" ht="17.45" customHeight="1" s="2">
      <c r="A15" s="188" t="inlineStr">
        <is>
          <t>Average Customer Spend</t>
        </is>
      </c>
      <c r="B15" s="8">
        <f>B12/B14</f>
        <v/>
      </c>
      <c r="C15" s="9">
        <f>C12/C14</f>
        <v/>
      </c>
      <c r="D15" s="10">
        <f>D12/D14</f>
        <v/>
      </c>
      <c r="E15" s="8">
        <f>E12/E14</f>
        <v/>
      </c>
      <c r="F15" s="9">
        <f>F12/F14</f>
        <v/>
      </c>
      <c r="G15" s="10">
        <f>G12/G14</f>
        <v/>
      </c>
      <c r="H15" s="8">
        <f>H12/H14</f>
        <v/>
      </c>
      <c r="I15" s="9">
        <f>I12/I14</f>
        <v/>
      </c>
      <c r="J15" s="11">
        <f>J12/J14</f>
        <v/>
      </c>
      <c r="K15" s="171" t="n"/>
      <c r="L15" s="166" t="n"/>
    </row>
    <row r="16" ht="17.45" customHeight="1" s="2">
      <c r="A16" s="191" t="inlineStr">
        <is>
          <t>Wage % to Gross total</t>
        </is>
      </c>
      <c r="B16" s="192">
        <f>(B19*B20)/B12</f>
        <v/>
      </c>
      <c r="C16" s="9">
        <f>(C19*C20)/C12</f>
        <v/>
      </c>
      <c r="D16" s="10">
        <f>(D19*D20)/D12</f>
        <v/>
      </c>
      <c r="E16" s="8">
        <f>(E19*E20)/E12</f>
        <v/>
      </c>
      <c r="F16" s="9">
        <f>(F19*F20)/F12</f>
        <v/>
      </c>
      <c r="G16" s="22">
        <f>(G19*G20)/G12</f>
        <v/>
      </c>
      <c r="H16" s="192">
        <f>(H19*H20)/H12</f>
        <v/>
      </c>
      <c r="I16" s="9">
        <f>(I19*I20)/I12</f>
        <v/>
      </c>
      <c r="J16" s="11">
        <f>(J19*J20)/J12</f>
        <v/>
      </c>
      <c r="K16" s="171" t="n"/>
      <c r="L16" s="166" t="n"/>
    </row>
    <row r="17" ht="17.45" customHeight="1" s="2">
      <c r="A17" s="191" t="inlineStr">
        <is>
          <t>Wage % to Nett Total</t>
        </is>
      </c>
      <c r="B17" s="192">
        <f>(B19*B20)/B13</f>
        <v/>
      </c>
      <c r="C17" s="9">
        <f>(C19*C20)/C13</f>
        <v/>
      </c>
      <c r="D17" s="10">
        <f>(D19*D20)/D13</f>
        <v/>
      </c>
      <c r="E17" s="8">
        <f>(E19*E20)/E13</f>
        <v/>
      </c>
      <c r="F17" s="9">
        <f>(F19*F20)/F13</f>
        <v/>
      </c>
      <c r="G17" s="22">
        <f>(G19*G20)/G13</f>
        <v/>
      </c>
      <c r="H17" s="192">
        <f>(H19*H20)/H13</f>
        <v/>
      </c>
      <c r="I17" s="9">
        <f>(I19*I20)/I13</f>
        <v/>
      </c>
      <c r="J17" s="11">
        <f>(J19*J20)/J13</f>
        <v/>
      </c>
      <c r="K17" s="171" t="n"/>
      <c r="L17" s="166" t="n"/>
    </row>
    <row r="18" ht="17.45" customHeight="1" s="2">
      <c r="A18" s="188" t="inlineStr">
        <is>
          <t>Productivity</t>
        </is>
      </c>
      <c r="B18" s="8">
        <f>B14/B20</f>
        <v/>
      </c>
      <c r="C18" s="9">
        <f>C14/C20</f>
        <v/>
      </c>
      <c r="D18" s="10">
        <f>D14/D20</f>
        <v/>
      </c>
      <c r="E18" s="8">
        <f>E14/E20</f>
        <v/>
      </c>
      <c r="F18" s="9">
        <f>F14/F20</f>
        <v/>
      </c>
      <c r="G18" s="10">
        <f>G14/G20</f>
        <v/>
      </c>
      <c r="H18" s="8">
        <f>H14/H20</f>
        <v/>
      </c>
      <c r="I18" s="9">
        <f>I14/I20</f>
        <v/>
      </c>
      <c r="J18" s="11">
        <f>J14/J20</f>
        <v/>
      </c>
      <c r="K18" s="171" t="n"/>
      <c r="L18" s="166" t="n"/>
    </row>
    <row r="19" ht="17.45" customHeight="1" s="2">
      <c r="A19" s="188" t="inlineStr">
        <is>
          <t>Average Hourly Rate</t>
        </is>
      </c>
      <c r="B19" s="12" t="n">
        <v>34.75</v>
      </c>
      <c r="C19" s="189" t="n">
        <v>41</v>
      </c>
      <c r="D19" s="10" t="n">
        <v>41.02</v>
      </c>
      <c r="E19" s="12" t="n">
        <v>30.3</v>
      </c>
      <c r="F19" s="189" t="n">
        <v>30</v>
      </c>
      <c r="G19" s="10" t="n">
        <v>30.7</v>
      </c>
      <c r="H19" s="12" t="n">
        <v>30.22</v>
      </c>
      <c r="I19" s="189" t="n">
        <v>30</v>
      </c>
      <c r="J19" s="11" t="n">
        <v>30.57</v>
      </c>
      <c r="K19" s="171" t="n"/>
      <c r="L19" s="166" t="n"/>
    </row>
    <row r="20" ht="17.45" customHeight="1" s="2">
      <c r="A20" s="188" t="inlineStr">
        <is>
          <t>Total hours for productivity</t>
        </is>
      </c>
      <c r="B20" s="12" t="n">
        <v>2287.75</v>
      </c>
      <c r="C20" s="189" t="n">
        <v>2223.5</v>
      </c>
      <c r="D20" s="10" t="n">
        <v>2301.5</v>
      </c>
      <c r="E20" s="12" t="n">
        <v>1944.25</v>
      </c>
      <c r="F20" s="189" t="n">
        <v>1729.5</v>
      </c>
      <c r="G20" s="10" t="n">
        <v>1804.25</v>
      </c>
      <c r="H20" s="12" t="n">
        <v>1759</v>
      </c>
      <c r="I20" s="189" t="n">
        <v>1567</v>
      </c>
      <c r="J20" s="11" t="n">
        <v>1685.25</v>
      </c>
      <c r="K20" s="171" t="n"/>
      <c r="L20" s="166" t="n"/>
    </row>
    <row r="21" ht="17.45" customHeight="1" s="2">
      <c r="A21" s="188" t="inlineStr">
        <is>
          <t>Training Hours used</t>
        </is>
      </c>
      <c r="B21" s="12" t="n">
        <v>0</v>
      </c>
      <c r="C21" s="189" t="n">
        <v>0</v>
      </c>
      <c r="D21" s="10" t="n">
        <v>0</v>
      </c>
      <c r="E21" s="12" t="n">
        <v>39</v>
      </c>
      <c r="F21" s="189" t="n">
        <v>50</v>
      </c>
      <c r="G21" s="10" t="n">
        <v>35</v>
      </c>
      <c r="H21" s="12" t="n">
        <v>0</v>
      </c>
      <c r="I21" s="189" t="n">
        <v>65.5</v>
      </c>
      <c r="J21" s="22" t="n">
        <v>95.5</v>
      </c>
      <c r="K21" s="186" t="n"/>
      <c r="L21" s="166" t="n"/>
    </row>
    <row r="22" ht="18" customHeight="1" s="2" thickBot="1">
      <c r="A22" s="193" t="inlineStr">
        <is>
          <t>Number of hours used to cover sick leave</t>
        </is>
      </c>
      <c r="B22" s="13" t="n">
        <v>97.5</v>
      </c>
      <c r="C22" s="14" t="n">
        <v>0</v>
      </c>
      <c r="D22" s="15" t="n">
        <v>8</v>
      </c>
      <c r="E22" s="13" t="n">
        <v>81</v>
      </c>
      <c r="F22" s="194" t="n">
        <v>0</v>
      </c>
      <c r="G22" s="15" t="n">
        <v>36.5</v>
      </c>
      <c r="H22" s="13" t="n">
        <v>26.5</v>
      </c>
      <c r="I22" s="194" t="n">
        <v>0</v>
      </c>
      <c r="J22" s="29" t="n"/>
      <c r="K22" s="186" t="n"/>
      <c r="L22" s="166" t="n"/>
    </row>
    <row r="23" ht="15.6" customHeight="1" s="2">
      <c r="A23" s="195" t="inlineStr">
        <is>
          <t>Minimum HOURS</t>
        </is>
      </c>
      <c r="B23" s="196" t="inlineStr">
        <is>
          <t xml:space="preserve">Kitchen </t>
        </is>
      </c>
      <c r="C23" s="16" t="n">
        <v>656</v>
      </c>
      <c r="D23" s="17" t="n"/>
      <c r="E23" s="196" t="inlineStr">
        <is>
          <t xml:space="preserve">Kitchen </t>
        </is>
      </c>
      <c r="F23" s="16" t="n">
        <v>583</v>
      </c>
      <c r="G23" s="17" t="n"/>
      <c r="H23" s="196" t="inlineStr">
        <is>
          <t xml:space="preserve">Kitchen </t>
        </is>
      </c>
      <c r="I23" s="16" t="n">
        <v>548</v>
      </c>
      <c r="J23" s="17" t="n"/>
      <c r="K23" s="180" t="n"/>
      <c r="L23" s="166" t="n"/>
    </row>
    <row r="24" ht="15.6" customHeight="1" s="2" thickBot="1">
      <c r="A24" s="197" t="n"/>
      <c r="B24" s="198" t="inlineStr">
        <is>
          <t xml:space="preserve">Floor </t>
        </is>
      </c>
      <c r="C24" s="18" t="n">
        <v>1065</v>
      </c>
      <c r="D24" s="26" t="n"/>
      <c r="E24" s="198" t="inlineStr">
        <is>
          <t xml:space="preserve">Floor </t>
        </is>
      </c>
      <c r="F24" s="18" t="n">
        <v>1001</v>
      </c>
      <c r="G24" s="26" t="n"/>
      <c r="H24" s="198" t="inlineStr">
        <is>
          <t xml:space="preserve">Floor </t>
        </is>
      </c>
      <c r="I24" s="18" t="n">
        <v>926</v>
      </c>
      <c r="J24" s="26" t="n"/>
      <c r="K24" s="180" t="n"/>
      <c r="L24" s="166" t="n"/>
    </row>
    <row r="25" ht="15.95" customHeight="1" s="2" thickBot="1">
      <c r="A25" s="197" t="n"/>
      <c r="B25" s="199" t="inlineStr">
        <is>
          <t>TOTAL</t>
        </is>
      </c>
      <c r="C25" s="42">
        <f>SUM(C23:C24)</f>
        <v/>
      </c>
      <c r="D25" s="200" t="n"/>
      <c r="E25" s="199" t="inlineStr">
        <is>
          <t>TOTAL</t>
        </is>
      </c>
      <c r="F25" s="42">
        <f>SUM(F23:F24)</f>
        <v/>
      </c>
      <c r="G25" s="200" t="n"/>
      <c r="H25" s="199" t="inlineStr">
        <is>
          <t>TOTAL</t>
        </is>
      </c>
      <c r="I25" s="42">
        <f>SUM(I23:I24)</f>
        <v/>
      </c>
      <c r="J25" s="200" t="n"/>
      <c r="K25" s="180" t="n"/>
      <c r="L25" s="166" t="n"/>
    </row>
    <row r="26" ht="15.6" customHeight="1" s="2">
      <c r="A26" s="166" t="n"/>
      <c r="B26" s="201" t="n"/>
      <c r="C26" s="201" t="n"/>
      <c r="D26" s="201" t="n"/>
      <c r="E26" s="201" t="n"/>
      <c r="F26" s="201" t="n"/>
      <c r="G26" s="201" t="n"/>
      <c r="H26" s="201" t="n"/>
      <c r="I26" s="201" t="n"/>
      <c r="J26" s="201" t="n"/>
      <c r="K26" s="166" t="n"/>
      <c r="L26" s="166" t="n"/>
    </row>
    <row r="27" ht="17.45" customHeight="1" s="2">
      <c r="A27" s="166" t="n"/>
      <c r="B27" s="166" t="n"/>
      <c r="C27" s="166" t="n"/>
      <c r="D27" s="166" t="n"/>
      <c r="E27" s="166" t="n"/>
      <c r="F27" s="202" t="inlineStr">
        <is>
          <t>Details</t>
        </is>
      </c>
      <c r="G27" s="202" t="inlineStr">
        <is>
          <t>Hrs</t>
        </is>
      </c>
      <c r="H27" s="166" t="n"/>
      <c r="I27" s="202" t="inlineStr">
        <is>
          <t>Details</t>
        </is>
      </c>
      <c r="J27" s="202" t="inlineStr">
        <is>
          <t>Hrs</t>
        </is>
      </c>
      <c r="K27" s="166" t="n"/>
      <c r="L27" s="166" t="n"/>
    </row>
    <row r="28" ht="15" customHeight="1" s="2">
      <c r="A28" s="166" t="n"/>
      <c r="B28" s="166" t="n"/>
      <c r="C28" s="166" t="n"/>
      <c r="D28" s="166" t="n"/>
      <c r="E28" s="166" t="n"/>
      <c r="F28" s="166" t="n"/>
      <c r="G28" s="166" t="n"/>
      <c r="H28" s="166" t="n"/>
      <c r="I28" s="166" t="n"/>
      <c r="J28" s="166" t="n"/>
      <c r="K28" s="166" t="n"/>
      <c r="L28" s="166" t="n"/>
    </row>
    <row r="29" ht="17.45" customHeight="1" s="2">
      <c r="A29" s="166" t="n"/>
      <c r="B29" s="166" t="n"/>
      <c r="C29" s="166" t="n"/>
      <c r="D29" s="166" t="n"/>
      <c r="E29" s="166" t="n"/>
      <c r="F29" s="202" t="inlineStr">
        <is>
          <t>Ishita (CO T1-T3)</t>
        </is>
      </c>
      <c r="G29" s="202" t="n">
        <v>15</v>
      </c>
      <c r="H29" s="166" t="n"/>
      <c r="I29" s="202" t="inlineStr">
        <is>
          <t>Sana (Sup T1-T5)</t>
        </is>
      </c>
      <c r="J29" s="202" t="n">
        <v>37.5</v>
      </c>
      <c r="K29" s="166" t="n"/>
      <c r="L29" s="166" t="n"/>
    </row>
    <row r="30" ht="17.45" customHeight="1" s="2">
      <c r="A30" s="166" t="n"/>
      <c r="B30" s="166" t="n"/>
      <c r="C30" s="166" t="n"/>
      <c r="D30" s="166" t="n"/>
      <c r="E30" s="166" t="n"/>
      <c r="F30" s="202" t="inlineStr">
        <is>
          <t>Justas (Host T1-T3)</t>
        </is>
      </c>
      <c r="G30" s="202" t="n">
        <v>15</v>
      </c>
      <c r="H30" s="166" t="n"/>
      <c r="I30" s="202" t="inlineStr">
        <is>
          <t>Rajesh (Bar T1-T3)</t>
        </is>
      </c>
      <c r="J30" s="202" t="n">
        <v>15</v>
      </c>
      <c r="K30" s="166" t="n"/>
      <c r="L30" s="166" t="n"/>
    </row>
    <row r="31" ht="17.45" customHeight="1" s="2">
      <c r="A31" s="166" t="n"/>
      <c r="B31" s="166" t="n"/>
      <c r="C31" s="166" t="n"/>
      <c r="D31" s="166" t="n"/>
      <c r="E31" s="166" t="n"/>
      <c r="F31" s="202" t="inlineStr">
        <is>
          <t>Yuka (Host T1-T3)</t>
        </is>
      </c>
      <c r="G31" s="202" t="inlineStr">
        <is>
          <t>15- CANCELLED</t>
        </is>
      </c>
      <c r="H31" s="166" t="n"/>
      <c r="I31" s="202" t="inlineStr">
        <is>
          <t>Aga (Bar T1-T3)</t>
        </is>
      </c>
      <c r="J31" s="202" t="n">
        <v>15</v>
      </c>
      <c r="K31" s="166" t="n"/>
      <c r="L31" s="166" t="n"/>
    </row>
    <row r="32" ht="17.45" customHeight="1" s="2">
      <c r="A32" s="166" t="n"/>
      <c r="B32" s="166" t="n"/>
      <c r="C32" s="166" t="n"/>
      <c r="D32" s="166" t="n"/>
      <c r="E32" s="166" t="n"/>
      <c r="F32" s="202" t="inlineStr">
        <is>
          <t>Ferdous (Invoice T1)</t>
        </is>
      </c>
      <c r="G32" s="202" t="n">
        <v>5</v>
      </c>
      <c r="H32" s="166" t="n"/>
      <c r="I32" s="202" t="inlineStr">
        <is>
          <t>Ruta (Host T1-T3)</t>
        </is>
      </c>
      <c r="J32" s="202" t="n">
        <v>15</v>
      </c>
      <c r="K32" s="166" t="n"/>
      <c r="L32" s="166" t="n"/>
    </row>
    <row r="33" ht="17.45" customHeight="1" s="2">
      <c r="A33" s="166" t="n"/>
      <c r="B33" s="166" t="n"/>
      <c r="C33" s="166" t="n"/>
      <c r="D33" s="166" t="n"/>
      <c r="E33" s="166" t="n"/>
      <c r="F33" s="166" t="n"/>
      <c r="G33" s="166" t="n"/>
      <c r="H33" s="166" t="n"/>
      <c r="I33" s="202" t="inlineStr">
        <is>
          <t>Yuka (CO T1-T3)</t>
        </is>
      </c>
      <c r="J33" s="202" t="inlineStr">
        <is>
          <t>15- CANCELLED</t>
        </is>
      </c>
      <c r="K33" s="166" t="n"/>
      <c r="L33" s="166" t="n"/>
    </row>
    <row r="34" ht="17.45" customHeight="1" s="2">
      <c r="A34" s="166" t="n"/>
      <c r="B34" s="166" t="n"/>
      <c r="C34" s="166" t="n"/>
      <c r="D34" s="166" t="n"/>
      <c r="E34" s="166" t="n"/>
      <c r="F34" s="166" t="n"/>
      <c r="G34" s="166" t="n"/>
      <c r="H34" s="166" t="n"/>
      <c r="I34" s="202" t="inlineStr">
        <is>
          <t>Ferdous (Inv T2 +f/c)</t>
        </is>
      </c>
      <c r="J34" s="202" t="n">
        <v>13</v>
      </c>
      <c r="K34" s="166" t="n"/>
      <c r="L34" s="166" t="n"/>
    </row>
    <row r="35" ht="17.45" customHeight="1" s="2">
      <c r="A35" s="166" t="n"/>
      <c r="B35" s="166" t="n"/>
      <c r="C35" s="166" t="n"/>
      <c r="D35" s="166" t="n"/>
      <c r="E35" s="166" t="n"/>
      <c r="F35" s="166" t="n"/>
      <c r="G35" s="166" t="n"/>
      <c r="H35" s="166" t="n"/>
      <c r="I35" s="203" t="inlineStr">
        <is>
          <t>Total</t>
        </is>
      </c>
      <c r="J35" s="203">
        <f>SUM(J29:J34)</f>
        <v/>
      </c>
      <c r="K35" s="166" t="n"/>
      <c r="L35" s="166" t="n"/>
    </row>
    <row r="36" ht="18" customHeight="1" s="2" thickBot="1">
      <c r="A36" s="173" t="n"/>
      <c r="B36" s="204" t="n">
        <v>42394</v>
      </c>
      <c r="C36" s="204" t="n">
        <v>42758</v>
      </c>
      <c r="D36" s="205" t="n"/>
      <c r="E36" s="206" t="n">
        <v>42401</v>
      </c>
      <c r="F36" s="174" t="n">
        <v>42765</v>
      </c>
      <c r="G36" s="173" t="n"/>
      <c r="H36" s="204" t="n">
        <v>42408</v>
      </c>
      <c r="I36" s="204" t="n">
        <v>42772</v>
      </c>
      <c r="J36" s="173" t="n"/>
      <c r="K36" s="166" t="n"/>
      <c r="L36" s="166" t="n"/>
    </row>
    <row r="37" ht="17.85" customHeight="1" s="2" thickBot="1">
      <c r="A37" s="176" t="n"/>
      <c r="B37" s="177" t="inlineStr">
        <is>
          <t>Last Year</t>
        </is>
      </c>
      <c r="C37" s="178" t="inlineStr">
        <is>
          <t>Projected</t>
        </is>
      </c>
      <c r="D37" s="179" t="inlineStr">
        <is>
          <t>Actual</t>
        </is>
      </c>
      <c r="E37" s="177" t="inlineStr">
        <is>
          <t>Last Year</t>
        </is>
      </c>
      <c r="F37" s="178" t="inlineStr">
        <is>
          <t>Projected</t>
        </is>
      </c>
      <c r="G37" s="179" t="inlineStr">
        <is>
          <t>Actual</t>
        </is>
      </c>
      <c r="H37" s="177" t="inlineStr">
        <is>
          <t>Last Year</t>
        </is>
      </c>
      <c r="I37" s="178" t="inlineStr">
        <is>
          <t>Projected</t>
        </is>
      </c>
      <c r="J37" s="179" t="inlineStr">
        <is>
          <t>Actual</t>
        </is>
      </c>
      <c r="K37" s="180" t="n"/>
      <c r="L37" s="166" t="n"/>
    </row>
    <row r="38" ht="18" customHeight="1" s="2">
      <c r="A38" s="181" t="inlineStr">
        <is>
          <t>GROSS TOTAL</t>
        </is>
      </c>
      <c r="B38" s="182" t="n">
        <v>178931.17</v>
      </c>
      <c r="C38" s="183" t="n">
        <v>173236</v>
      </c>
      <c r="D38" s="184" t="n">
        <v>179658</v>
      </c>
      <c r="E38" s="182" t="n">
        <v>184512.73</v>
      </c>
      <c r="F38" s="183" t="n">
        <v>216935</v>
      </c>
      <c r="G38" s="184" t="n">
        <v>231891</v>
      </c>
      <c r="H38" s="182" t="n">
        <v>201196.62</v>
      </c>
      <c r="I38" s="183" t="n">
        <v>195285</v>
      </c>
      <c r="J38" s="185" t="n">
        <v>195050.8</v>
      </c>
      <c r="K38" s="186" t="n"/>
      <c r="L38" s="166" t="n"/>
    </row>
    <row r="39" ht="17.45" customHeight="1" s="2">
      <c r="A39" s="187" t="inlineStr">
        <is>
          <t>NETT  TOTAL</t>
        </is>
      </c>
      <c r="B39" s="8">
        <f>B38/1.1</f>
        <v/>
      </c>
      <c r="C39" s="9">
        <f>C38/1.1</f>
        <v/>
      </c>
      <c r="D39" s="10">
        <f>D38/1.1</f>
        <v/>
      </c>
      <c r="E39" s="8">
        <f>E38/1.1</f>
        <v/>
      </c>
      <c r="F39" s="9">
        <f>F38/1.1</f>
        <v/>
      </c>
      <c r="G39" s="10">
        <f>G38/1.1</f>
        <v/>
      </c>
      <c r="H39" s="8">
        <f>H38/1.1</f>
        <v/>
      </c>
      <c r="I39" s="9">
        <f>I38/1.1</f>
        <v/>
      </c>
      <c r="J39" s="22">
        <f>J38/1.1</f>
        <v/>
      </c>
      <c r="K39" s="186" t="n"/>
      <c r="L39" s="166" t="n"/>
    </row>
    <row r="40" ht="17.45" customHeight="1" s="2">
      <c r="A40" s="188" t="inlineStr">
        <is>
          <t>Customers</t>
        </is>
      </c>
      <c r="B40" s="12" t="n">
        <v>8583</v>
      </c>
      <c r="C40" s="189" t="n">
        <v>8500</v>
      </c>
      <c r="D40" s="10" t="n">
        <v>8502</v>
      </c>
      <c r="E40" s="12" t="n">
        <v>8494</v>
      </c>
      <c r="F40" s="189" t="n">
        <v>9950</v>
      </c>
      <c r="G40" s="10" t="n">
        <v>10209</v>
      </c>
      <c r="H40" s="12" t="n">
        <v>9032</v>
      </c>
      <c r="I40" s="189" t="n">
        <v>8885</v>
      </c>
      <c r="J40" s="11" t="n">
        <v>8542</v>
      </c>
      <c r="K40" s="171" t="n"/>
      <c r="L40" s="166" t="n"/>
    </row>
    <row r="41" ht="17.45" customHeight="1" s="2">
      <c r="A41" s="188" t="inlineStr">
        <is>
          <t>Average Customer Spend</t>
        </is>
      </c>
      <c r="B41" s="8">
        <f>B38/B40</f>
        <v/>
      </c>
      <c r="C41" s="9">
        <f>C38/C40</f>
        <v/>
      </c>
      <c r="D41" s="10">
        <f>D38/D40</f>
        <v/>
      </c>
      <c r="E41" s="8">
        <f>E38/E40</f>
        <v/>
      </c>
      <c r="F41" s="9">
        <f>F38/F40</f>
        <v/>
      </c>
      <c r="G41" s="10">
        <f>G38/G40</f>
        <v/>
      </c>
      <c r="H41" s="8">
        <f>H38/H40</f>
        <v/>
      </c>
      <c r="I41" s="9">
        <f>I38/I40</f>
        <v/>
      </c>
      <c r="J41" s="11">
        <f>J38/J40</f>
        <v/>
      </c>
      <c r="K41" s="171" t="n"/>
      <c r="L41" s="166" t="n"/>
    </row>
    <row r="42" ht="17.45" customHeight="1" s="2">
      <c r="A42" s="191" t="inlineStr">
        <is>
          <t>Wage % to Gross total</t>
        </is>
      </c>
      <c r="B42" s="192">
        <f>(B45*B46)/B38</f>
        <v/>
      </c>
      <c r="C42" s="9">
        <f>(C45*C46)/C38</f>
        <v/>
      </c>
      <c r="D42" s="22">
        <f>(D45*D46)/D38</f>
        <v/>
      </c>
      <c r="E42" s="192">
        <f>(E45*E46)/E38</f>
        <v/>
      </c>
      <c r="F42" s="9">
        <f>(F45*F46)/F38</f>
        <v/>
      </c>
      <c r="G42" s="22">
        <f>(G45*G46)/G38</f>
        <v/>
      </c>
      <c r="H42" s="192">
        <f>(H45*H46)/H38</f>
        <v/>
      </c>
      <c r="I42" s="9">
        <f>(I45*I46)/I38</f>
        <v/>
      </c>
      <c r="J42" s="11">
        <f>(J45*J46)/J38</f>
        <v/>
      </c>
      <c r="K42" s="171" t="n"/>
      <c r="L42" s="166" t="n"/>
    </row>
    <row r="43" ht="17.45" customHeight="1" s="2">
      <c r="A43" s="191" t="inlineStr">
        <is>
          <t>Wage % to Nett Total</t>
        </is>
      </c>
      <c r="B43" s="192">
        <f>(B45*B46)/B39</f>
        <v/>
      </c>
      <c r="C43" s="9">
        <f>(C45*C46)/C39</f>
        <v/>
      </c>
      <c r="D43" s="22">
        <f>(D45*D46)/D39</f>
        <v/>
      </c>
      <c r="E43" s="192">
        <f>(E45*E46)/E39</f>
        <v/>
      </c>
      <c r="F43" s="9">
        <f>(F45*F46)/F39</f>
        <v/>
      </c>
      <c r="G43" s="22">
        <f>(G45*G46)/G39</f>
        <v/>
      </c>
      <c r="H43" s="192">
        <f>(H45*H46)/H39</f>
        <v/>
      </c>
      <c r="I43" s="9">
        <f>(I45*I46)/I39</f>
        <v/>
      </c>
      <c r="J43" s="11">
        <f>(J45*J46)/J39</f>
        <v/>
      </c>
      <c r="K43" s="171" t="n"/>
      <c r="L43" s="166" t="n"/>
    </row>
    <row r="44" ht="17.45" customHeight="1" s="2">
      <c r="A44" s="188" t="inlineStr">
        <is>
          <t>Productivity</t>
        </is>
      </c>
      <c r="B44" s="8">
        <f>B40/B46</f>
        <v/>
      </c>
      <c r="C44" s="9">
        <f>C40/C46</f>
        <v/>
      </c>
      <c r="D44" s="10">
        <f>D40/D46</f>
        <v/>
      </c>
      <c r="E44" s="8">
        <f>E40/E46</f>
        <v/>
      </c>
      <c r="F44" s="9">
        <f>F40/F46</f>
        <v/>
      </c>
      <c r="G44" s="10">
        <f>G40/G46</f>
        <v/>
      </c>
      <c r="H44" s="8">
        <f>H40/H46</f>
        <v/>
      </c>
      <c r="I44" s="9">
        <f>I40/I46</f>
        <v/>
      </c>
      <c r="J44" s="11">
        <f>J40/J46</f>
        <v/>
      </c>
      <c r="K44" s="171" t="n"/>
      <c r="L44" s="166" t="n"/>
    </row>
    <row r="45" ht="17.45" customHeight="1" s="2">
      <c r="A45" s="188" t="inlineStr">
        <is>
          <t>Average Hourly Rate</t>
        </is>
      </c>
      <c r="B45" s="12" t="n">
        <v>31.07</v>
      </c>
      <c r="C45" s="189" t="n">
        <v>30</v>
      </c>
      <c r="D45" s="10" t="n">
        <v>30.95</v>
      </c>
      <c r="E45" s="12" t="n">
        <v>35.07</v>
      </c>
      <c r="F45" s="189" t="n">
        <v>35</v>
      </c>
      <c r="G45" s="10" t="n">
        <v>35.06</v>
      </c>
      <c r="H45" s="12" t="n">
        <v>30.34</v>
      </c>
      <c r="I45" s="189" t="n">
        <v>30</v>
      </c>
      <c r="J45" s="11" t="n">
        <v>30.16</v>
      </c>
      <c r="K45" s="171" t="n"/>
      <c r="L45" s="166" t="n"/>
    </row>
    <row r="46" ht="17.45" customHeight="1" s="2">
      <c r="A46" s="188" t="inlineStr">
        <is>
          <t>Total hours for productivity</t>
        </is>
      </c>
      <c r="B46" s="12" t="n">
        <v>1811.25</v>
      </c>
      <c r="C46" s="189" t="n">
        <v>1664.5</v>
      </c>
      <c r="D46" s="10" t="n">
        <v>1647.25</v>
      </c>
      <c r="E46" s="12" t="n">
        <v>1766.75</v>
      </c>
      <c r="F46" s="189" t="n">
        <v>1810.5</v>
      </c>
      <c r="G46" s="10" t="n">
        <v>1908</v>
      </c>
      <c r="H46" s="12" t="n">
        <v>1720.5</v>
      </c>
      <c r="I46" s="189" t="n">
        <v>1868.5</v>
      </c>
      <c r="J46" s="11" t="n">
        <v>1798.5</v>
      </c>
      <c r="K46" s="171" t="n"/>
      <c r="L46" s="166" t="n"/>
    </row>
    <row r="47" ht="17.45" customHeight="1" s="2">
      <c r="A47" s="188" t="inlineStr">
        <is>
          <t>Training Hours used</t>
        </is>
      </c>
      <c r="B47" s="12" t="n">
        <v>7.5</v>
      </c>
      <c r="C47" s="189" t="n">
        <v>0</v>
      </c>
      <c r="D47" s="10" t="n">
        <v>45.5</v>
      </c>
      <c r="E47" s="12" t="n">
        <v>48.5</v>
      </c>
      <c r="F47" s="189" t="n"/>
      <c r="G47" s="10" t="n">
        <v>89</v>
      </c>
      <c r="H47" s="12" t="n">
        <v>82.5</v>
      </c>
      <c r="I47" s="189" t="n">
        <v>281.5</v>
      </c>
      <c r="J47" s="22" t="n">
        <v>261.5</v>
      </c>
      <c r="K47" s="186" t="n"/>
      <c r="L47" s="166" t="n"/>
    </row>
    <row r="48" ht="18" customHeight="1" s="2" thickBot="1">
      <c r="A48" s="193" t="inlineStr">
        <is>
          <t>Number of hours used to cover sick leave</t>
        </is>
      </c>
      <c r="B48" s="13" t="n">
        <v>45</v>
      </c>
      <c r="C48" s="14" t="n">
        <v>0</v>
      </c>
      <c r="D48" s="15" t="n"/>
      <c r="E48" s="13" t="n">
        <v>39.5</v>
      </c>
      <c r="F48" s="194" t="n"/>
      <c r="G48" s="15" t="n"/>
      <c r="H48" s="13" t="n">
        <v>23</v>
      </c>
      <c r="I48" s="194" t="n"/>
      <c r="J48" s="29" t="n"/>
      <c r="K48" s="186" t="n"/>
      <c r="L48" s="166" t="n"/>
    </row>
    <row r="49" ht="15.6" customHeight="1" s="2">
      <c r="A49" s="195" t="inlineStr">
        <is>
          <t>Minimum HOURS</t>
        </is>
      </c>
      <c r="B49" s="196" t="inlineStr">
        <is>
          <t xml:space="preserve">Kitchen </t>
        </is>
      </c>
      <c r="C49" s="16" t="n">
        <v>545</v>
      </c>
      <c r="D49" s="17" t="n"/>
      <c r="E49" s="196" t="inlineStr">
        <is>
          <t xml:space="preserve">Kitchen </t>
        </is>
      </c>
      <c r="F49" s="16" t="n">
        <v>584</v>
      </c>
      <c r="G49" s="17" t="n"/>
      <c r="H49" s="196" t="inlineStr">
        <is>
          <t xml:space="preserve">Kitchen </t>
        </is>
      </c>
      <c r="I49" s="16" t="n"/>
      <c r="J49" s="17" t="n"/>
      <c r="K49" s="180" t="n"/>
      <c r="L49" s="166" t="n"/>
    </row>
    <row r="50" ht="15.6" customHeight="1" s="2" thickBot="1">
      <c r="A50" s="197" t="n"/>
      <c r="B50" s="198" t="inlineStr">
        <is>
          <t xml:space="preserve">Floor </t>
        </is>
      </c>
      <c r="C50" s="18" t="n">
        <v>927</v>
      </c>
      <c r="D50" s="26" t="n"/>
      <c r="E50" s="198" t="inlineStr">
        <is>
          <t xml:space="preserve">Floor </t>
        </is>
      </c>
      <c r="F50" s="18" t="n"/>
      <c r="G50" s="26" t="n"/>
      <c r="H50" s="198" t="inlineStr">
        <is>
          <t xml:space="preserve">Floor </t>
        </is>
      </c>
      <c r="I50" s="18" t="n"/>
      <c r="J50" s="26" t="n"/>
      <c r="K50" s="180" t="n"/>
      <c r="L50" s="166" t="n"/>
    </row>
    <row r="51" ht="15.95" customHeight="1" s="2" thickBot="1">
      <c r="A51" s="197" t="n"/>
      <c r="B51" s="199" t="inlineStr">
        <is>
          <t>TOTAL</t>
        </is>
      </c>
      <c r="C51" s="42">
        <f>SUM(C49:C50)</f>
        <v/>
      </c>
      <c r="D51" s="200" t="n"/>
      <c r="E51" s="199" t="inlineStr">
        <is>
          <t>TOTAL</t>
        </is>
      </c>
      <c r="F51" s="42">
        <f>SUM(F49:F50)</f>
        <v/>
      </c>
      <c r="G51" s="200" t="n"/>
      <c r="H51" s="199" t="inlineStr">
        <is>
          <t>TOTAL</t>
        </is>
      </c>
      <c r="I51" s="42">
        <f>SUM(I49:I50)</f>
        <v/>
      </c>
      <c r="J51" s="200" t="n"/>
      <c r="K51" s="180" t="n"/>
      <c r="L51" s="166" t="n"/>
    </row>
    <row r="52" ht="15.6" customHeight="1" s="2">
      <c r="A52" s="166" t="n"/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166" t="n"/>
      <c r="L52" s="166" t="n"/>
    </row>
    <row r="53" ht="17.45" customHeight="1" s="2">
      <c r="A53" s="166" t="n"/>
      <c r="B53" s="166" t="n"/>
      <c r="C53" s="202" t="inlineStr">
        <is>
          <t>Details</t>
        </is>
      </c>
      <c r="D53" s="202" t="inlineStr">
        <is>
          <t>Hrs</t>
        </is>
      </c>
      <c r="E53" s="166" t="n"/>
      <c r="F53" s="202" t="inlineStr">
        <is>
          <t>Details</t>
        </is>
      </c>
      <c r="G53" s="202" t="inlineStr">
        <is>
          <t>Hrs</t>
        </is>
      </c>
      <c r="H53" s="166" t="n"/>
      <c r="I53" s="202" t="inlineStr">
        <is>
          <t>Details</t>
        </is>
      </c>
      <c r="J53" s="202" t="inlineStr">
        <is>
          <t>Hrs</t>
        </is>
      </c>
      <c r="K53" s="166" t="n"/>
      <c r="L53" s="166" t="n"/>
    </row>
    <row r="54" ht="17.45" customHeight="1" s="2">
      <c r="A54" s="166" t="n"/>
      <c r="B54" s="166" t="n"/>
      <c r="C54" s="202" t="inlineStr">
        <is>
          <t>Ferdous (F/COST T2)</t>
        </is>
      </c>
      <c r="D54" s="202" t="n">
        <v>8</v>
      </c>
      <c r="E54" s="166" t="n"/>
      <c r="F54" s="202" t="inlineStr">
        <is>
          <t>Ferdous (F/COST T3)</t>
        </is>
      </c>
      <c r="G54" s="202" t="n">
        <v>8</v>
      </c>
      <c r="H54" s="202" t="inlineStr">
        <is>
          <t>New starters(floor)</t>
        </is>
      </c>
      <c r="I54" s="166" t="n"/>
      <c r="J54" s="202" t="n">
        <v>185</v>
      </c>
      <c r="K54" s="166" t="n"/>
      <c r="L54" s="166" t="n"/>
    </row>
    <row r="55" ht="17.45" customHeight="1" s="2">
      <c r="A55" s="166" t="n"/>
      <c r="B55" s="166" t="n"/>
      <c r="C55" s="202" t="inlineStr">
        <is>
          <t>Juan Roster T2</t>
        </is>
      </c>
      <c r="D55" s="202" t="n">
        <v>7.5</v>
      </c>
      <c r="E55" s="166" t="n"/>
      <c r="F55" s="202" t="inlineStr">
        <is>
          <t>Juan Roster T3</t>
        </is>
      </c>
      <c r="G55" s="202" t="n">
        <v>7.5</v>
      </c>
      <c r="H55" s="202" t="inlineStr">
        <is>
          <t>Abbu TC T2</t>
        </is>
      </c>
      <c r="I55" s="166" t="n"/>
      <c r="J55" s="202" t="n">
        <v>3.5</v>
      </c>
      <c r="K55" s="166" t="n"/>
      <c r="L55" s="166" t="n"/>
    </row>
    <row r="56" ht="17.45" customHeight="1" s="2">
      <c r="A56" s="166" t="n"/>
      <c r="B56" s="166" t="n"/>
      <c r="C56" s="202" t="inlineStr">
        <is>
          <t>Chelsea Bar T1-T3</t>
        </is>
      </c>
      <c r="D56" s="202" t="n">
        <v>15</v>
      </c>
      <c r="E56" s="166" t="n"/>
      <c r="F56" s="202" t="inlineStr">
        <is>
          <t>Abbu TC T1</t>
        </is>
      </c>
      <c r="G56" s="202" t="n">
        <v>3.5</v>
      </c>
      <c r="H56" s="202" t="inlineStr">
        <is>
          <t>Abbu Payroll T2</t>
        </is>
      </c>
      <c r="I56" s="166" t="n"/>
      <c r="J56" s="202" t="n">
        <v>3.5</v>
      </c>
      <c r="K56" s="166" t="n"/>
      <c r="L56" s="166" t="n"/>
    </row>
    <row r="57" ht="17.45" customHeight="1" s="2">
      <c r="A57" s="166" t="n"/>
      <c r="B57" s="166" t="n"/>
      <c r="C57" s="202" t="inlineStr">
        <is>
          <t>Ruta Bar T1-T3</t>
        </is>
      </c>
      <c r="D57" s="202" t="n">
        <v>15</v>
      </c>
      <c r="E57" s="166" t="n"/>
      <c r="F57" s="202" t="inlineStr">
        <is>
          <t>New starters(floor+kitchen)</t>
        </is>
      </c>
      <c r="G57" s="202" t="n">
        <v>70</v>
      </c>
      <c r="H57" s="166" t="n"/>
      <c r="I57" s="166" t="n"/>
      <c r="J57" s="166" t="n"/>
      <c r="K57" s="166" t="n"/>
      <c r="L57" s="166" t="n"/>
    </row>
    <row r="58" ht="17.45" customHeight="1" s="2">
      <c r="A58" s="166" t="n"/>
      <c r="B58" s="166" t="n"/>
      <c r="C58" s="166" t="n"/>
      <c r="D58" s="166" t="n"/>
      <c r="E58" s="166" t="n"/>
      <c r="F58" s="166" t="n"/>
      <c r="G58" s="166" t="n"/>
      <c r="H58" s="202" t="inlineStr">
        <is>
          <t>Ferdous (F/COST T4)</t>
        </is>
      </c>
      <c r="I58" s="166" t="n"/>
      <c r="J58" s="202" t="n">
        <v>8</v>
      </c>
      <c r="K58" s="166" t="n"/>
      <c r="L58" s="166" t="n"/>
    </row>
    <row r="59" ht="17.45" customHeight="1" s="2">
      <c r="A59" s="166" t="n"/>
      <c r="B59" s="166" t="n"/>
      <c r="C59" s="203" t="inlineStr">
        <is>
          <t>Total</t>
        </is>
      </c>
      <c r="D59" s="203">
        <f>SUM(D54:D58)</f>
        <v/>
      </c>
      <c r="E59" s="166" t="n"/>
      <c r="F59" s="203" t="inlineStr">
        <is>
          <t>Total</t>
        </is>
      </c>
      <c r="G59" s="203">
        <f>SUM(G54:G58)</f>
        <v/>
      </c>
      <c r="H59" s="202" t="inlineStr">
        <is>
          <t>Devon (Crepe T1-T2)</t>
        </is>
      </c>
      <c r="I59" s="166" t="n"/>
      <c r="J59" s="202" t="n">
        <v>12</v>
      </c>
      <c r="K59" s="166" t="n"/>
      <c r="L59" s="166" t="n"/>
    </row>
    <row r="60" ht="17.45" customHeight="1" s="2">
      <c r="A60" s="166" t="n"/>
      <c r="B60" s="166" t="n"/>
      <c r="C60" s="166" t="n"/>
      <c r="D60" s="166" t="n"/>
      <c r="E60" s="166" t="n"/>
      <c r="F60" s="166" t="n"/>
      <c r="G60" s="166" t="n"/>
      <c r="H60" s="202" t="inlineStr">
        <is>
          <t>Rojan (Milko T1- T2)</t>
        </is>
      </c>
      <c r="I60" s="166" t="n"/>
      <c r="J60" s="202" t="n">
        <v>16</v>
      </c>
      <c r="K60" s="166" t="n"/>
      <c r="L60" s="166" t="n"/>
    </row>
    <row r="61" ht="17.45" customHeight="1" s="2">
      <c r="A61" s="166" t="n"/>
      <c r="B61" s="166" t="n"/>
      <c r="C61" s="166" t="n"/>
      <c r="D61" s="166" t="n"/>
      <c r="E61" s="166" t="n"/>
      <c r="F61" s="166" t="n"/>
      <c r="G61" s="166" t="n"/>
      <c r="H61" s="202" t="inlineStr">
        <is>
          <t>Dat (Stocking T1- T2)</t>
        </is>
      </c>
      <c r="I61" s="166" t="n"/>
      <c r="J61" s="202" t="n">
        <v>22.5</v>
      </c>
      <c r="K61" s="166" t="n"/>
      <c r="L61" s="166" t="n"/>
    </row>
    <row r="62" ht="17.45" customHeight="1" s="2">
      <c r="A62" s="166" t="n"/>
      <c r="B62" s="166" t="n"/>
      <c r="C62" s="166" t="n"/>
      <c r="D62" s="166" t="n"/>
      <c r="E62" s="166" t="n"/>
      <c r="F62" s="166" t="n"/>
      <c r="G62" s="166" t="n"/>
      <c r="H62" s="202" t="inlineStr">
        <is>
          <t>Terry (Crepes T1 + Rol T1)</t>
        </is>
      </c>
      <c r="I62" s="166" t="n"/>
      <c r="J62" s="202" t="n">
        <v>11</v>
      </c>
      <c r="K62" s="166" t="n"/>
      <c r="L62" s="166" t="n"/>
    </row>
    <row r="63" ht="17.45" customHeight="1" s="2">
      <c r="A63" s="166" t="n"/>
      <c r="B63" s="166" t="n"/>
      <c r="C63" s="166" t="n"/>
      <c r="D63" s="166" t="n"/>
      <c r="E63" s="166" t="n"/>
      <c r="F63" s="166" t="n"/>
      <c r="G63" s="166" t="n"/>
      <c r="H63" s="166" t="n"/>
      <c r="I63" s="203" t="inlineStr">
        <is>
          <t>Total</t>
        </is>
      </c>
      <c r="J63" s="203">
        <f>SUM(J54:J62)</f>
        <v/>
      </c>
      <c r="K63" s="166" t="n"/>
      <c r="L63" s="166" t="n"/>
    </row>
    <row r="64" ht="18" customHeight="1" s="2" thickBot="1">
      <c r="A64" s="173" t="n"/>
      <c r="B64" s="204" t="inlineStr">
        <is>
          <t>we 15/2/17</t>
        </is>
      </c>
      <c r="C64" s="204" t="n"/>
      <c r="D64" s="204" t="n">
        <v>42779</v>
      </c>
      <c r="E64" s="206" t="n">
        <v>42422</v>
      </c>
      <c r="F64" s="174" t="n">
        <v>42786</v>
      </c>
      <c r="G64" s="173" t="n"/>
      <c r="H64" s="207" t="n">
        <v>42429</v>
      </c>
      <c r="I64" s="174" t="n">
        <v>42793</v>
      </c>
      <c r="J64" s="173" t="n"/>
      <c r="K64" s="166" t="n"/>
      <c r="L64" s="166" t="n"/>
    </row>
    <row r="65" ht="17.85" customHeight="1" s="2" thickBot="1">
      <c r="A65" s="176" t="n"/>
      <c r="B65" s="177" t="inlineStr">
        <is>
          <t>Last Year</t>
        </is>
      </c>
      <c r="C65" s="178" t="inlineStr">
        <is>
          <t>Projected</t>
        </is>
      </c>
      <c r="D65" s="179" t="inlineStr">
        <is>
          <t>Actual</t>
        </is>
      </c>
      <c r="E65" s="177" t="inlineStr">
        <is>
          <t>Last Year</t>
        </is>
      </c>
      <c r="F65" s="178" t="inlineStr">
        <is>
          <t>Projected</t>
        </is>
      </c>
      <c r="G65" s="179" t="inlineStr">
        <is>
          <t>Actual</t>
        </is>
      </c>
      <c r="H65" s="177" t="inlineStr">
        <is>
          <t>Last Year</t>
        </is>
      </c>
      <c r="I65" s="178" t="inlineStr">
        <is>
          <t>Projected</t>
        </is>
      </c>
      <c r="J65" s="179" t="inlineStr">
        <is>
          <t>Actual</t>
        </is>
      </c>
      <c r="K65" s="180" t="n"/>
      <c r="L65" s="166" t="n"/>
    </row>
    <row r="66" ht="18" customHeight="1" s="2">
      <c r="A66" s="181" t="inlineStr">
        <is>
          <t>GROSS TOTAL</t>
        </is>
      </c>
      <c r="B66" s="182" t="n">
        <v>223865</v>
      </c>
      <c r="C66" s="183" t="n">
        <v>183454</v>
      </c>
      <c r="D66" s="184" t="n">
        <v>167156.77</v>
      </c>
      <c r="E66" s="182" t="n">
        <v>179030.82</v>
      </c>
      <c r="F66" s="183" t="n">
        <v>171327</v>
      </c>
      <c r="G66" s="184" t="n">
        <v>165865.09</v>
      </c>
      <c r="H66" s="182" t="n">
        <v>160936</v>
      </c>
      <c r="I66" s="183" t="n">
        <v>162421</v>
      </c>
      <c r="J66" s="185" t="n">
        <v>157332.84</v>
      </c>
      <c r="K66" s="186" t="n"/>
      <c r="L66" s="166" t="n"/>
    </row>
    <row r="67" ht="17.45" customHeight="1" s="2">
      <c r="A67" s="187" t="inlineStr">
        <is>
          <t>NETT  TOTAL</t>
        </is>
      </c>
      <c r="B67" s="8">
        <f>B66/1.1</f>
        <v/>
      </c>
      <c r="C67" s="9">
        <f>C66/1.1</f>
        <v/>
      </c>
      <c r="D67" s="10">
        <f>D66/1.1</f>
        <v/>
      </c>
      <c r="E67" s="8">
        <f>E66/1.1</f>
        <v/>
      </c>
      <c r="F67" s="9">
        <f>F66/1.1</f>
        <v/>
      </c>
      <c r="G67" s="10">
        <f>G66/1.1</f>
        <v/>
      </c>
      <c r="H67" s="8">
        <f>H66/1.1</f>
        <v/>
      </c>
      <c r="I67" s="9">
        <f>I66/1.1</f>
        <v/>
      </c>
      <c r="J67" s="22">
        <f>J66/1.1</f>
        <v/>
      </c>
      <c r="K67" s="186" t="n"/>
      <c r="L67" s="166" t="n"/>
    </row>
    <row r="68" ht="17.45" customHeight="1" s="2">
      <c r="A68" s="188" t="inlineStr">
        <is>
          <t>Customers</t>
        </is>
      </c>
      <c r="B68" s="12" t="n">
        <v>9782</v>
      </c>
      <c r="C68" s="189" t="n">
        <v>8375</v>
      </c>
      <c r="D68" s="10" t="n">
        <v>7646</v>
      </c>
      <c r="E68" s="12" t="n">
        <v>8263</v>
      </c>
      <c r="F68" s="189" t="n">
        <v>7790</v>
      </c>
      <c r="G68" s="10" t="n">
        <v>7827</v>
      </c>
      <c r="H68" s="12" t="n">
        <v>7684</v>
      </c>
      <c r="I68" s="189" t="n">
        <v>7720</v>
      </c>
      <c r="J68" s="11" t="n">
        <v>7729</v>
      </c>
      <c r="K68" s="171" t="n"/>
      <c r="L68" s="166" t="n"/>
    </row>
    <row r="69" ht="17.45" customHeight="1" s="2">
      <c r="A69" s="188" t="inlineStr">
        <is>
          <t>Average Customer Spend</t>
        </is>
      </c>
      <c r="B69" s="8">
        <f>B66/B68</f>
        <v/>
      </c>
      <c r="C69" s="9">
        <f>C66/C68</f>
        <v/>
      </c>
      <c r="D69" s="10">
        <f>D66/D68</f>
        <v/>
      </c>
      <c r="E69" s="8">
        <f>E66/E68</f>
        <v/>
      </c>
      <c r="F69" s="9">
        <f>F66/F68</f>
        <v/>
      </c>
      <c r="G69" s="10">
        <f>G66/G68</f>
        <v/>
      </c>
      <c r="H69" s="8">
        <f>H66/H68</f>
        <v/>
      </c>
      <c r="I69" s="9">
        <f>I66/I68</f>
        <v/>
      </c>
      <c r="J69" s="11">
        <f>J66/J68</f>
        <v/>
      </c>
      <c r="K69" s="171" t="n"/>
      <c r="L69" s="166" t="n"/>
    </row>
    <row r="70" ht="17.45" customHeight="1" s="2">
      <c r="A70" s="191" t="inlineStr">
        <is>
          <t>Wage % to Gross total</t>
        </is>
      </c>
      <c r="B70" s="192">
        <f>(B73*B74)/B66</f>
        <v/>
      </c>
      <c r="C70" s="9">
        <f>(C73*C74)/C66</f>
        <v/>
      </c>
      <c r="D70" s="22">
        <f>(D73*D74)/D66</f>
        <v/>
      </c>
      <c r="E70" s="192">
        <f>(E73*E74)/E66</f>
        <v/>
      </c>
      <c r="F70" s="9">
        <f>(F73*F74)/F66</f>
        <v/>
      </c>
      <c r="G70" s="22">
        <f>(G73*G74)/G66</f>
        <v/>
      </c>
      <c r="H70" s="192">
        <f>(H73*H74)/H66</f>
        <v/>
      </c>
      <c r="I70" s="9">
        <f>(I73*I74)/I66</f>
        <v/>
      </c>
      <c r="J70" s="11">
        <f>(J73*J74)/J66</f>
        <v/>
      </c>
      <c r="K70" s="171" t="n"/>
      <c r="L70" s="166" t="n"/>
    </row>
    <row r="71" ht="17.45" customHeight="1" s="2">
      <c r="A71" s="191" t="inlineStr">
        <is>
          <t>Wage % to Nett Total</t>
        </is>
      </c>
      <c r="B71" s="192">
        <f>(B73*B74)/B67</f>
        <v/>
      </c>
      <c r="C71" s="9">
        <f>(C73*C74)/C67</f>
        <v/>
      </c>
      <c r="D71" s="22">
        <f>(D73*D74)/D67</f>
        <v/>
      </c>
      <c r="E71" s="192">
        <f>(E73*E74)/E67</f>
        <v/>
      </c>
      <c r="F71" s="9">
        <f>(F73*F74)/F67</f>
        <v/>
      </c>
      <c r="G71" s="22">
        <f>(G73*G74)/G67</f>
        <v/>
      </c>
      <c r="H71" s="192">
        <f>(H73*H74)/H67</f>
        <v/>
      </c>
      <c r="I71" s="9">
        <f>(I73*I74)/I67</f>
        <v/>
      </c>
      <c r="J71" s="11">
        <f>(J73*J74)/J67</f>
        <v/>
      </c>
      <c r="K71" s="171" t="n"/>
      <c r="L71" s="166" t="n"/>
    </row>
    <row r="72" ht="17.45" customHeight="1" s="2">
      <c r="A72" s="188" t="inlineStr">
        <is>
          <t>Productivity</t>
        </is>
      </c>
      <c r="B72" s="8">
        <f>B68/B74</f>
        <v/>
      </c>
      <c r="C72" s="9">
        <f>C68/C74</f>
        <v/>
      </c>
      <c r="D72" s="10">
        <f>D68/D74</f>
        <v/>
      </c>
      <c r="E72" s="8">
        <f>E68/E74</f>
        <v/>
      </c>
      <c r="F72" s="9">
        <f>F68/F74</f>
        <v/>
      </c>
      <c r="G72" s="10">
        <f>G68/G74</f>
        <v/>
      </c>
      <c r="H72" s="8">
        <f>H68/H74</f>
        <v/>
      </c>
      <c r="I72" s="9">
        <f>I68/I74</f>
        <v/>
      </c>
      <c r="J72" s="11">
        <f>J68/J74</f>
        <v/>
      </c>
      <c r="K72" s="171" t="n"/>
      <c r="L72" s="166" t="n"/>
    </row>
    <row r="73" ht="17.45" customHeight="1" s="2">
      <c r="A73" s="188" t="inlineStr">
        <is>
          <t>Average Hourly Rate</t>
        </is>
      </c>
      <c r="B73" s="12" t="n">
        <v>31.91</v>
      </c>
      <c r="C73" s="189" t="n">
        <v>30.5</v>
      </c>
      <c r="D73" s="10" t="n">
        <v>31.17</v>
      </c>
      <c r="E73" s="12" t="n">
        <v>30.48</v>
      </c>
      <c r="F73" s="189" t="n">
        <v>30</v>
      </c>
      <c r="G73" s="10" t="n">
        <v>31.85</v>
      </c>
      <c r="H73" s="12" t="n">
        <v>31.26</v>
      </c>
      <c r="I73" s="189" t="n">
        <v>30</v>
      </c>
      <c r="J73" s="11" t="n">
        <v>32.37</v>
      </c>
      <c r="K73" s="171" t="n"/>
      <c r="L73" s="166" t="n"/>
    </row>
    <row r="74" ht="17.45" customHeight="1" s="2">
      <c r="A74" s="188" t="inlineStr">
        <is>
          <t>Total hours for productivity</t>
        </is>
      </c>
      <c r="B74" s="12" t="n">
        <v>1743</v>
      </c>
      <c r="C74" s="189" t="n">
        <v>1639</v>
      </c>
      <c r="D74" s="10" t="n">
        <v>1595.5</v>
      </c>
      <c r="E74" s="12" t="n">
        <v>1683.5</v>
      </c>
      <c r="F74" s="189" t="n">
        <v>1585.5</v>
      </c>
      <c r="G74" s="10" t="n">
        <v>1565.25</v>
      </c>
      <c r="H74" s="12" t="n">
        <v>1616.75</v>
      </c>
      <c r="I74" s="189" t="n">
        <v>1524</v>
      </c>
      <c r="J74" s="11" t="n">
        <v>1487.25</v>
      </c>
      <c r="K74" s="171" t="n"/>
      <c r="L74" s="166" t="n"/>
    </row>
    <row r="75" ht="17.45" customHeight="1" s="2">
      <c r="A75" s="188" t="inlineStr">
        <is>
          <t>Training Hours used</t>
        </is>
      </c>
      <c r="B75" s="12" t="n"/>
      <c r="C75" s="189" t="n">
        <v>85</v>
      </c>
      <c r="D75" s="10" t="n">
        <v>80</v>
      </c>
      <c r="E75" s="12" t="n"/>
      <c r="F75" s="189" t="n">
        <v>139.5</v>
      </c>
      <c r="G75" s="10" t="n">
        <v>89.5</v>
      </c>
      <c r="H75" s="12" t="n"/>
      <c r="I75" s="189" t="n">
        <v>13</v>
      </c>
      <c r="J75" s="22" t="n"/>
      <c r="K75" s="186" t="n"/>
      <c r="L75" s="166" t="n"/>
    </row>
    <row r="76" ht="18" customHeight="1" s="2" thickBot="1">
      <c r="A76" s="193" t="inlineStr">
        <is>
          <t>Number of hours used to cover sick leave</t>
        </is>
      </c>
      <c r="B76" s="13" t="n"/>
      <c r="C76" s="14" t="n">
        <v>0</v>
      </c>
      <c r="D76" s="15" t="n"/>
      <c r="E76" s="13" t="n"/>
      <c r="F76" s="194" t="n"/>
      <c r="G76" s="15" t="n"/>
      <c r="H76" s="13" t="n"/>
      <c r="I76" s="194" t="n"/>
      <c r="J76" s="29" t="n">
        <v>65</v>
      </c>
      <c r="K76" s="186" t="n"/>
      <c r="L76" s="166" t="n"/>
    </row>
    <row r="77" ht="15.6" customHeight="1" s="2">
      <c r="A77" s="195" t="inlineStr">
        <is>
          <t>Minimum HOURS</t>
        </is>
      </c>
      <c r="B77" s="196" t="inlineStr">
        <is>
          <t xml:space="preserve">Kitchen </t>
        </is>
      </c>
      <c r="C77" s="16" t="n">
        <v>574</v>
      </c>
      <c r="D77" s="17" t="n"/>
      <c r="E77" s="196" t="inlineStr">
        <is>
          <t xml:space="preserve">Kitchen </t>
        </is>
      </c>
      <c r="F77" s="16" t="n"/>
      <c r="G77" s="17" t="n"/>
      <c r="H77" s="196" t="inlineStr">
        <is>
          <t xml:space="preserve">Kitchen </t>
        </is>
      </c>
      <c r="I77" s="17" t="n">
        <v>530</v>
      </c>
      <c r="J77" s="17" t="n"/>
      <c r="K77" s="180" t="n"/>
      <c r="L77" s="166" t="n"/>
    </row>
    <row r="78" ht="15.6" customHeight="1" s="2" thickBot="1">
      <c r="A78" s="197" t="n"/>
      <c r="B78" s="198" t="inlineStr">
        <is>
          <t xml:space="preserve">Floor </t>
        </is>
      </c>
      <c r="C78" s="18" t="n">
        <v>986</v>
      </c>
      <c r="D78" s="26" t="n"/>
      <c r="E78" s="198" t="inlineStr">
        <is>
          <t xml:space="preserve">Floor </t>
        </is>
      </c>
      <c r="F78" s="18" t="n"/>
      <c r="G78" s="26" t="n"/>
      <c r="H78" s="198" t="inlineStr">
        <is>
          <t xml:space="preserve">Floor </t>
        </is>
      </c>
      <c r="I78" s="18" t="n">
        <v>898</v>
      </c>
      <c r="J78" s="21" t="n"/>
      <c r="K78" s="171" t="n"/>
      <c r="L78" s="166" t="n"/>
    </row>
    <row r="79" ht="15.95" customHeight="1" s="2" thickBot="1">
      <c r="A79" s="197" t="n"/>
      <c r="B79" s="199" t="inlineStr">
        <is>
          <t>TOTAL</t>
        </is>
      </c>
      <c r="C79" s="42">
        <f>SUM(C77:C78)</f>
        <v/>
      </c>
      <c r="D79" s="200" t="n"/>
      <c r="E79" s="199" t="inlineStr">
        <is>
          <t>TOTAL</t>
        </is>
      </c>
      <c r="F79" s="42">
        <f>SUM(F77:F78)</f>
        <v/>
      </c>
      <c r="G79" s="200" t="n"/>
      <c r="H79" s="199" t="inlineStr">
        <is>
          <t>TOTAL</t>
        </is>
      </c>
      <c r="I79" s="42">
        <f>SUM(I77:I78)</f>
        <v/>
      </c>
      <c r="J79" s="200" t="n"/>
      <c r="K79" s="180" t="n"/>
      <c r="L79" s="166" t="n"/>
    </row>
    <row r="80" ht="15.6" customHeight="1" s="2">
      <c r="A80" s="166" t="n"/>
      <c r="B80" s="201" t="n"/>
      <c r="C80" s="201" t="n"/>
      <c r="D80" s="201" t="n"/>
      <c r="E80" s="201" t="n"/>
      <c r="F80" s="201" t="n"/>
      <c r="G80" s="201" t="n"/>
      <c r="H80" s="201" t="n"/>
      <c r="I80" s="201" t="n"/>
      <c r="J80" s="201" t="n"/>
      <c r="K80" s="166" t="n"/>
      <c r="L80" s="166" t="n"/>
    </row>
    <row r="81" ht="17.45" customHeight="1" s="2">
      <c r="A81" s="166" t="n"/>
      <c r="B81" s="202" t="inlineStr">
        <is>
          <t>Abbu TC T3</t>
        </is>
      </c>
      <c r="C81" s="166" t="n"/>
      <c r="D81" s="202" t="n">
        <v>1.5</v>
      </c>
      <c r="E81" s="166" t="n"/>
      <c r="F81" s="202" t="inlineStr">
        <is>
          <t>Bhumika (sup)T1-T5</t>
        </is>
      </c>
      <c r="G81" s="202" t="n">
        <v>39.5</v>
      </c>
      <c r="H81" s="166" t="n"/>
      <c r="I81" s="202" t="inlineStr">
        <is>
          <t>Dat (prep T4 &amp;T5)</t>
        </is>
      </c>
      <c r="J81" s="202" t="n">
        <v>13</v>
      </c>
      <c r="K81" s="166" t="n"/>
      <c r="L81" s="166" t="n"/>
    </row>
    <row r="82" ht="17.45" customHeight="1" s="2">
      <c r="A82" s="166" t="n"/>
      <c r="B82" s="202" t="inlineStr">
        <is>
          <t>Abbu Payroll T3</t>
        </is>
      </c>
      <c r="C82" s="166" t="n"/>
      <c r="D82" s="202" t="n">
        <v>3.5</v>
      </c>
      <c r="E82" s="166" t="n"/>
      <c r="F82" s="202" t="inlineStr">
        <is>
          <t>Chelsea(COT)T1-T3</t>
        </is>
      </c>
      <c r="G82" s="202" t="n">
        <v>15</v>
      </c>
      <c r="H82" s="166" t="n"/>
      <c r="I82" s="166" t="n"/>
      <c r="J82" s="166" t="n"/>
      <c r="K82" s="166" t="n"/>
      <c r="L82" s="166" t="n"/>
    </row>
    <row r="83" ht="17.45" customHeight="1" s="2">
      <c r="A83" s="166" t="n"/>
      <c r="B83" s="202" t="inlineStr">
        <is>
          <t>New starters(floor)</t>
        </is>
      </c>
      <c r="C83" s="166" t="n"/>
      <c r="D83" s="202" t="n">
        <v>4</v>
      </c>
      <c r="E83" s="166" t="n"/>
      <c r="F83" s="202" t="inlineStr">
        <is>
          <t>Dat (PrepT1,T2)</t>
        </is>
      </c>
      <c r="G83" s="202" t="n">
        <v>15</v>
      </c>
      <c r="H83" s="166" t="n"/>
      <c r="I83" s="166" t="n"/>
      <c r="J83" s="166" t="n"/>
      <c r="K83" s="166" t="n"/>
      <c r="L83" s="166" t="n"/>
    </row>
    <row r="84" ht="17.45" customHeight="1" s="2">
      <c r="A84" s="166" t="n"/>
      <c r="B84" s="202" t="inlineStr">
        <is>
          <t>Terry   Rol T2</t>
        </is>
      </c>
      <c r="C84" s="166" t="n"/>
      <c r="D84" s="202" t="n">
        <v>6</v>
      </c>
      <c r="E84" s="166" t="n"/>
      <c r="F84" s="202" t="inlineStr">
        <is>
          <t>Irene(GrillT3&amp;T4)</t>
        </is>
      </c>
      <c r="G84" s="202" t="n">
        <v>10</v>
      </c>
      <c r="H84" s="166" t="n"/>
      <c r="I84" s="166" t="n"/>
      <c r="J84" s="166" t="n"/>
      <c r="K84" s="166" t="n"/>
      <c r="L84" s="166" t="n"/>
    </row>
    <row r="85" ht="17.45" customHeight="1" s="2">
      <c r="A85" s="166" t="n"/>
      <c r="B85" s="202" t="inlineStr">
        <is>
          <t>Dev pizza T1+T2</t>
        </is>
      </c>
      <c r="C85" s="166" t="n"/>
      <c r="D85" s="202" t="n">
        <v>10</v>
      </c>
      <c r="E85" s="166" t="n"/>
      <c r="F85" s="202" t="inlineStr">
        <is>
          <t>Dev(pizza T2,T3)</t>
        </is>
      </c>
      <c r="G85" s="202" t="n">
        <v>10</v>
      </c>
      <c r="H85" s="166" t="n"/>
      <c r="I85" s="166" t="n"/>
      <c r="J85" s="166" t="n"/>
      <c r="K85" s="166" t="n"/>
      <c r="L85" s="166" t="n"/>
    </row>
    <row r="86" ht="17.45" customHeight="1" s="2">
      <c r="A86" s="166" t="n"/>
      <c r="B86" s="202" t="inlineStr">
        <is>
          <t>Irene Grill T2</t>
        </is>
      </c>
      <c r="C86" s="166" t="n"/>
      <c r="D86" s="202" t="n">
        <v>10</v>
      </c>
      <c r="E86" s="166" t="n"/>
      <c r="F86" s="166" t="n"/>
      <c r="G86" s="166" t="n"/>
      <c r="H86" s="166" t="n"/>
      <c r="I86" s="166" t="n"/>
      <c r="J86" s="166" t="n"/>
      <c r="K86" s="166" t="n"/>
      <c r="L86" s="166" t="n"/>
    </row>
    <row r="87" ht="17.45" customHeight="1" s="2">
      <c r="A87" s="166" t="n"/>
      <c r="B87" s="202" t="inlineStr">
        <is>
          <t>Gedas( bar)</t>
        </is>
      </c>
      <c r="C87" s="166" t="n"/>
      <c r="D87" s="202" t="n">
        <v>15</v>
      </c>
      <c r="E87" s="166" t="n"/>
      <c r="F87" s="166" t="n"/>
      <c r="G87" s="166" t="n"/>
      <c r="H87" s="166" t="n"/>
      <c r="I87" s="166" t="n"/>
      <c r="J87" s="166" t="n"/>
      <c r="K87" s="166" t="n"/>
      <c r="L87" s="166" t="n"/>
    </row>
    <row r="88" ht="17.45" customHeight="1" s="2">
      <c r="A88" s="166" t="n"/>
      <c r="B88" s="202" t="inlineStr">
        <is>
          <t>Aga (host)</t>
        </is>
      </c>
      <c r="C88" s="166" t="n"/>
      <c r="D88" s="202" t="n">
        <v>15</v>
      </c>
      <c r="E88" s="166" t="n"/>
      <c r="F88" s="166" t="n"/>
      <c r="G88" s="166" t="n"/>
      <c r="H88" s="166" t="n"/>
      <c r="I88" s="166" t="n"/>
      <c r="J88" s="166" t="n"/>
      <c r="K88" s="166" t="n"/>
      <c r="L88" s="166" t="n"/>
    </row>
    <row r="89" ht="17.45" customHeight="1" s="2">
      <c r="A89" s="166" t="n"/>
      <c r="B89" s="202" t="inlineStr">
        <is>
          <t>Chelsea (host0</t>
        </is>
      </c>
      <c r="C89" s="166" t="n"/>
      <c r="D89" s="202" t="n">
        <v>15</v>
      </c>
      <c r="E89" s="166" t="n"/>
      <c r="F89" s="166" t="n"/>
      <c r="G89" s="203" t="n"/>
      <c r="H89" s="166" t="n"/>
      <c r="I89" s="166" t="n"/>
      <c r="J89" s="166" t="n"/>
      <c r="K89" s="166" t="n"/>
      <c r="L89" s="166" t="n"/>
    </row>
    <row r="90" ht="15" customHeight="1" s="2">
      <c r="A90" s="166" t="n"/>
      <c r="B90" s="166" t="n"/>
      <c r="C90" s="166" t="n"/>
      <c r="D90" s="166" t="n"/>
      <c r="E90" s="166" t="n"/>
      <c r="F90" s="166" t="n"/>
      <c r="G90" s="166" t="n"/>
      <c r="H90" s="166" t="n"/>
      <c r="I90" s="166" t="n"/>
      <c r="J90" s="166" t="n"/>
      <c r="K90" s="166" t="n"/>
      <c r="L90" s="166" t="n"/>
    </row>
    <row r="91" ht="18" customHeight="1" s="2" thickBot="1">
      <c r="A91" s="173" t="n"/>
      <c r="B91" s="174" t="n">
        <v>42436</v>
      </c>
      <c r="C91" s="173" t="n"/>
      <c r="D91" s="174" t="n">
        <v>42800</v>
      </c>
      <c r="E91" s="174" t="n">
        <v>42443</v>
      </c>
      <c r="F91" s="173" t="n"/>
      <c r="G91" s="174" t="n">
        <v>42807</v>
      </c>
      <c r="H91" s="174" t="n">
        <v>42815</v>
      </c>
      <c r="I91" s="173" t="n"/>
      <c r="J91" s="174" t="n">
        <v>42814</v>
      </c>
      <c r="K91" s="166" t="n"/>
      <c r="L91" s="166" t="n"/>
    </row>
    <row r="92" ht="17.85" customHeight="1" s="2" thickBot="1">
      <c r="A92" s="176" t="n"/>
      <c r="B92" s="177" t="inlineStr">
        <is>
          <t>Last Year</t>
        </is>
      </c>
      <c r="C92" s="178" t="inlineStr">
        <is>
          <t>Projected</t>
        </is>
      </c>
      <c r="D92" s="179" t="inlineStr">
        <is>
          <t>Actual</t>
        </is>
      </c>
      <c r="E92" s="177" t="inlineStr">
        <is>
          <t>Last Year</t>
        </is>
      </c>
      <c r="F92" s="178" t="inlineStr">
        <is>
          <t>Projected</t>
        </is>
      </c>
      <c r="G92" s="179" t="inlineStr">
        <is>
          <t>Actual</t>
        </is>
      </c>
      <c r="H92" s="177" t="inlineStr">
        <is>
          <t>Last Year</t>
        </is>
      </c>
      <c r="I92" s="178" t="inlineStr">
        <is>
          <t>Projected</t>
        </is>
      </c>
      <c r="J92" s="179" t="inlineStr">
        <is>
          <t>Actual</t>
        </is>
      </c>
      <c r="K92" s="180" t="n"/>
      <c r="L92" s="166" t="n"/>
    </row>
    <row r="93" ht="18" customHeight="1" s="2">
      <c r="A93" s="181" t="inlineStr">
        <is>
          <t>GROSS TOTAL</t>
        </is>
      </c>
      <c r="B93" s="185" t="n">
        <v>154056.07</v>
      </c>
      <c r="C93" s="183" t="n">
        <v>166544</v>
      </c>
      <c r="D93" s="184" t="n">
        <v>155071</v>
      </c>
      <c r="E93" s="185" t="n">
        <v>160962</v>
      </c>
      <c r="F93" s="183" t="n">
        <v>159092</v>
      </c>
      <c r="G93" s="184" t="n">
        <v>161699.17</v>
      </c>
      <c r="H93" s="208" t="n">
        <v>161623.72</v>
      </c>
      <c r="I93" s="183" t="n">
        <v>158609</v>
      </c>
      <c r="J93" s="185" t="n">
        <v>150677.07</v>
      </c>
      <c r="K93" s="186" t="n"/>
      <c r="L93" s="166" t="n"/>
    </row>
    <row r="94" ht="17.45" customHeight="1" s="2">
      <c r="A94" s="187" t="inlineStr">
        <is>
          <t>NETT  TOTAL</t>
        </is>
      </c>
      <c r="B94" s="22">
        <f>B93/1.1</f>
        <v/>
      </c>
      <c r="C94" s="9">
        <f>C93/1.1</f>
        <v/>
      </c>
      <c r="D94" s="10">
        <f>D93/1.1</f>
        <v/>
      </c>
      <c r="E94" s="22">
        <f>E93/1.1</f>
        <v/>
      </c>
      <c r="F94" s="9">
        <f>F93/1.1</f>
        <v/>
      </c>
      <c r="G94" s="10">
        <f>G93/1.1</f>
        <v/>
      </c>
      <c r="H94" s="23">
        <f>H93/1.1</f>
        <v/>
      </c>
      <c r="I94" s="9">
        <f>I93/1.1</f>
        <v/>
      </c>
      <c r="J94" s="22">
        <f>J93/1.1</f>
        <v/>
      </c>
      <c r="K94" s="186" t="n"/>
      <c r="L94" s="166" t="n"/>
    </row>
    <row r="95" ht="17.45" customHeight="1" s="2">
      <c r="A95" s="188" t="inlineStr">
        <is>
          <t>Customers</t>
        </is>
      </c>
      <c r="B95" s="10" t="n">
        <v>7213</v>
      </c>
      <c r="C95" s="189" t="n">
        <v>7940</v>
      </c>
      <c r="D95" s="10" t="n">
        <v>7244</v>
      </c>
      <c r="E95" s="10" t="n">
        <v>7860</v>
      </c>
      <c r="F95" s="189" t="n">
        <v>7605</v>
      </c>
      <c r="G95" s="22" t="n">
        <v>7696</v>
      </c>
      <c r="H95" s="209" t="n">
        <v>7675</v>
      </c>
      <c r="I95" s="189" t="n">
        <v>7415</v>
      </c>
      <c r="J95" s="11" t="n">
        <v>7277</v>
      </c>
      <c r="K95" s="171" t="n"/>
      <c r="L95" s="166" t="n"/>
    </row>
    <row r="96" ht="17.45" customHeight="1" s="2">
      <c r="A96" s="188" t="inlineStr">
        <is>
          <t>Average Customer Spend</t>
        </is>
      </c>
      <c r="B96" s="22">
        <f>B93/B95</f>
        <v/>
      </c>
      <c r="C96" s="9">
        <f>C93/C95</f>
        <v/>
      </c>
      <c r="D96" s="10">
        <f>D93/D95</f>
        <v/>
      </c>
      <c r="E96" s="22">
        <f>E93/E95</f>
        <v/>
      </c>
      <c r="F96" s="9">
        <f>F93/F95</f>
        <v/>
      </c>
      <c r="G96" s="10">
        <f>G93/G95</f>
        <v/>
      </c>
      <c r="H96" s="23">
        <f>H93/H95</f>
        <v/>
      </c>
      <c r="I96" s="9">
        <f>I93/I95</f>
        <v/>
      </c>
      <c r="J96" s="11">
        <f>J93/J95</f>
        <v/>
      </c>
      <c r="K96" s="171" t="n"/>
      <c r="L96" s="166" t="n"/>
    </row>
    <row r="97" ht="17.45" customHeight="1" s="2">
      <c r="A97" s="191" t="inlineStr">
        <is>
          <t>Wage % to Gross total</t>
        </is>
      </c>
      <c r="B97" s="210">
        <f>(B100*B101)/B93</f>
        <v/>
      </c>
      <c r="C97" s="9">
        <f>(C100*C101)/C93</f>
        <v/>
      </c>
      <c r="D97" s="22">
        <f>(D100*D101)/D93</f>
        <v/>
      </c>
      <c r="E97" s="210">
        <f>(E100*E101)/E93</f>
        <v/>
      </c>
      <c r="F97" s="9">
        <f>(F100*F101)/F93</f>
        <v/>
      </c>
      <c r="G97" s="22">
        <f>(G100*G101)/G93</f>
        <v/>
      </c>
      <c r="H97" s="211">
        <f>(H100*H101)/H93</f>
        <v/>
      </c>
      <c r="I97" s="9">
        <f>(I100*I101)/I93</f>
        <v/>
      </c>
      <c r="J97" s="11">
        <f>(J100*J101)/J93</f>
        <v/>
      </c>
      <c r="K97" s="171" t="n"/>
      <c r="L97" s="166" t="n"/>
    </row>
    <row r="98" ht="17.45" customHeight="1" s="2">
      <c r="A98" s="191" t="inlineStr">
        <is>
          <t>Wage % to Nett Total</t>
        </is>
      </c>
      <c r="B98" s="210">
        <f>(B100*B101)/B94</f>
        <v/>
      </c>
      <c r="C98" s="9">
        <f>(C100*C101)/C94</f>
        <v/>
      </c>
      <c r="D98" s="22">
        <f>(D100*D101)/D94</f>
        <v/>
      </c>
      <c r="E98" s="210">
        <f>(E100*E101)/E94</f>
        <v/>
      </c>
      <c r="F98" s="9">
        <f>(F100*F101)/F94</f>
        <v/>
      </c>
      <c r="G98" s="22">
        <f>(G100*G101)/G94</f>
        <v/>
      </c>
      <c r="H98" s="211">
        <f>(H100*H101)/H94</f>
        <v/>
      </c>
      <c r="I98" s="9">
        <f>(I100*I101)/I94</f>
        <v/>
      </c>
      <c r="J98" s="11">
        <f>(J100*J101)/J94</f>
        <v/>
      </c>
      <c r="K98" s="171" t="n"/>
      <c r="L98" s="166" t="n"/>
    </row>
    <row r="99" ht="17.45" customHeight="1" s="2">
      <c r="A99" s="188" t="inlineStr">
        <is>
          <t>Productivity</t>
        </is>
      </c>
      <c r="B99" s="22">
        <f>B95/B101</f>
        <v/>
      </c>
      <c r="C99" s="9">
        <f>C95/C101</f>
        <v/>
      </c>
      <c r="D99" s="10">
        <f>D95/D101</f>
        <v/>
      </c>
      <c r="E99" s="22">
        <f>E95/E101</f>
        <v/>
      </c>
      <c r="F99" s="9">
        <f>F95/F101</f>
        <v/>
      </c>
      <c r="G99" s="10">
        <f>G95/G101</f>
        <v/>
      </c>
      <c r="H99" s="23">
        <f>H95/H101</f>
        <v/>
      </c>
      <c r="I99" s="9">
        <f>I95/I101</f>
        <v/>
      </c>
      <c r="J99" s="11">
        <f>J95/J101</f>
        <v/>
      </c>
      <c r="K99" s="171" t="n"/>
      <c r="L99" s="166" t="n"/>
    </row>
    <row r="100" ht="17.45" customHeight="1" s="2">
      <c r="A100" s="188" t="inlineStr">
        <is>
          <t>Average Hourly Rate</t>
        </is>
      </c>
      <c r="B100" s="10" t="n">
        <v>30.82</v>
      </c>
      <c r="C100" s="189" t="n">
        <v>31</v>
      </c>
      <c r="D100" s="10" t="n">
        <v>31.42</v>
      </c>
      <c r="E100" s="10" t="n">
        <v>31.45</v>
      </c>
      <c r="F100" s="189" t="n">
        <v>31.5</v>
      </c>
      <c r="G100" s="10" t="n">
        <v>32.47</v>
      </c>
      <c r="H100" s="24" t="n">
        <v>30.48</v>
      </c>
      <c r="I100" s="189" t="n">
        <v>31.5</v>
      </c>
      <c r="J100" s="11" t="n">
        <v>31.58</v>
      </c>
      <c r="K100" s="171" t="n"/>
      <c r="L100" s="166" t="n"/>
    </row>
    <row r="101" ht="17.45" customHeight="1" s="2">
      <c r="A101" s="188" t="inlineStr">
        <is>
          <t>Total hours for productivity</t>
        </is>
      </c>
      <c r="B101" s="10" t="n">
        <v>1675.5</v>
      </c>
      <c r="C101" s="189" t="n">
        <v>1475.5</v>
      </c>
      <c r="D101" s="10" t="n">
        <v>1451.75</v>
      </c>
      <c r="E101" s="10" t="n">
        <v>1653.5</v>
      </c>
      <c r="F101" s="189" t="n">
        <v>1469.5</v>
      </c>
      <c r="G101" s="10" t="n">
        <v>1406.25</v>
      </c>
      <c r="H101" s="24" t="n">
        <v>1730.25</v>
      </c>
      <c r="I101" s="189" t="n">
        <v>1473.5</v>
      </c>
      <c r="J101" s="11" t="n">
        <v>1465</v>
      </c>
      <c r="K101" s="171" t="n"/>
      <c r="L101" s="166" t="n"/>
    </row>
    <row r="102" ht="17.45" customHeight="1" s="2">
      <c r="A102" s="188" t="inlineStr">
        <is>
          <t>Training Hours used</t>
        </is>
      </c>
      <c r="B102" s="10" t="n">
        <v>118.5</v>
      </c>
      <c r="C102" s="189" t="n">
        <v>38</v>
      </c>
      <c r="D102" s="10" t="n">
        <v>33</v>
      </c>
      <c r="E102" s="10" t="n">
        <v>118</v>
      </c>
      <c r="F102" s="189" t="n">
        <v>20</v>
      </c>
      <c r="G102" s="10" t="n"/>
      <c r="H102" s="24" t="n">
        <v>121.5</v>
      </c>
      <c r="I102" s="189" t="n">
        <v>75</v>
      </c>
      <c r="J102" s="22" t="n">
        <v>75</v>
      </c>
      <c r="K102" s="186" t="n"/>
      <c r="L102" s="166" t="n"/>
    </row>
    <row r="103" ht="18" customHeight="1" s="2" thickBot="1">
      <c r="A103" s="193" t="inlineStr">
        <is>
          <t>Number of hours used to cover sick leave</t>
        </is>
      </c>
      <c r="B103" s="15" t="n">
        <v>38.75</v>
      </c>
      <c r="C103" s="14" t="n">
        <v>0</v>
      </c>
      <c r="D103" s="15" t="n">
        <v>31.5</v>
      </c>
      <c r="E103" s="15" t="n">
        <v>45</v>
      </c>
      <c r="F103" s="194" t="n"/>
      <c r="G103" s="15" t="n"/>
      <c r="H103" s="25" t="n">
        <v>38</v>
      </c>
      <c r="I103" s="194" t="n"/>
      <c r="J103" s="29" t="n"/>
      <c r="K103" s="186" t="n"/>
      <c r="L103" s="166" t="n"/>
    </row>
    <row r="104" ht="15.6" customHeight="1" s="2">
      <c r="A104" s="195" t="inlineStr">
        <is>
          <t>Minimum HOURS</t>
        </is>
      </c>
      <c r="B104" s="17" t="n">
        <v>628</v>
      </c>
      <c r="C104" s="16" t="n">
        <v>510</v>
      </c>
      <c r="D104" s="17" t="n"/>
      <c r="E104" s="196" t="inlineStr">
        <is>
          <t xml:space="preserve">Kitchen </t>
        </is>
      </c>
      <c r="F104" s="16" t="n"/>
      <c r="G104" s="17" t="n"/>
      <c r="H104" s="196" t="inlineStr">
        <is>
          <t xml:space="preserve">Kitchen </t>
        </is>
      </c>
      <c r="I104" s="16" t="n">
        <v>445</v>
      </c>
      <c r="J104" s="17" t="n"/>
      <c r="K104" s="180" t="n"/>
      <c r="L104" s="166" t="n"/>
    </row>
    <row r="105" ht="15.6" customHeight="1" s="2" thickBot="1">
      <c r="A105" s="197" t="n"/>
      <c r="B105" s="26" t="n">
        <v>724</v>
      </c>
      <c r="C105" s="18" t="n">
        <v>873</v>
      </c>
      <c r="D105" s="26" t="n"/>
      <c r="E105" s="198" t="inlineStr">
        <is>
          <t xml:space="preserve">Floor </t>
        </is>
      </c>
      <c r="F105" s="18" t="n"/>
      <c r="G105" s="26" t="n"/>
      <c r="H105" s="198" t="inlineStr">
        <is>
          <t xml:space="preserve">Floor </t>
        </is>
      </c>
      <c r="I105" s="18" t="n">
        <v>728</v>
      </c>
      <c r="J105" s="21" t="n"/>
      <c r="K105" s="171" t="n"/>
      <c r="L105" s="166" t="n"/>
    </row>
    <row r="106" ht="15.95" customHeight="1" s="2" thickBot="1">
      <c r="A106" s="197" t="n"/>
      <c r="B106" s="199" t="inlineStr">
        <is>
          <t>TOTAL</t>
        </is>
      </c>
      <c r="C106" s="42">
        <f>SUM(C104:C105)</f>
        <v/>
      </c>
      <c r="D106" s="200" t="n"/>
      <c r="E106" s="199" t="inlineStr">
        <is>
          <t>TOTAL</t>
        </is>
      </c>
      <c r="F106" s="42">
        <f>SUM(F104:F105)</f>
        <v/>
      </c>
      <c r="G106" s="200" t="n"/>
      <c r="H106" s="199" t="inlineStr">
        <is>
          <t>TOTAL</t>
        </is>
      </c>
      <c r="I106" s="42">
        <f>SUM(I104:I105)</f>
        <v/>
      </c>
      <c r="J106" s="42" t="n"/>
      <c r="K106" s="180" t="n"/>
      <c r="L106" s="166" t="n"/>
    </row>
    <row r="107" ht="15.6" customHeight="1" s="2">
      <c r="A107" s="166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166" t="n"/>
      <c r="L107" s="166" t="n"/>
    </row>
    <row r="108" ht="17.45" customHeight="1" s="2">
      <c r="A108" s="166" t="n"/>
      <c r="B108" s="202" t="inlineStr">
        <is>
          <t>Keshav crepes T1 &amp; T2 T3</t>
        </is>
      </c>
      <c r="C108" s="166" t="n"/>
      <c r="D108" s="202" t="n">
        <v>18</v>
      </c>
      <c r="E108" s="166" t="n"/>
      <c r="F108" s="166" t="n"/>
      <c r="G108" s="166" t="n"/>
      <c r="H108" s="202" t="inlineStr">
        <is>
          <t>Ming Li (bar)T1-T3</t>
        </is>
      </c>
      <c r="I108" s="166" t="n"/>
      <c r="J108" s="202" t="n">
        <v>15</v>
      </c>
      <c r="K108" s="166" t="n"/>
      <c r="L108" s="166" t="n"/>
    </row>
    <row r="109" ht="17.45" customHeight="1" s="2">
      <c r="A109" s="166" t="n"/>
      <c r="B109" s="202" t="inlineStr">
        <is>
          <t>keshav stocking T1  cxld</t>
        </is>
      </c>
      <c r="C109" s="166" t="n"/>
      <c r="D109" s="202" t="n">
        <v>5</v>
      </c>
      <c r="E109" s="166" t="n"/>
      <c r="F109" s="166" t="n"/>
      <c r="G109" s="166" t="n"/>
      <c r="H109" s="202" t="inlineStr">
        <is>
          <t>Denise(host) T1-T3</t>
        </is>
      </c>
      <c r="I109" s="166" t="n"/>
      <c r="J109" s="202" t="n">
        <v>15</v>
      </c>
      <c r="K109" s="166" t="n"/>
      <c r="L109" s="166" t="n"/>
    </row>
    <row r="110" ht="17.45" customHeight="1" s="2">
      <c r="A110" s="166" t="n"/>
      <c r="B110" s="202" t="inlineStr">
        <is>
          <t>Dat prep T5 T6</t>
        </is>
      </c>
      <c r="C110" s="166" t="n"/>
      <c r="D110" s="202" t="n">
        <v>15</v>
      </c>
      <c r="E110" s="166" t="n"/>
      <c r="F110" s="166" t="n"/>
      <c r="G110" s="166" t="n"/>
      <c r="H110" s="202" t="inlineStr">
        <is>
          <t>Vyga (Stocking T1</t>
        </is>
      </c>
      <c r="I110" s="166" t="n"/>
      <c r="J110" s="202" t="n">
        <v>7.5</v>
      </c>
      <c r="K110" s="166" t="n"/>
      <c r="L110" s="166" t="n"/>
    </row>
    <row r="111" ht="17.45" customHeight="1" s="2">
      <c r="A111" s="166" t="n"/>
      <c r="B111" s="166" t="n"/>
      <c r="C111" s="166" t="n"/>
      <c r="D111" s="166" t="n"/>
      <c r="E111" s="166" t="n"/>
      <c r="F111" s="166" t="n"/>
      <c r="G111" s="166" t="n"/>
      <c r="H111" s="202" t="inlineStr">
        <is>
          <t>Justin cooking T1</t>
        </is>
      </c>
      <c r="I111" s="166" t="n"/>
      <c r="J111" s="202" t="n">
        <v>7.5</v>
      </c>
      <c r="K111" s="166" t="n"/>
      <c r="L111" s="166" t="n"/>
    </row>
    <row r="112" ht="17.45" customHeight="1" s="2">
      <c r="A112" s="166" t="n"/>
      <c r="B112" s="166" t="n"/>
      <c r="C112" s="166" t="n"/>
      <c r="D112" s="166" t="n"/>
      <c r="E112" s="166" t="n"/>
      <c r="F112" s="166" t="n"/>
      <c r="G112" s="166" t="n"/>
      <c r="H112" s="202" t="inlineStr">
        <is>
          <t xml:space="preserve">keshav stocking </t>
        </is>
      </c>
      <c r="I112" s="166" t="n"/>
      <c r="J112" s="202" t="n">
        <v>15</v>
      </c>
      <c r="K112" s="166" t="n"/>
      <c r="L112" s="166" t="n"/>
    </row>
    <row r="113" ht="17.45" customHeight="1" s="2">
      <c r="A113" s="166" t="n"/>
      <c r="B113" s="166" t="n"/>
      <c r="C113" s="166" t="n"/>
      <c r="D113" s="166" t="n"/>
      <c r="E113" s="166" t="n"/>
      <c r="F113" s="166" t="n"/>
      <c r="G113" s="166" t="n"/>
      <c r="H113" s="202" t="inlineStr">
        <is>
          <t>Mohit B'fast T1-T2</t>
        </is>
      </c>
      <c r="I113" s="166" t="n"/>
      <c r="J113" s="202" t="n">
        <v>15</v>
      </c>
      <c r="K113" s="166" t="n"/>
      <c r="L113" s="166" t="n"/>
    </row>
    <row r="114" ht="18" customHeight="1" s="2" thickBot="1">
      <c r="A114" s="173" t="n"/>
      <c r="B114" s="174" t="n">
        <v>42822</v>
      </c>
      <c r="C114" s="173" t="n"/>
      <c r="D114" s="174" t="n">
        <v>42821</v>
      </c>
      <c r="E114" s="174" t="n">
        <v>42829</v>
      </c>
      <c r="F114" s="173" t="n"/>
      <c r="G114" s="174" t="n">
        <v>42828</v>
      </c>
      <c r="H114" s="174" t="n"/>
      <c r="I114" s="173" t="n"/>
      <c r="J114" s="174" t="n">
        <v>42835</v>
      </c>
      <c r="K114" s="166" t="n"/>
      <c r="L114" s="166" t="n"/>
    </row>
    <row r="115" ht="17.85" customHeight="1" s="2" thickBot="1">
      <c r="A115" s="176" t="n"/>
      <c r="B115" s="212" t="inlineStr">
        <is>
          <t>Last Year</t>
        </is>
      </c>
      <c r="C115" s="178" t="inlineStr">
        <is>
          <t>Projected</t>
        </is>
      </c>
      <c r="D115" s="179" t="inlineStr">
        <is>
          <t>Actual</t>
        </is>
      </c>
      <c r="E115" s="212" t="inlineStr">
        <is>
          <t>Last Year</t>
        </is>
      </c>
      <c r="F115" s="178" t="inlineStr">
        <is>
          <t>Projected</t>
        </is>
      </c>
      <c r="G115" s="179" t="inlineStr">
        <is>
          <t>Actual</t>
        </is>
      </c>
      <c r="H115" s="177" t="inlineStr">
        <is>
          <t>Last Year</t>
        </is>
      </c>
      <c r="I115" s="178" t="inlineStr">
        <is>
          <t>Projected</t>
        </is>
      </c>
      <c r="J115" s="179" t="inlineStr">
        <is>
          <t>Actual</t>
        </is>
      </c>
      <c r="K115" s="180" t="n"/>
      <c r="L115" s="166" t="n"/>
    </row>
    <row r="116" ht="18" customHeight="1" s="2">
      <c r="A116" s="213" t="inlineStr">
        <is>
          <t>GROSS TOTAL</t>
        </is>
      </c>
      <c r="B116" s="214" t="n">
        <v>230855</v>
      </c>
      <c r="C116" s="215" t="n">
        <v>156051</v>
      </c>
      <c r="D116" s="185" t="n">
        <v>144904.64</v>
      </c>
      <c r="E116" s="214" t="n">
        <v>162505</v>
      </c>
      <c r="F116" s="215" t="n">
        <v>159361</v>
      </c>
      <c r="G116" s="184" t="n">
        <v>148101.94</v>
      </c>
      <c r="H116" s="185" t="n">
        <v>161335</v>
      </c>
      <c r="I116" s="183" t="n">
        <v>173371</v>
      </c>
      <c r="J116" s="185" t="n">
        <v>165430.89</v>
      </c>
      <c r="K116" s="186" t="n"/>
      <c r="L116" s="166" t="n"/>
    </row>
    <row r="117" ht="17.45" customHeight="1" s="2">
      <c r="A117" s="216" t="inlineStr">
        <is>
          <t>NETT  TOTAL</t>
        </is>
      </c>
      <c r="B117" s="27">
        <f>B116/1.1</f>
        <v/>
      </c>
      <c r="C117" s="28">
        <f>C116/1.1</f>
        <v/>
      </c>
      <c r="D117" s="22">
        <f>D116/1.1</f>
        <v/>
      </c>
      <c r="E117" s="27">
        <f>E116/1.1</f>
        <v/>
      </c>
      <c r="F117" s="28">
        <f>F116/1.1</f>
        <v/>
      </c>
      <c r="G117" s="10">
        <f>G116/1.1</f>
        <v/>
      </c>
      <c r="H117" s="22">
        <f>H116/1.1</f>
        <v/>
      </c>
      <c r="I117" s="9">
        <f>I116/1.1</f>
        <v/>
      </c>
      <c r="J117" s="22">
        <f>J116/1.1</f>
        <v/>
      </c>
      <c r="K117" s="186" t="n"/>
      <c r="L117" s="166" t="n"/>
    </row>
    <row r="118" ht="17.45" customHeight="1" s="2">
      <c r="A118" s="191" t="inlineStr">
        <is>
          <t>Customers</t>
        </is>
      </c>
      <c r="B118" s="217" t="n">
        <v>10444</v>
      </c>
      <c r="C118" s="189" t="n">
        <v>7310</v>
      </c>
      <c r="D118" s="22" t="n">
        <v>6952</v>
      </c>
      <c r="E118" s="217" t="n">
        <v>7722</v>
      </c>
      <c r="F118" s="189" t="n">
        <v>7395</v>
      </c>
      <c r="G118" s="22" t="n">
        <v>6918</v>
      </c>
      <c r="H118" s="218" t="n">
        <v>7581</v>
      </c>
      <c r="I118" s="189" t="n">
        <v>8090</v>
      </c>
      <c r="J118" s="11" t="n">
        <v>7571</v>
      </c>
      <c r="K118" s="171" t="n"/>
      <c r="L118" s="166" t="n"/>
    </row>
    <row r="119" ht="17.45" customHeight="1" s="2">
      <c r="A119" s="191" t="inlineStr">
        <is>
          <t>Average Customer Spend</t>
        </is>
      </c>
      <c r="B119" s="27">
        <f>B116/B118</f>
        <v/>
      </c>
      <c r="C119" s="28">
        <f>C116/C118</f>
        <v/>
      </c>
      <c r="D119" s="22">
        <f>D116/D118</f>
        <v/>
      </c>
      <c r="E119" s="27">
        <f>E116/E118</f>
        <v/>
      </c>
      <c r="F119" s="28">
        <f>F116/F118</f>
        <v/>
      </c>
      <c r="G119" s="10">
        <f>G116/G118</f>
        <v/>
      </c>
      <c r="H119" s="22">
        <f>H116/H118</f>
        <v/>
      </c>
      <c r="I119" s="9">
        <f>I116/I118</f>
        <v/>
      </c>
      <c r="J119" s="11">
        <f>J116/J118</f>
        <v/>
      </c>
      <c r="K119" s="171" t="n"/>
      <c r="L119" s="166" t="n"/>
    </row>
    <row r="120" ht="17.45" customHeight="1" s="2">
      <c r="A120" s="191" t="inlineStr">
        <is>
          <t>Wage % to Gross total</t>
        </is>
      </c>
      <c r="B120" s="27">
        <f>(B123*B124)/B116</f>
        <v/>
      </c>
      <c r="C120" s="28">
        <f>(C123*C124)/C116</f>
        <v/>
      </c>
      <c r="D120" s="22">
        <f>(D123*D124)/D116</f>
        <v/>
      </c>
      <c r="E120" s="27">
        <f>(E123*E124)/E116</f>
        <v/>
      </c>
      <c r="F120" s="28">
        <f>(F123*F124)/F116</f>
        <v/>
      </c>
      <c r="G120" s="22">
        <f>(G123*G124)/G116</f>
        <v/>
      </c>
      <c r="H120" s="210">
        <f>(H123*H124)/H116</f>
        <v/>
      </c>
      <c r="I120" s="9">
        <f>(I123*I124)/I116</f>
        <v/>
      </c>
      <c r="J120" s="11">
        <f>(J123*J124)/J116</f>
        <v/>
      </c>
      <c r="K120" s="171" t="n"/>
      <c r="L120" s="166" t="n"/>
    </row>
    <row r="121" ht="17.45" customHeight="1" s="2">
      <c r="A121" s="191" t="inlineStr">
        <is>
          <t>Wage % to Nett Total</t>
        </is>
      </c>
      <c r="B121" s="27">
        <f>(B123*B124)/B117</f>
        <v/>
      </c>
      <c r="C121" s="28">
        <f>(C123*C124)/C117</f>
        <v/>
      </c>
      <c r="D121" s="22">
        <f>(D123*D124)/D117</f>
        <v/>
      </c>
      <c r="E121" s="27">
        <f>(E123*E124)/E117</f>
        <v/>
      </c>
      <c r="F121" s="28">
        <f>(F123*F124)/F117</f>
        <v/>
      </c>
      <c r="G121" s="22">
        <f>(G123*G124)/G117</f>
        <v/>
      </c>
      <c r="H121" s="210">
        <f>(H123*H124)/H117</f>
        <v/>
      </c>
      <c r="I121" s="9">
        <f>(I123*I124)/I117</f>
        <v/>
      </c>
      <c r="J121" s="11">
        <f>(J123*J124)/J117</f>
        <v/>
      </c>
      <c r="K121" s="171" t="n"/>
      <c r="L121" s="166" t="n"/>
    </row>
    <row r="122" ht="17.45" customHeight="1" s="2">
      <c r="A122" s="191" t="inlineStr">
        <is>
          <t>Productivity</t>
        </is>
      </c>
      <c r="B122" s="27">
        <f>B118/B124</f>
        <v/>
      </c>
      <c r="C122" s="28">
        <f>C118/C124</f>
        <v/>
      </c>
      <c r="D122" s="22">
        <f>D118/D124</f>
        <v/>
      </c>
      <c r="E122" s="27">
        <f>E118/E124</f>
        <v/>
      </c>
      <c r="F122" s="28">
        <f>F118/F124</f>
        <v/>
      </c>
      <c r="G122" s="10">
        <f>G118/G124</f>
        <v/>
      </c>
      <c r="H122" s="22">
        <f>H118/H124</f>
        <v/>
      </c>
      <c r="I122" s="9">
        <f>I118/I124</f>
        <v/>
      </c>
      <c r="J122" s="11">
        <f>J118/J124</f>
        <v/>
      </c>
      <c r="K122" s="171" t="n"/>
      <c r="L122" s="166" t="n"/>
    </row>
    <row r="123" ht="17.45" customHeight="1" s="2">
      <c r="A123" s="191" t="inlineStr">
        <is>
          <t>Average Hourly Rate</t>
        </is>
      </c>
      <c r="B123" s="27" t="n">
        <v>44.65</v>
      </c>
      <c r="C123" s="189" t="n">
        <v>31.5</v>
      </c>
      <c r="D123" s="22" t="n">
        <v>31.91</v>
      </c>
      <c r="E123" s="217" t="n">
        <v>30.43</v>
      </c>
      <c r="F123" s="189" t="n">
        <v>31.5</v>
      </c>
      <c r="G123" s="10" t="n">
        <v>31.31</v>
      </c>
      <c r="H123" s="10" t="n">
        <v>30.71</v>
      </c>
      <c r="I123" s="189" t="n">
        <v>31.5</v>
      </c>
      <c r="J123" s="11" t="n">
        <v>31.97</v>
      </c>
      <c r="K123" s="171" t="n"/>
      <c r="L123" s="166" t="n"/>
    </row>
    <row r="124" ht="17.45" customHeight="1" s="2">
      <c r="A124" s="191" t="inlineStr">
        <is>
          <t>Total hours for productivity</t>
        </is>
      </c>
      <c r="B124" s="27" t="n">
        <v>1935.75</v>
      </c>
      <c r="C124" s="189" t="n">
        <v>1386</v>
      </c>
      <c r="D124" s="22" t="n">
        <v>1310.25</v>
      </c>
      <c r="E124" s="217" t="n">
        <v>1529.25</v>
      </c>
      <c r="F124" s="189" t="n">
        <v>1453</v>
      </c>
      <c r="G124" s="10" t="n">
        <v>1367</v>
      </c>
      <c r="H124" s="10" t="n">
        <v>1480.25</v>
      </c>
      <c r="I124" s="189" t="n">
        <v>1472</v>
      </c>
      <c r="J124" s="11" t="n">
        <v>1470.5</v>
      </c>
      <c r="K124" s="171" t="n"/>
      <c r="L124" s="166" t="n"/>
    </row>
    <row r="125" ht="17.45" customHeight="1" s="2">
      <c r="A125" s="191" t="inlineStr">
        <is>
          <t>Training Hours used</t>
        </is>
      </c>
      <c r="B125" s="27" t="n">
        <v>53</v>
      </c>
      <c r="C125" s="189" t="n">
        <v>12.5</v>
      </c>
      <c r="D125" s="22" t="n">
        <v>5</v>
      </c>
      <c r="E125" s="217" t="n">
        <v>60</v>
      </c>
      <c r="F125" s="189" t="n">
        <v>59</v>
      </c>
      <c r="G125" s="10" t="n">
        <v>49</v>
      </c>
      <c r="H125" s="10" t="n">
        <v>20</v>
      </c>
      <c r="I125" s="189" t="n"/>
      <c r="J125" s="22" t="n">
        <v>5</v>
      </c>
      <c r="K125" s="186" t="n"/>
      <c r="L125" s="166" t="n"/>
    </row>
    <row r="126" ht="18" customHeight="1" s="2" thickBot="1">
      <c r="A126" s="193" t="inlineStr">
        <is>
          <t>Number of hours used to cover sick leave</t>
        </is>
      </c>
      <c r="B126" s="25" t="n">
        <v>0</v>
      </c>
      <c r="C126" s="14" t="n"/>
      <c r="D126" s="29" t="n">
        <v>27</v>
      </c>
      <c r="E126" s="30" t="n">
        <v>16</v>
      </c>
      <c r="F126" s="194" t="n"/>
      <c r="G126" s="15" t="n">
        <v>17.5</v>
      </c>
      <c r="H126" s="25" t="n"/>
      <c r="I126" s="194" t="n"/>
      <c r="J126" s="29" t="n"/>
      <c r="K126" s="186" t="n"/>
      <c r="L126" s="166" t="n"/>
    </row>
    <row r="127" ht="15.6" customHeight="1" s="2">
      <c r="A127" s="195" t="inlineStr">
        <is>
          <t>Minimum HOURS</t>
        </is>
      </c>
      <c r="B127" s="196" t="inlineStr">
        <is>
          <t xml:space="preserve">Kitchen </t>
        </is>
      </c>
      <c r="C127" s="16" t="n">
        <v>510</v>
      </c>
      <c r="D127" s="17" t="n"/>
      <c r="E127" s="196" t="inlineStr">
        <is>
          <t xml:space="preserve">Kitchen </t>
        </is>
      </c>
      <c r="F127" s="16" t="n">
        <v>478</v>
      </c>
      <c r="G127" s="17" t="n"/>
      <c r="H127" s="196" t="inlineStr">
        <is>
          <t xml:space="preserve">Kitchen </t>
        </is>
      </c>
      <c r="I127" s="16" t="n">
        <v>516</v>
      </c>
      <c r="J127" s="17" t="n"/>
      <c r="K127" s="180" t="n"/>
      <c r="L127" s="166" t="n"/>
    </row>
    <row r="128" ht="15.6" customHeight="1" s="2" thickBot="1">
      <c r="A128" s="197" t="n"/>
      <c r="B128" s="198" t="inlineStr">
        <is>
          <t xml:space="preserve">Floor </t>
        </is>
      </c>
      <c r="C128" s="18" t="n">
        <v>873</v>
      </c>
      <c r="D128" s="26" t="n"/>
      <c r="E128" s="198" t="inlineStr">
        <is>
          <t xml:space="preserve">Floor </t>
        </is>
      </c>
      <c r="F128" s="18" t="n">
        <v>767</v>
      </c>
      <c r="G128" s="26" t="n"/>
      <c r="H128" s="198" t="inlineStr">
        <is>
          <t xml:space="preserve">Floor </t>
        </is>
      </c>
      <c r="I128" s="18" t="n">
        <v>721</v>
      </c>
      <c r="J128" s="26" t="n"/>
      <c r="K128" s="180" t="n"/>
      <c r="L128" s="166" t="n"/>
    </row>
    <row r="129" ht="15.95" customHeight="1" s="2" thickBot="1">
      <c r="A129" s="197" t="n"/>
      <c r="B129" s="199" t="inlineStr">
        <is>
          <t>TOTAL</t>
        </is>
      </c>
      <c r="C129" s="42">
        <f>SUM(C127:C128)</f>
        <v/>
      </c>
      <c r="D129" s="200" t="n"/>
      <c r="E129" s="199" t="inlineStr">
        <is>
          <t>TOTAL</t>
        </is>
      </c>
      <c r="F129" s="42">
        <f>SUM(F127:F128)</f>
        <v/>
      </c>
      <c r="G129" s="200" t="n"/>
      <c r="H129" s="199" t="inlineStr">
        <is>
          <t>TOTAL</t>
        </is>
      </c>
      <c r="I129" s="42">
        <f>SUM(I127:I128)</f>
        <v/>
      </c>
      <c r="J129" s="200" t="n"/>
      <c r="K129" s="180" t="n"/>
      <c r="L129" s="166" t="n"/>
    </row>
    <row r="130" ht="15.6" customHeight="1" s="2">
      <c r="A130" s="166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166" t="n"/>
      <c r="L130" s="166" t="n"/>
    </row>
    <row r="131" ht="17.45" customHeight="1" s="2">
      <c r="A131" s="166" t="n"/>
      <c r="B131" s="202" t="inlineStr">
        <is>
          <t>Keshav (Rolling T1</t>
        </is>
      </c>
      <c r="C131" s="202" t="n">
        <v>5</v>
      </c>
      <c r="D131" s="166" t="n"/>
      <c r="E131" s="202" t="inlineStr">
        <is>
          <t>Denise BarT1-T3</t>
        </is>
      </c>
      <c r="F131" s="166" t="n"/>
      <c r="G131" s="202" t="n">
        <v>15</v>
      </c>
      <c r="H131" s="166" t="n"/>
      <c r="I131" s="202" t="inlineStr">
        <is>
          <t>Suraj Roster T2</t>
        </is>
      </c>
      <c r="J131" s="202" t="n">
        <v>5</v>
      </c>
      <c r="K131" s="166" t="n"/>
      <c r="L131" s="166" t="n"/>
    </row>
    <row r="132" ht="17.45" customHeight="1" s="2">
      <c r="A132" s="166" t="n"/>
      <c r="B132" s="202" t="inlineStr">
        <is>
          <t>Justin cooking set up T2</t>
        </is>
      </c>
      <c r="C132" s="202" t="inlineStr">
        <is>
          <t xml:space="preserve">cxld </t>
        </is>
      </c>
      <c r="D132" s="166" t="n"/>
      <c r="E132" s="202" t="inlineStr">
        <is>
          <t>Ming Li COT1-T3</t>
        </is>
      </c>
      <c r="F132" s="166" t="n"/>
      <c r="G132" s="202" t="n">
        <v>15</v>
      </c>
      <c r="H132" s="166" t="n"/>
      <c r="I132" s="166" t="n"/>
      <c r="J132" s="166" t="n"/>
      <c r="K132" s="166" t="n"/>
      <c r="L132" s="166" t="n"/>
    </row>
    <row r="133" ht="17.45" customHeight="1" s="2">
      <c r="A133" s="166" t="n"/>
      <c r="B133" s="166" t="n"/>
      <c r="C133" s="166" t="n"/>
      <c r="D133" s="166" t="n"/>
      <c r="E133" s="202" t="inlineStr">
        <is>
          <t>Justin(Stocking)</t>
        </is>
      </c>
      <c r="F133" s="202" t="inlineStr">
        <is>
          <t>cxld</t>
        </is>
      </c>
      <c r="G133" s="202" t="n">
        <v>0</v>
      </c>
      <c r="H133" s="166" t="n"/>
      <c r="I133" s="166" t="n"/>
      <c r="J133" s="166" t="n"/>
      <c r="K133" s="166" t="n"/>
      <c r="L133" s="166" t="n"/>
    </row>
    <row r="134" ht="17.45" customHeight="1" s="2">
      <c r="A134" s="166" t="n"/>
      <c r="B134" s="166" t="n"/>
      <c r="C134" s="166" t="n"/>
      <c r="D134" s="166" t="n"/>
      <c r="E134" s="202" t="inlineStr">
        <is>
          <t>Vygantas(Stocking)</t>
        </is>
      </c>
      <c r="F134" s="202" t="inlineStr">
        <is>
          <t>cxld</t>
        </is>
      </c>
      <c r="G134" s="202" t="n">
        <v>0</v>
      </c>
      <c r="H134" s="166" t="n"/>
      <c r="I134" s="166" t="n"/>
      <c r="J134" s="166" t="n"/>
      <c r="K134" s="166" t="n"/>
      <c r="L134" s="166" t="n"/>
    </row>
    <row r="135" ht="17.45" customHeight="1" s="2">
      <c r="A135" s="166" t="n"/>
      <c r="B135" s="166" t="n"/>
      <c r="C135" s="166" t="n"/>
      <c r="D135" s="166" t="n"/>
      <c r="E135" s="202" t="inlineStr">
        <is>
          <t>Keshav(PizzaT-T2)</t>
        </is>
      </c>
      <c r="F135" s="166" t="n"/>
      <c r="G135" s="202" t="n">
        <v>14</v>
      </c>
      <c r="H135" s="166" t="n"/>
      <c r="I135" s="166" t="n"/>
      <c r="J135" s="166" t="n"/>
      <c r="K135" s="166" t="n"/>
      <c r="L135" s="166" t="n"/>
    </row>
    <row r="136" ht="17.45" customHeight="1" s="2">
      <c r="A136" s="166" t="n"/>
      <c r="B136" s="166" t="n"/>
      <c r="C136" s="166" t="n"/>
      <c r="D136" s="166" t="n"/>
      <c r="E136" s="202" t="inlineStr">
        <is>
          <t>Keshav(Rolling T2</t>
        </is>
      </c>
      <c r="F136" s="166" t="n"/>
      <c r="G136" s="202" t="n">
        <v>5</v>
      </c>
      <c r="H136" s="166" t="n"/>
      <c r="I136" s="166" t="n"/>
      <c r="J136" s="166" t="n"/>
      <c r="K136" s="166" t="n"/>
      <c r="L136" s="166" t="n"/>
    </row>
    <row r="137" ht="15" customHeight="1" s="2">
      <c r="A137" s="166" t="n"/>
      <c r="B137" s="166" t="n"/>
      <c r="C137" s="166" t="n"/>
      <c r="D137" s="166" t="n"/>
      <c r="E137" s="166" t="n"/>
      <c r="F137" s="166" t="n"/>
      <c r="G137" s="166" t="n"/>
      <c r="H137" s="166" t="n"/>
      <c r="I137" s="166" t="n"/>
      <c r="J137" s="166" t="n"/>
      <c r="K137" s="166" t="n"/>
      <c r="L137" s="166" t="n"/>
    </row>
    <row r="138" ht="15" customHeight="1" s="2">
      <c r="A138" s="166" t="n"/>
      <c r="B138" s="166" t="n"/>
      <c r="C138" s="166" t="n"/>
      <c r="D138" s="166" t="n"/>
      <c r="E138" s="166" t="n"/>
      <c r="F138" s="166" t="n"/>
      <c r="G138" s="166" t="n"/>
      <c r="H138" s="166" t="n"/>
      <c r="I138" s="166" t="n"/>
      <c r="J138" s="166" t="n"/>
      <c r="K138" s="166" t="n"/>
      <c r="L138" s="166" t="n"/>
    </row>
    <row r="139" ht="18" customHeight="1" s="2" thickBot="1">
      <c r="A139" s="173" t="n"/>
      <c r="B139" s="174" t="n">
        <v>42478</v>
      </c>
      <c r="C139" s="173" t="n"/>
      <c r="D139" s="174" t="n">
        <v>42842</v>
      </c>
      <c r="E139" s="174" t="n">
        <v>42850</v>
      </c>
      <c r="F139" s="173" t="n"/>
      <c r="G139" s="174" t="n">
        <v>42849</v>
      </c>
      <c r="H139" s="207" t="n"/>
      <c r="I139" s="173" t="n"/>
      <c r="J139" s="174" t="n"/>
      <c r="K139" s="166" t="n"/>
      <c r="L139" s="166" t="n"/>
    </row>
    <row r="140" ht="17.85" customHeight="1" s="2" thickBot="1">
      <c r="A140" s="176" t="n"/>
      <c r="B140" s="177" t="inlineStr">
        <is>
          <t>Last Year</t>
        </is>
      </c>
      <c r="C140" s="178" t="inlineStr">
        <is>
          <t>Projected</t>
        </is>
      </c>
      <c r="D140" s="179" t="inlineStr">
        <is>
          <t>Actual</t>
        </is>
      </c>
      <c r="E140" s="177" t="inlineStr">
        <is>
          <t>Last Year</t>
        </is>
      </c>
      <c r="F140" s="178" t="inlineStr">
        <is>
          <t>Projected</t>
        </is>
      </c>
      <c r="G140" s="179" t="inlineStr">
        <is>
          <t>Actual</t>
        </is>
      </c>
      <c r="H140" s="177" t="inlineStr">
        <is>
          <t>Last Year</t>
        </is>
      </c>
      <c r="I140" s="178" t="inlineStr">
        <is>
          <t>Projected</t>
        </is>
      </c>
      <c r="J140" s="179" t="inlineStr">
        <is>
          <t>Actual</t>
        </is>
      </c>
      <c r="K140" s="180" t="n"/>
      <c r="L140" s="166" t="n"/>
    </row>
    <row r="141" ht="18" customHeight="1" s="2">
      <c r="A141" s="181" t="inlineStr">
        <is>
          <t>GROSS TOTAL</t>
        </is>
      </c>
      <c r="B141" s="185" t="n">
        <v>175373</v>
      </c>
      <c r="C141" s="183" t="n">
        <v>221206</v>
      </c>
      <c r="D141" s="184" t="n">
        <v>240219.76</v>
      </c>
      <c r="E141" s="185" t="n">
        <v>204663</v>
      </c>
      <c r="F141" s="183" t="n">
        <v>221206</v>
      </c>
      <c r="G141" s="184" t="n"/>
      <c r="H141" s="185" t="n">
        <v>204663</v>
      </c>
      <c r="I141" s="183" t="n">
        <v>184932</v>
      </c>
      <c r="J141" s="185" t="n">
        <v>178334.9</v>
      </c>
      <c r="K141" s="186" t="n"/>
      <c r="L141" s="166" t="n"/>
    </row>
    <row r="142" ht="17.45" customHeight="1" s="2">
      <c r="A142" s="187" t="inlineStr">
        <is>
          <t>NETT  TOTAL</t>
        </is>
      </c>
      <c r="B142" s="22">
        <f>B141/1.1</f>
        <v/>
      </c>
      <c r="C142" s="9">
        <f>C141/1.1</f>
        <v/>
      </c>
      <c r="D142" s="10">
        <f>D141/1.1</f>
        <v/>
      </c>
      <c r="E142" s="22">
        <f>E141/1.1</f>
        <v/>
      </c>
      <c r="F142" s="9">
        <f>F141/1.1</f>
        <v/>
      </c>
      <c r="G142" s="10">
        <f>G141/1.1</f>
        <v/>
      </c>
      <c r="H142" s="22">
        <f>H141/1.1</f>
        <v/>
      </c>
      <c r="I142" s="9">
        <f>I141/1.1</f>
        <v/>
      </c>
      <c r="J142" s="22">
        <f>J141/1.1</f>
        <v/>
      </c>
      <c r="K142" s="186" t="n"/>
      <c r="L142" s="166" t="n"/>
    </row>
    <row r="143" ht="17.45" customHeight="1" s="2">
      <c r="A143" s="191" t="inlineStr">
        <is>
          <t>Customers</t>
        </is>
      </c>
      <c r="B143" s="218" t="n">
        <v>8625</v>
      </c>
      <c r="C143" s="189" t="n">
        <v>9705</v>
      </c>
      <c r="D143" s="10" t="n">
        <v>10778</v>
      </c>
      <c r="E143" s="10" t="n">
        <v>9466</v>
      </c>
      <c r="F143" s="189" t="n">
        <v>9705</v>
      </c>
      <c r="G143" s="10" t="n"/>
      <c r="H143" s="10" t="n">
        <v>9466</v>
      </c>
      <c r="I143" s="189" t="n">
        <v>8570</v>
      </c>
      <c r="J143" s="11" t="n">
        <v>8241</v>
      </c>
      <c r="K143" s="171" t="n"/>
      <c r="L143" s="166" t="n"/>
    </row>
    <row r="144" ht="17.45" customHeight="1" s="2">
      <c r="A144" s="188" t="inlineStr">
        <is>
          <t>Average Customer Spend</t>
        </is>
      </c>
      <c r="B144" s="22">
        <f>B141/B143</f>
        <v/>
      </c>
      <c r="C144" s="9">
        <f>C141/C143</f>
        <v/>
      </c>
      <c r="D144" s="10">
        <f>D141/D143</f>
        <v/>
      </c>
      <c r="E144" s="22">
        <f>E141/E143</f>
        <v/>
      </c>
      <c r="F144" s="9">
        <f>F141/F143</f>
        <v/>
      </c>
      <c r="G144" s="10">
        <f>G141/G143</f>
        <v/>
      </c>
      <c r="H144" s="22">
        <f>H141/H143</f>
        <v/>
      </c>
      <c r="I144" s="9">
        <f>I141/I143</f>
        <v/>
      </c>
      <c r="J144" s="11">
        <f>J141/J143</f>
        <v/>
      </c>
      <c r="K144" s="171" t="n"/>
      <c r="L144" s="166" t="n"/>
    </row>
    <row r="145" ht="17.45" customHeight="1" s="2">
      <c r="A145" s="191" t="inlineStr">
        <is>
          <t>Wage % to Gross total</t>
        </is>
      </c>
      <c r="B145" s="210">
        <f>(B148*B149)/B141</f>
        <v/>
      </c>
      <c r="C145" s="9">
        <f>(C148*C149)/C141</f>
        <v/>
      </c>
      <c r="D145" s="22">
        <f>(D148*D149)/D141</f>
        <v/>
      </c>
      <c r="E145" s="210">
        <f>(E148*E149)/E141</f>
        <v/>
      </c>
      <c r="F145" s="9">
        <f>(F148*F149)/F141</f>
        <v/>
      </c>
      <c r="G145" s="22">
        <f>(G148*G149)/G141</f>
        <v/>
      </c>
      <c r="H145" s="210">
        <f>(H148*H149)/H141</f>
        <v/>
      </c>
      <c r="I145" s="9">
        <f>(I148*I149)/I141</f>
        <v/>
      </c>
      <c r="J145" s="11">
        <f>(J148*J149)/J141</f>
        <v/>
      </c>
      <c r="K145" s="171" t="n"/>
      <c r="L145" s="166" t="n"/>
    </row>
    <row r="146" ht="17.45" customHeight="1" s="2">
      <c r="A146" s="191" t="inlineStr">
        <is>
          <t>Wage % to Nett Total</t>
        </is>
      </c>
      <c r="B146" s="210">
        <f>(B148*B149)/B142</f>
        <v/>
      </c>
      <c r="C146" s="9">
        <f>(C148*C149)/C142</f>
        <v/>
      </c>
      <c r="D146" s="22">
        <f>(D148*D149)/D142</f>
        <v/>
      </c>
      <c r="E146" s="210">
        <f>(E148*E149)/E142</f>
        <v/>
      </c>
      <c r="F146" s="9">
        <f>(F148*F149)/F142</f>
        <v/>
      </c>
      <c r="G146" s="22">
        <f>(G148*G149)/G142</f>
        <v/>
      </c>
      <c r="H146" s="210">
        <f>(H148*H149)/H142</f>
        <v/>
      </c>
      <c r="I146" s="9">
        <f>(I148*I149)/I142</f>
        <v/>
      </c>
      <c r="J146" s="11">
        <f>(J148*J149)/J142</f>
        <v/>
      </c>
      <c r="K146" s="171" t="n"/>
      <c r="L146" s="166" t="n"/>
    </row>
    <row r="147" ht="17.45" customHeight="1" s="2">
      <c r="A147" s="188" t="inlineStr">
        <is>
          <t>Productivity</t>
        </is>
      </c>
      <c r="B147" s="22">
        <f>B143/B149</f>
        <v/>
      </c>
      <c r="C147" s="9">
        <f>C143/C149</f>
        <v/>
      </c>
      <c r="D147" s="10">
        <f>D143/D149</f>
        <v/>
      </c>
      <c r="E147" s="22">
        <f>E143/E149</f>
        <v/>
      </c>
      <c r="F147" s="9">
        <f>F143/F149</f>
        <v/>
      </c>
      <c r="G147" s="10">
        <f>G143/G149</f>
        <v/>
      </c>
      <c r="H147" s="22">
        <f>H143/H149</f>
        <v/>
      </c>
      <c r="I147" s="9">
        <f>I143/I149</f>
        <v/>
      </c>
      <c r="J147" s="11">
        <f>J143/J149</f>
        <v/>
      </c>
      <c r="K147" s="171" t="n"/>
      <c r="L147" s="166" t="n"/>
    </row>
    <row r="148" ht="17.45" customHeight="1" s="2">
      <c r="A148" s="188" t="inlineStr">
        <is>
          <t>Average Hourly Rate</t>
        </is>
      </c>
      <c r="B148" s="10" t="n">
        <v>30.16</v>
      </c>
      <c r="C148" s="189" t="n">
        <v>45</v>
      </c>
      <c r="D148" s="10" t="n">
        <v>47.06</v>
      </c>
      <c r="E148" s="10" t="n">
        <v>34.3</v>
      </c>
      <c r="F148" s="189" t="n">
        <v>45</v>
      </c>
      <c r="G148" s="10" t="n"/>
      <c r="H148" s="10" t="n">
        <v>34.3</v>
      </c>
      <c r="I148" s="189" t="n">
        <v>33</v>
      </c>
      <c r="J148" s="11" t="n">
        <v>32.34</v>
      </c>
      <c r="K148" s="171" t="n"/>
      <c r="L148" s="166" t="n"/>
    </row>
    <row r="149" ht="17.45" customHeight="1" s="2">
      <c r="A149" s="188" t="inlineStr">
        <is>
          <t>Total hours for productivity</t>
        </is>
      </c>
      <c r="B149" s="10" t="n">
        <v>1627.25</v>
      </c>
      <c r="C149" s="189" t="n">
        <v>1849.5</v>
      </c>
      <c r="D149" s="10" t="n">
        <v>1809.75</v>
      </c>
      <c r="E149" s="10" t="n">
        <v>1828.75</v>
      </c>
      <c r="F149" s="189" t="n">
        <v>1849.5</v>
      </c>
      <c r="G149" s="10" t="n"/>
      <c r="H149" s="10" t="n">
        <v>1828.75</v>
      </c>
      <c r="I149" s="189" t="n">
        <v>1582</v>
      </c>
      <c r="J149" s="11" t="n">
        <v>1591.5</v>
      </c>
      <c r="K149" s="171" t="n"/>
      <c r="L149" s="166" t="n"/>
    </row>
    <row r="150" ht="17.45" customHeight="1" s="2">
      <c r="A150" s="188" t="inlineStr">
        <is>
          <t>Training Hours used</t>
        </is>
      </c>
      <c r="B150" s="10" t="n">
        <v>55</v>
      </c>
      <c r="C150" s="189" t="n"/>
      <c r="D150" s="10" t="n">
        <v>0</v>
      </c>
      <c r="E150" s="10" t="n">
        <v>21.25</v>
      </c>
      <c r="F150" s="189" t="n">
        <v>0</v>
      </c>
      <c r="G150" s="10" t="n"/>
      <c r="H150" s="10" t="n">
        <v>21.25</v>
      </c>
      <c r="I150" s="189" t="n"/>
      <c r="J150" s="22" t="n"/>
      <c r="K150" s="186" t="n"/>
      <c r="L150" s="166" t="n"/>
    </row>
    <row r="151" ht="18" customHeight="1" s="2" thickBot="1">
      <c r="A151" s="193" t="inlineStr">
        <is>
          <t>Number of hours used to cover sick leave</t>
        </is>
      </c>
      <c r="B151" s="25" t="n">
        <v>0</v>
      </c>
      <c r="C151" s="14" t="n"/>
      <c r="D151" s="29" t="n"/>
      <c r="E151" s="30" t="n">
        <v>16</v>
      </c>
      <c r="F151" s="194" t="n">
        <v>0</v>
      </c>
      <c r="G151" s="15" t="n"/>
      <c r="H151" s="15" t="n"/>
      <c r="I151" s="194" t="n">
        <v>0</v>
      </c>
      <c r="J151" s="29" t="n"/>
      <c r="K151" s="186" t="n"/>
      <c r="L151" s="166" t="n"/>
    </row>
    <row r="152" ht="15.6" customHeight="1" s="2">
      <c r="A152" s="195" t="inlineStr">
        <is>
          <t>Minimum HOURS</t>
        </is>
      </c>
      <c r="B152" s="196" t="inlineStr">
        <is>
          <t xml:space="preserve">Kitchen </t>
        </is>
      </c>
      <c r="C152" s="16" t="n"/>
      <c r="D152" s="17" t="n"/>
      <c r="E152" s="196" t="inlineStr">
        <is>
          <t xml:space="preserve">Kitchen </t>
        </is>
      </c>
      <c r="F152" s="16" t="n">
        <v>521</v>
      </c>
      <c r="G152" s="17" t="n"/>
      <c r="H152" s="196" t="inlineStr">
        <is>
          <t xml:space="preserve">Kitchen </t>
        </is>
      </c>
      <c r="I152" s="16" t="n">
        <v>701.5</v>
      </c>
      <c r="J152" s="17" t="n"/>
      <c r="K152" s="180" t="n"/>
      <c r="L152" s="166" t="n"/>
    </row>
    <row r="153" ht="15.6" customHeight="1" s="2" thickBot="1">
      <c r="A153" s="197" t="n"/>
      <c r="B153" s="198" t="inlineStr">
        <is>
          <t xml:space="preserve">Floor </t>
        </is>
      </c>
      <c r="C153" s="18" t="n">
        <v>836</v>
      </c>
      <c r="D153" s="26" t="n"/>
      <c r="E153" s="198" t="inlineStr">
        <is>
          <t xml:space="preserve">Floor </t>
        </is>
      </c>
      <c r="F153" s="18" t="n">
        <v>771</v>
      </c>
      <c r="G153" s="26" t="n"/>
      <c r="H153" s="198" t="inlineStr">
        <is>
          <t xml:space="preserve">Floor </t>
        </is>
      </c>
      <c r="I153" s="18" t="n">
        <v>711</v>
      </c>
      <c r="J153" s="26" t="n"/>
      <c r="K153" s="180" t="n"/>
      <c r="L153" s="166" t="n"/>
    </row>
    <row r="154" ht="15.95" customHeight="1" s="2" thickBot="1">
      <c r="A154" s="197" t="n"/>
      <c r="B154" s="199" t="inlineStr">
        <is>
          <t>TOTAL</t>
        </is>
      </c>
      <c r="C154" s="42">
        <f>SUM(C152:C153)</f>
        <v/>
      </c>
      <c r="D154" s="200" t="n"/>
      <c r="E154" s="199" t="inlineStr">
        <is>
          <t>TOTAL</t>
        </is>
      </c>
      <c r="F154" s="42">
        <f>SUM(F152:F153)</f>
        <v/>
      </c>
      <c r="G154" s="200" t="n"/>
      <c r="H154" s="199" t="inlineStr">
        <is>
          <t>TOTAL</t>
        </is>
      </c>
      <c r="I154" s="42">
        <f>SUM(I152:I153)</f>
        <v/>
      </c>
      <c r="J154" s="200" t="n"/>
      <c r="K154" s="180" t="n"/>
      <c r="L154" s="166" t="n"/>
    </row>
    <row r="155" ht="15.6" customHeight="1" s="2">
      <c r="A155" s="166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166" t="n"/>
      <c r="L155" s="166" t="n"/>
    </row>
    <row r="156" ht="15" customHeight="1" s="2">
      <c r="A156" s="166" t="n"/>
      <c r="B156" s="166" t="n"/>
      <c r="C156" s="166" t="n"/>
      <c r="D156" s="166" t="n"/>
      <c r="E156" s="166" t="n"/>
      <c r="F156" s="166" t="n"/>
      <c r="G156" s="166" t="n"/>
      <c r="H156" s="166" t="n"/>
      <c r="I156" s="166" t="n"/>
      <c r="J156" s="166" t="n"/>
      <c r="K156" s="166" t="n"/>
      <c r="L156" s="166" t="n"/>
    </row>
    <row r="157" ht="15" customHeight="1" s="2">
      <c r="A157" s="166" t="n"/>
      <c r="B157" s="166" t="n"/>
      <c r="C157" s="166" t="n"/>
      <c r="D157" s="166" t="n"/>
      <c r="E157" s="166" t="n"/>
      <c r="F157" s="166" t="n"/>
      <c r="G157" s="166" t="n"/>
      <c r="H157" s="166" t="n"/>
      <c r="I157" s="166" t="n"/>
      <c r="J157" s="166" t="n"/>
      <c r="K157" s="166" t="n"/>
      <c r="L157" s="166" t="n"/>
    </row>
    <row r="158" ht="15" customHeight="1" s="2">
      <c r="A158" s="166" t="n"/>
      <c r="B158" s="166" t="n"/>
      <c r="C158" s="166" t="n"/>
      <c r="D158" s="166" t="n"/>
      <c r="E158" s="166" t="n"/>
      <c r="F158" s="166" t="n"/>
      <c r="G158" s="166" t="n"/>
      <c r="H158" s="166" t="n"/>
      <c r="I158" s="166" t="n"/>
      <c r="J158" s="166" t="n"/>
      <c r="K158" s="166" t="n"/>
      <c r="L158" s="166" t="n"/>
    </row>
    <row r="159" ht="15" customHeight="1" s="2">
      <c r="A159" s="166" t="n"/>
      <c r="B159" s="166" t="n"/>
      <c r="C159" s="166" t="n"/>
      <c r="D159" s="166" t="n"/>
      <c r="E159" s="166" t="n"/>
      <c r="F159" s="166" t="n"/>
      <c r="G159" s="166" t="n"/>
      <c r="H159" s="166" t="n"/>
      <c r="I159" s="166" t="n"/>
      <c r="J159" s="166" t="n"/>
      <c r="K159" s="166" t="n"/>
      <c r="L159" s="166" t="n"/>
    </row>
    <row r="160" ht="15" customHeight="1" s="2">
      <c r="A160" s="166" t="n"/>
      <c r="B160" s="166" t="n"/>
      <c r="C160" s="166" t="n"/>
      <c r="D160" s="166" t="n"/>
      <c r="E160" s="166" t="n"/>
      <c r="F160" s="166" t="n"/>
      <c r="G160" s="166" t="n"/>
      <c r="H160" s="166" t="n"/>
      <c r="I160" s="166" t="n"/>
      <c r="J160" s="166" t="n"/>
      <c r="K160" s="166" t="n"/>
      <c r="L160" s="166" t="n"/>
    </row>
    <row r="161" ht="15" customHeight="1" s="2">
      <c r="A161" s="166" t="n"/>
      <c r="B161" s="166" t="n"/>
      <c r="C161" s="166" t="n"/>
      <c r="D161" s="166" t="n"/>
      <c r="E161" s="166" t="n"/>
      <c r="F161" s="166" t="n"/>
      <c r="G161" s="166" t="n"/>
      <c r="H161" s="166" t="n"/>
      <c r="I161" s="166" t="n"/>
      <c r="J161" s="166" t="n"/>
      <c r="K161" s="166" t="n"/>
      <c r="L161" s="166" t="n"/>
    </row>
    <row r="162" ht="15" customHeight="1" s="2">
      <c r="A162" s="166" t="n"/>
      <c r="B162" s="166" t="n"/>
      <c r="C162" s="166" t="n"/>
      <c r="D162" s="166" t="n"/>
      <c r="E162" s="166" t="n"/>
      <c r="F162" s="166" t="n"/>
      <c r="G162" s="166" t="n"/>
      <c r="H162" s="166" t="n"/>
      <c r="I162" s="166" t="n"/>
      <c r="J162" s="166" t="n"/>
      <c r="K162" s="166" t="n"/>
      <c r="L162" s="166" t="n"/>
    </row>
    <row r="163" ht="15" customHeight="1" s="2">
      <c r="A163" s="166" t="n"/>
      <c r="B163" s="166" t="n"/>
      <c r="C163" s="166" t="n"/>
      <c r="D163" s="166" t="n"/>
      <c r="E163" s="166" t="n"/>
      <c r="F163" s="166" t="n"/>
      <c r="G163" s="166" t="n"/>
      <c r="H163" s="166" t="n"/>
      <c r="I163" s="166" t="n"/>
      <c r="J163" s="166" t="n"/>
      <c r="K163" s="166" t="n"/>
      <c r="L163" s="166" t="n"/>
    </row>
    <row r="164" ht="15" customHeight="1" s="2">
      <c r="A164" s="166" t="n"/>
      <c r="B164" s="166" t="n"/>
      <c r="C164" s="166" t="n"/>
      <c r="D164" s="166" t="n"/>
      <c r="E164" s="166" t="n"/>
      <c r="F164" s="166" t="n"/>
      <c r="G164" s="166" t="n"/>
      <c r="H164" s="166" t="n"/>
      <c r="I164" s="166" t="n"/>
      <c r="J164" s="166" t="n"/>
      <c r="K164" s="166" t="n"/>
      <c r="L164" s="166" t="n"/>
    </row>
    <row r="165" ht="18" customHeight="1" s="2" thickBot="1">
      <c r="A165" s="173" t="n"/>
      <c r="B165" s="174" t="n">
        <v>42128</v>
      </c>
      <c r="C165" s="173" t="n"/>
      <c r="D165" s="174" t="n">
        <v>42856</v>
      </c>
      <c r="E165" s="174" t="n"/>
      <c r="F165" s="173" t="n"/>
      <c r="G165" s="174" t="n">
        <v>42863</v>
      </c>
      <c r="H165" s="207" t="n">
        <v>42506</v>
      </c>
      <c r="I165" s="173" t="n"/>
      <c r="J165" s="174" t="n">
        <v>42870</v>
      </c>
      <c r="K165" s="166" t="n"/>
      <c r="L165" s="166" t="n"/>
    </row>
    <row r="166" ht="17.85" customHeight="1" s="2" thickBot="1">
      <c r="A166" s="176" t="n"/>
      <c r="B166" s="177" t="inlineStr">
        <is>
          <t>Last Year</t>
        </is>
      </c>
      <c r="C166" s="178" t="inlineStr">
        <is>
          <t>Projected</t>
        </is>
      </c>
      <c r="D166" s="179" t="inlineStr">
        <is>
          <t>Actual</t>
        </is>
      </c>
      <c r="E166" s="177" t="inlineStr">
        <is>
          <t>Last Year</t>
        </is>
      </c>
      <c r="F166" s="178" t="inlineStr">
        <is>
          <t>Projected</t>
        </is>
      </c>
      <c r="G166" s="179" t="inlineStr">
        <is>
          <t>Actual</t>
        </is>
      </c>
      <c r="H166" s="177" t="inlineStr">
        <is>
          <t>Last Year</t>
        </is>
      </c>
      <c r="I166" s="178" t="inlineStr">
        <is>
          <t>Projected</t>
        </is>
      </c>
      <c r="J166" s="179" t="inlineStr">
        <is>
          <t>Actual</t>
        </is>
      </c>
      <c r="K166" s="180" t="n"/>
      <c r="L166" s="166" t="n"/>
    </row>
    <row r="167" ht="18" customHeight="1" s="2">
      <c r="A167" s="181" t="inlineStr">
        <is>
          <t>GROSS TOTAL</t>
        </is>
      </c>
      <c r="B167" s="185" t="n">
        <v>156283.97</v>
      </c>
      <c r="C167" s="183" t="n">
        <v>186056</v>
      </c>
      <c r="D167" s="184" t="n">
        <v>163293.52</v>
      </c>
      <c r="E167" s="185" t="n">
        <v>157506</v>
      </c>
      <c r="F167" s="183" t="n">
        <v>157976</v>
      </c>
      <c r="G167" s="184" t="n">
        <v>153539.05</v>
      </c>
      <c r="H167" s="185" t="n">
        <v>148319</v>
      </c>
      <c r="I167" s="183" t="n">
        <v>157987</v>
      </c>
      <c r="J167" s="185" t="n">
        <v>141398</v>
      </c>
      <c r="K167" s="186" t="n"/>
      <c r="L167" s="166" t="n"/>
    </row>
    <row r="168" ht="17.45" customHeight="1" s="2">
      <c r="A168" s="187" t="inlineStr">
        <is>
          <t>NETT  TOTAL</t>
        </is>
      </c>
      <c r="B168" s="22">
        <f>B167/1.1</f>
        <v/>
      </c>
      <c r="C168" s="9">
        <f>C167/1.1</f>
        <v/>
      </c>
      <c r="D168" s="10">
        <f>D167/1.1</f>
        <v/>
      </c>
      <c r="E168" s="22">
        <f>E167/1.1</f>
        <v/>
      </c>
      <c r="F168" s="9">
        <f>F167/1.1</f>
        <v/>
      </c>
      <c r="G168" s="10">
        <f>G167/1.1</f>
        <v/>
      </c>
      <c r="H168" s="22">
        <f>H167/1.1</f>
        <v/>
      </c>
      <c r="I168" s="9">
        <f>I167/1.1</f>
        <v/>
      </c>
      <c r="J168" s="22">
        <f>J167/1.1</f>
        <v/>
      </c>
      <c r="K168" s="186" t="n"/>
      <c r="L168" s="166" t="n"/>
    </row>
    <row r="169" ht="17.45" customHeight="1" s="2">
      <c r="A169" s="188" t="inlineStr">
        <is>
          <t>Customers</t>
        </is>
      </c>
      <c r="B169" s="10" t="n">
        <v>7226</v>
      </c>
      <c r="C169" s="189" t="n">
        <v>8465</v>
      </c>
      <c r="D169" s="22" t="n">
        <v>7494</v>
      </c>
      <c r="E169" s="218" t="n">
        <v>7396</v>
      </c>
      <c r="F169" s="189" t="n">
        <v>7335</v>
      </c>
      <c r="G169" s="22" t="n">
        <v>7439</v>
      </c>
      <c r="H169" s="218" t="n">
        <v>6947</v>
      </c>
      <c r="I169" s="189" t="n">
        <v>7380</v>
      </c>
      <c r="J169" s="11" t="n">
        <v>6788</v>
      </c>
      <c r="K169" s="171" t="n"/>
      <c r="L169" s="166" t="n"/>
    </row>
    <row r="170" ht="17.45" customHeight="1" s="2">
      <c r="A170" s="188" t="inlineStr">
        <is>
          <t>Average Customer Spend</t>
        </is>
      </c>
      <c r="B170" s="22">
        <f>B167/B169</f>
        <v/>
      </c>
      <c r="C170" s="9">
        <f>C167/C169</f>
        <v/>
      </c>
      <c r="D170" s="10">
        <f>D167/D169</f>
        <v/>
      </c>
      <c r="E170" s="22">
        <f>E167/E169</f>
        <v/>
      </c>
      <c r="F170" s="9">
        <f>F167/F169</f>
        <v/>
      </c>
      <c r="G170" s="10">
        <f>G167/G169</f>
        <v/>
      </c>
      <c r="H170" s="22">
        <f>H167/H169</f>
        <v/>
      </c>
      <c r="I170" s="9">
        <f>I167/I169</f>
        <v/>
      </c>
      <c r="J170" s="11">
        <f>J167/J169</f>
        <v/>
      </c>
      <c r="K170" s="171" t="n"/>
      <c r="L170" s="166" t="n"/>
    </row>
    <row r="171" ht="17.45" customHeight="1" s="2">
      <c r="A171" s="191" t="inlineStr">
        <is>
          <t>Wage % to Gross total</t>
        </is>
      </c>
      <c r="B171" s="210">
        <f>(B174*B175)/B167</f>
        <v/>
      </c>
      <c r="C171" s="9">
        <f>(C174*C175)/C167</f>
        <v/>
      </c>
      <c r="D171" s="22">
        <f>(D174*D175)/D167</f>
        <v/>
      </c>
      <c r="E171" s="210">
        <f>(E174*E175)/E167</f>
        <v/>
      </c>
      <c r="F171" s="9">
        <f>(F174*F175)/F167</f>
        <v/>
      </c>
      <c r="G171" s="22">
        <f>(G174*G175)/G167</f>
        <v/>
      </c>
      <c r="H171" s="210">
        <f>(H174*H175)/H167</f>
        <v/>
      </c>
      <c r="I171" s="9">
        <f>(I174*I175)/I167</f>
        <v/>
      </c>
      <c r="J171" s="11">
        <f>(J174*J175)/J167</f>
        <v/>
      </c>
      <c r="K171" s="171" t="n"/>
      <c r="L171" s="166" t="n"/>
    </row>
    <row r="172" ht="17.45" customHeight="1" s="2">
      <c r="A172" s="191" t="inlineStr">
        <is>
          <t>Wage % to Nett Total</t>
        </is>
      </c>
      <c r="B172" s="210">
        <f>(B174*B175)/B168</f>
        <v/>
      </c>
      <c r="C172" s="9">
        <f>(C174*C175)/C168</f>
        <v/>
      </c>
      <c r="D172" s="22">
        <f>(D174*D175)/D168</f>
        <v/>
      </c>
      <c r="E172" s="210">
        <f>(E174*E175)/E168</f>
        <v/>
      </c>
      <c r="F172" s="9">
        <f>(F174*F175)/F168</f>
        <v/>
      </c>
      <c r="G172" s="22">
        <f>(G174*G175)/G168</f>
        <v/>
      </c>
      <c r="H172" s="210">
        <f>(H174*H175)/H168</f>
        <v/>
      </c>
      <c r="I172" s="9">
        <f>(I174*I175)/I168</f>
        <v/>
      </c>
      <c r="J172" s="11">
        <f>(J174*J175)/J168</f>
        <v/>
      </c>
      <c r="K172" s="171" t="n"/>
      <c r="L172" s="166" t="n"/>
    </row>
    <row r="173" ht="17.45" customHeight="1" s="2">
      <c r="A173" s="188" t="inlineStr">
        <is>
          <t>Productivity</t>
        </is>
      </c>
      <c r="B173" s="22">
        <f>B169/B175</f>
        <v/>
      </c>
      <c r="C173" s="9">
        <f>C169/C175</f>
        <v/>
      </c>
      <c r="D173" s="10">
        <f>D169/D175</f>
        <v/>
      </c>
      <c r="E173" s="22">
        <f>E169/E175</f>
        <v/>
      </c>
      <c r="F173" s="9">
        <f>F169/F175</f>
        <v/>
      </c>
      <c r="G173" s="10">
        <f>G169/G175</f>
        <v/>
      </c>
      <c r="H173" s="22">
        <f>H169/H175</f>
        <v/>
      </c>
      <c r="I173" s="9">
        <f>I169/I175</f>
        <v/>
      </c>
      <c r="J173" s="11">
        <f>J169/J175</f>
        <v/>
      </c>
      <c r="K173" s="171" t="n"/>
      <c r="L173" s="166" t="n"/>
    </row>
    <row r="174" ht="17.45" customHeight="1" s="2">
      <c r="A174" s="188" t="inlineStr">
        <is>
          <t>Average Hourly Rate</t>
        </is>
      </c>
      <c r="B174" s="10" t="n">
        <v>30.4</v>
      </c>
      <c r="C174" s="189" t="n">
        <v>33</v>
      </c>
      <c r="D174" s="10" t="n">
        <v>36.91</v>
      </c>
      <c r="E174" s="10" t="n">
        <v>30.78</v>
      </c>
      <c r="F174" s="189" t="n">
        <v>31.5</v>
      </c>
      <c r="G174" s="10" t="n">
        <v>32.31</v>
      </c>
      <c r="H174" s="10" t="n">
        <v>30.58</v>
      </c>
      <c r="I174" s="189" t="n">
        <v>31.5</v>
      </c>
      <c r="J174" s="11" t="n">
        <v>32.47</v>
      </c>
      <c r="K174" s="171" t="n"/>
      <c r="L174" s="166" t="n"/>
    </row>
    <row r="175" ht="17.45" customHeight="1" s="2">
      <c r="A175" s="188" t="inlineStr">
        <is>
          <t>Total hours for productivity</t>
        </is>
      </c>
      <c r="B175" s="10" t="n">
        <v>1461</v>
      </c>
      <c r="C175" s="189" t="n">
        <v>1646.5</v>
      </c>
      <c r="D175" s="10" t="n">
        <v>1611.25</v>
      </c>
      <c r="E175" s="10" t="n">
        <v>1511.75</v>
      </c>
      <c r="F175" s="189" t="n">
        <v>1506.5</v>
      </c>
      <c r="G175" s="10" t="n">
        <v>1461.5</v>
      </c>
      <c r="H175" s="10" t="n">
        <v>1531</v>
      </c>
      <c r="I175" s="189" t="n">
        <v>1476.5</v>
      </c>
      <c r="J175" s="11" t="n">
        <v>1393</v>
      </c>
      <c r="K175" s="171" t="n"/>
      <c r="L175" s="166" t="n"/>
    </row>
    <row r="176" ht="17.45" customHeight="1" s="2">
      <c r="A176" s="188" t="inlineStr">
        <is>
          <t>Training Hours used</t>
        </is>
      </c>
      <c r="B176" s="10" t="n">
        <v>30.5</v>
      </c>
      <c r="C176" s="189" t="n"/>
      <c r="D176" s="10" t="n">
        <v>0</v>
      </c>
      <c r="E176" s="10" t="n">
        <v>68</v>
      </c>
      <c r="F176" s="189" t="n">
        <v>40</v>
      </c>
      <c r="G176" s="10" t="n">
        <v>96</v>
      </c>
      <c r="H176" s="10" t="n">
        <v>120</v>
      </c>
      <c r="I176" s="189" t="n"/>
      <c r="J176" s="22" t="n">
        <v>73</v>
      </c>
      <c r="K176" s="186" t="n"/>
      <c r="L176" s="166" t="n"/>
    </row>
    <row r="177" ht="18" customHeight="1" s="2" thickBot="1">
      <c r="A177" s="193" t="inlineStr">
        <is>
          <t>Number of hours used to cover sick leave</t>
        </is>
      </c>
      <c r="B177" s="13" t="n">
        <v>0</v>
      </c>
      <c r="C177" s="14" t="n"/>
      <c r="D177" s="29" t="n">
        <v>118</v>
      </c>
      <c r="E177" s="30" t="n"/>
      <c r="F177" s="194" t="n">
        <v>0</v>
      </c>
      <c r="G177" s="15" t="n"/>
      <c r="H177" s="15" t="n"/>
      <c r="I177" s="194" t="n">
        <v>0</v>
      </c>
      <c r="J177" s="29" t="n">
        <v>40</v>
      </c>
      <c r="K177" s="186" t="n"/>
      <c r="L177" s="166" t="n"/>
    </row>
    <row r="178" ht="15.95" customHeight="1" s="2" thickBot="1">
      <c r="A178" s="195" t="inlineStr">
        <is>
          <t>Minimum HOURS</t>
        </is>
      </c>
      <c r="B178" s="196" t="inlineStr">
        <is>
          <t xml:space="preserve">Kitchen </t>
        </is>
      </c>
      <c r="C178" s="16" t="n"/>
      <c r="D178" s="31" t="n">
        <v>611</v>
      </c>
      <c r="E178" s="196" t="inlineStr">
        <is>
          <t xml:space="preserve">Kitchen </t>
        </is>
      </c>
      <c r="F178" s="16" t="n"/>
      <c r="G178" s="17" t="n">
        <v>613.5</v>
      </c>
      <c r="H178" s="196" t="inlineStr">
        <is>
          <t xml:space="preserve">Kitchen </t>
        </is>
      </c>
      <c r="I178" s="16" t="n"/>
      <c r="J178" s="31" t="n">
        <v>591</v>
      </c>
      <c r="K178" s="180" t="n"/>
      <c r="L178" s="166" t="n"/>
    </row>
    <row r="179" ht="15.95" customHeight="1" s="2" thickBot="1">
      <c r="A179" s="197" t="n"/>
      <c r="B179" s="198" t="inlineStr">
        <is>
          <t xml:space="preserve">Floor </t>
        </is>
      </c>
      <c r="C179" s="18" t="n"/>
      <c r="D179" s="31" t="n">
        <v>930</v>
      </c>
      <c r="E179" s="198" t="inlineStr">
        <is>
          <t xml:space="preserve">Floor </t>
        </is>
      </c>
      <c r="F179" s="18" t="n"/>
      <c r="G179" s="26" t="n">
        <v>701</v>
      </c>
      <c r="H179" s="198" t="inlineStr">
        <is>
          <t xml:space="preserve">Floor </t>
        </is>
      </c>
      <c r="I179" s="18" t="n"/>
      <c r="J179" s="31" t="n">
        <v>681</v>
      </c>
      <c r="K179" s="180" t="n"/>
      <c r="L179" s="166" t="n"/>
    </row>
    <row r="180" ht="15.95" customHeight="1" s="2" thickBot="1">
      <c r="A180" s="197" t="n"/>
      <c r="B180" s="199" t="inlineStr">
        <is>
          <t>TOTAL</t>
        </is>
      </c>
      <c r="C180" s="42">
        <f>SUM(C178:C179)</f>
        <v/>
      </c>
      <c r="D180" s="42">
        <f>SUM(D178:D179)</f>
        <v/>
      </c>
      <c r="E180" s="199" t="inlineStr">
        <is>
          <t>TOTAL</t>
        </is>
      </c>
      <c r="F180" s="42">
        <f>SUM(F178:F179)</f>
        <v/>
      </c>
      <c r="G180" s="42">
        <f>SUM(G178:G179)</f>
        <v/>
      </c>
      <c r="H180" s="199" t="inlineStr">
        <is>
          <t>TOTAL</t>
        </is>
      </c>
      <c r="I180" s="42">
        <f>SUM(I178:I179)</f>
        <v/>
      </c>
      <c r="J180" s="42">
        <f>SUM(J178:J179)</f>
        <v/>
      </c>
      <c r="K180" s="180" t="n"/>
      <c r="L180" s="166" t="n"/>
    </row>
    <row r="181" ht="15.6" customHeight="1" s="2">
      <c r="A181" s="166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166" t="n"/>
      <c r="L181" s="166" t="n"/>
    </row>
    <row r="182" ht="17.45" customHeight="1" s="2">
      <c r="A182" s="166" t="n"/>
      <c r="B182" s="166" t="n"/>
      <c r="C182" s="166" t="n"/>
      <c r="D182" s="166" t="n"/>
      <c r="E182" s="202" t="inlineStr">
        <is>
          <t>Verhoven (supT1-T5)</t>
        </is>
      </c>
      <c r="F182" s="166" t="n"/>
      <c r="G182" s="202" t="n">
        <v>40</v>
      </c>
      <c r="H182" s="202" t="inlineStr">
        <is>
          <t>Verhoven (Dummy Run)</t>
        </is>
      </c>
      <c r="I182" s="166" t="n"/>
      <c r="J182" s="202" t="n">
        <v>40</v>
      </c>
      <c r="K182" s="166" t="n"/>
      <c r="L182" s="166" t="n"/>
    </row>
    <row r="183" ht="17.45" customHeight="1" s="2">
      <c r="A183" s="166" t="n"/>
      <c r="B183" s="166" t="n"/>
      <c r="C183" s="166" t="n"/>
      <c r="D183" s="166" t="n"/>
      <c r="E183" s="202" t="inlineStr">
        <is>
          <t>Prabesh crepes T3</t>
        </is>
      </c>
      <c r="F183" s="166" t="n"/>
      <c r="G183" s="202" t="n">
        <v>6</v>
      </c>
      <c r="H183" s="202" t="inlineStr">
        <is>
          <t>Sahil(Topping-T1- T3)</t>
        </is>
      </c>
      <c r="I183" s="166" t="n"/>
      <c r="J183" s="202" t="n">
        <v>14</v>
      </c>
      <c r="K183" s="166" t="n"/>
      <c r="L183" s="166" t="n"/>
    </row>
    <row r="184" ht="17.45" customHeight="1" s="2">
      <c r="A184" s="166" t="n"/>
      <c r="B184" s="166" t="n"/>
      <c r="C184" s="166" t="n"/>
      <c r="D184" s="166" t="n"/>
      <c r="E184" s="202" t="inlineStr">
        <is>
          <t>Subin pizza T1-T3</t>
        </is>
      </c>
      <c r="F184" s="166" t="n"/>
      <c r="G184" s="202" t="n">
        <v>15</v>
      </c>
      <c r="H184" s="202" t="inlineStr">
        <is>
          <t>Keshav(Grill T1-T3)</t>
        </is>
      </c>
      <c r="I184" s="166" t="n"/>
      <c r="J184" s="202" t="n">
        <v>14</v>
      </c>
      <c r="K184" s="166" t="n"/>
      <c r="L184" s="166" t="n"/>
    </row>
    <row r="185" ht="17.45" customHeight="1" s="2">
      <c r="A185" s="166" t="n"/>
      <c r="B185" s="166" t="n"/>
      <c r="C185" s="166" t="n"/>
      <c r="D185" s="166" t="n"/>
      <c r="E185" s="202" t="inlineStr">
        <is>
          <t>Devnidhi Grill T1-T4</t>
        </is>
      </c>
      <c r="F185" s="166" t="n"/>
      <c r="G185" s="202" t="n">
        <v>20</v>
      </c>
      <c r="H185" s="202" t="inlineStr">
        <is>
          <t>Ashiquil (topping T1</t>
        </is>
      </c>
      <c r="I185" s="166" t="n"/>
      <c r="J185" s="202" t="n">
        <v>5</v>
      </c>
      <c r="K185" s="166" t="n"/>
      <c r="L185" s="166" t="n"/>
    </row>
    <row r="186" ht="17.45" customHeight="1" s="2">
      <c r="A186" s="166" t="n"/>
      <c r="B186" s="166" t="n"/>
      <c r="C186" s="166" t="n"/>
      <c r="D186" s="166" t="n"/>
      <c r="E186" s="202" t="inlineStr">
        <is>
          <t>Ligitas Grill T3-T5</t>
        </is>
      </c>
      <c r="F186" s="166" t="n"/>
      <c r="G186" s="202" t="n">
        <v>15</v>
      </c>
      <c r="H186" s="166" t="n"/>
      <c r="I186" s="166" t="n"/>
      <c r="J186" s="166" t="n"/>
      <c r="K186" s="166" t="n"/>
      <c r="L186" s="166" t="n"/>
    </row>
    <row r="187" ht="15" customHeight="1" s="2">
      <c r="A187" s="166" t="n"/>
      <c r="B187" s="166" t="n"/>
      <c r="C187" s="166" t="n"/>
      <c r="D187" s="166" t="n"/>
      <c r="E187" s="166" t="n"/>
      <c r="F187" s="166" t="n"/>
      <c r="G187" s="166" t="n"/>
      <c r="H187" s="166" t="n"/>
      <c r="I187" s="166" t="n"/>
      <c r="J187" s="166" t="n"/>
      <c r="K187" s="166" t="n"/>
      <c r="L187" s="166" t="n"/>
    </row>
    <row r="188" ht="18" customHeight="1" s="2" thickBot="1">
      <c r="A188" s="173" t="n"/>
      <c r="B188" s="174" t="n">
        <v>42513</v>
      </c>
      <c r="C188" s="173" t="n"/>
      <c r="D188" s="174" t="n">
        <v>42877</v>
      </c>
      <c r="E188" s="174" t="n">
        <v>42520</v>
      </c>
      <c r="F188" s="173" t="n"/>
      <c r="G188" s="174" t="n">
        <v>42519</v>
      </c>
      <c r="H188" s="207" t="n">
        <v>42527</v>
      </c>
      <c r="I188" s="173" t="n"/>
      <c r="J188" s="174" t="n">
        <v>42891</v>
      </c>
      <c r="K188" s="166" t="n"/>
      <c r="L188" s="166" t="n"/>
    </row>
    <row r="189" ht="17.85" customHeight="1" s="2" thickBot="1">
      <c r="A189" s="176" t="n"/>
      <c r="B189" s="177" t="inlineStr">
        <is>
          <t>Last Year</t>
        </is>
      </c>
      <c r="C189" s="178" t="inlineStr">
        <is>
          <t>Projected</t>
        </is>
      </c>
      <c r="D189" s="179" t="inlineStr">
        <is>
          <t>Actual</t>
        </is>
      </c>
      <c r="E189" s="177" t="inlineStr">
        <is>
          <t>Last Year</t>
        </is>
      </c>
      <c r="F189" s="178" t="inlineStr">
        <is>
          <t>Projected</t>
        </is>
      </c>
      <c r="G189" s="179" t="inlineStr">
        <is>
          <t>Actual</t>
        </is>
      </c>
      <c r="H189" s="177" t="inlineStr">
        <is>
          <t>Last Year</t>
        </is>
      </c>
      <c r="I189" s="178" t="inlineStr">
        <is>
          <t>Projected</t>
        </is>
      </c>
      <c r="J189" s="219" t="inlineStr">
        <is>
          <t>Actual</t>
        </is>
      </c>
      <c r="K189" s="180" t="n"/>
      <c r="L189" s="166" t="n"/>
    </row>
    <row r="190" ht="18" customHeight="1" s="2">
      <c r="A190" s="181" t="inlineStr">
        <is>
          <t>GROSS TOTAL</t>
        </is>
      </c>
      <c r="B190" s="185" t="n">
        <v>143796</v>
      </c>
      <c r="C190" s="183" t="n">
        <v>141935</v>
      </c>
      <c r="D190" s="184" t="n">
        <v>132686.75</v>
      </c>
      <c r="E190" s="185" t="n">
        <v>187821</v>
      </c>
      <c r="F190" s="183" t="n">
        <v>189720</v>
      </c>
      <c r="G190" s="184" t="n">
        <v>178937.72</v>
      </c>
      <c r="H190" s="185" t="n">
        <v>175389.2</v>
      </c>
      <c r="I190" s="183" t="n">
        <v>228954</v>
      </c>
      <c r="J190" s="220" t="inlineStr">
        <is>
          <t>Actual</t>
        </is>
      </c>
      <c r="K190" s="180" t="n"/>
      <c r="L190" s="166" t="n"/>
    </row>
    <row r="191" ht="17.45" customHeight="1" s="2">
      <c r="A191" s="187" t="inlineStr">
        <is>
          <t>NETT  TOTAL</t>
        </is>
      </c>
      <c r="B191" s="22">
        <f>B190/1.1</f>
        <v/>
      </c>
      <c r="C191" s="9">
        <f>C190/1.1</f>
        <v/>
      </c>
      <c r="D191" s="10">
        <f>D190/1.1</f>
        <v/>
      </c>
      <c r="E191" s="22">
        <f>E190/1.1</f>
        <v/>
      </c>
      <c r="F191" s="9">
        <f>F190/1.1</f>
        <v/>
      </c>
      <c r="G191" s="10">
        <f>G190/1.1</f>
        <v/>
      </c>
      <c r="H191" s="22">
        <f>H190/1.1</f>
        <v/>
      </c>
      <c r="I191" s="9">
        <f>I190/1.1</f>
        <v/>
      </c>
      <c r="J191" s="185" t="n">
        <v>207862.96</v>
      </c>
      <c r="K191" s="186" t="n"/>
      <c r="L191" s="166" t="n"/>
    </row>
    <row r="192" ht="17.45" customHeight="1" s="2">
      <c r="A192" s="188" t="inlineStr">
        <is>
          <t>Customers</t>
        </is>
      </c>
      <c r="B192" s="10" t="n">
        <v>7000</v>
      </c>
      <c r="C192" s="189" t="n">
        <v>6915</v>
      </c>
      <c r="D192" s="10" t="n">
        <v>6487</v>
      </c>
      <c r="E192" s="10" t="n">
        <v>8962</v>
      </c>
      <c r="F192" s="189" t="n">
        <v>8980</v>
      </c>
      <c r="G192" s="22" t="n">
        <v>8545</v>
      </c>
      <c r="H192" s="218" t="n">
        <v>8395</v>
      </c>
      <c r="I192" s="189" t="n">
        <v>10595</v>
      </c>
      <c r="J192" s="22">
        <f>J191/1.1</f>
        <v/>
      </c>
      <c r="K192" s="186" t="n"/>
      <c r="L192" s="166" t="n"/>
    </row>
    <row r="193" ht="17.45" customHeight="1" s="2">
      <c r="A193" s="188" t="inlineStr">
        <is>
          <t>Average Customer Spend</t>
        </is>
      </c>
      <c r="B193" s="22">
        <f>B190/B192</f>
        <v/>
      </c>
      <c r="C193" s="9">
        <f>C190/C192</f>
        <v/>
      </c>
      <c r="D193" s="10">
        <f>D190/D192</f>
        <v/>
      </c>
      <c r="E193" s="22">
        <f>E190/E192</f>
        <v/>
      </c>
      <c r="F193" s="9">
        <f>F190/F192</f>
        <v/>
      </c>
      <c r="G193" s="10">
        <f>G190/G192</f>
        <v/>
      </c>
      <c r="H193" s="22">
        <f>H190/H192</f>
        <v/>
      </c>
      <c r="I193" s="9">
        <f>I190/I192</f>
        <v/>
      </c>
      <c r="J193" s="11" t="n">
        <v>10069</v>
      </c>
      <c r="K193" s="171" t="n"/>
      <c r="L193" s="166" t="n"/>
    </row>
    <row r="194" ht="17.45" customHeight="1" s="2">
      <c r="A194" s="191" t="inlineStr">
        <is>
          <t>Wage % to Gross total</t>
        </is>
      </c>
      <c r="B194" s="210">
        <f>(B197*B198)/B190</f>
        <v/>
      </c>
      <c r="C194" s="9">
        <f>(C197*C198)/C190</f>
        <v/>
      </c>
      <c r="D194" s="22">
        <f>(D197*D198)/D190</f>
        <v/>
      </c>
      <c r="E194" s="210">
        <f>(E197*E198)/E190</f>
        <v/>
      </c>
      <c r="F194" s="9">
        <f>(F197*F198)/F190</f>
        <v/>
      </c>
      <c r="G194" s="22">
        <f>(G197*G198)/G190</f>
        <v/>
      </c>
      <c r="H194" s="210">
        <f>(H197*H198)/H190</f>
        <v/>
      </c>
      <c r="I194" s="9">
        <f>(I197*I198)/I190</f>
        <v/>
      </c>
      <c r="J194" s="11">
        <f>J191/J193</f>
        <v/>
      </c>
      <c r="K194" s="171" t="n"/>
      <c r="L194" s="166" t="n"/>
    </row>
    <row r="195" ht="17.45" customHeight="1" s="2">
      <c r="A195" s="191" t="inlineStr">
        <is>
          <t>Wage % to Nett Total</t>
        </is>
      </c>
      <c r="B195" s="210">
        <f>(B197*B198)/B191</f>
        <v/>
      </c>
      <c r="C195" s="9">
        <f>(C197*C198)/C191</f>
        <v/>
      </c>
      <c r="D195" s="22">
        <f>(D197*D198)/D191</f>
        <v/>
      </c>
      <c r="E195" s="210">
        <f>(E197*E198)/E191</f>
        <v/>
      </c>
      <c r="F195" s="9">
        <f>(F197*F198)/F191</f>
        <v/>
      </c>
      <c r="G195" s="22">
        <f>(G197*G198)/G191</f>
        <v/>
      </c>
      <c r="H195" s="210">
        <f>(H197*H198)/H191</f>
        <v/>
      </c>
      <c r="I195" s="9">
        <f>(I197*I198)/I191</f>
        <v/>
      </c>
      <c r="J195" s="11">
        <f>(J198*J199)/J191</f>
        <v/>
      </c>
      <c r="K195" s="171" t="n"/>
      <c r="L195" s="166" t="n"/>
    </row>
    <row r="196" ht="17.45" customHeight="1" s="2">
      <c r="A196" s="188" t="inlineStr">
        <is>
          <t>Productivity</t>
        </is>
      </c>
      <c r="B196" s="22">
        <f>B192/B198</f>
        <v/>
      </c>
      <c r="C196" s="9">
        <f>C192/C198</f>
        <v/>
      </c>
      <c r="D196" s="10">
        <f>D192/D198</f>
        <v/>
      </c>
      <c r="E196" s="22">
        <f>E192/E198</f>
        <v/>
      </c>
      <c r="F196" s="9">
        <f>F192/F198</f>
        <v/>
      </c>
      <c r="G196" s="10">
        <f>G192/G198</f>
        <v/>
      </c>
      <c r="H196" s="22">
        <f>H192/H198</f>
        <v/>
      </c>
      <c r="I196" s="9">
        <f>I192/I198</f>
        <v/>
      </c>
      <c r="J196" s="11">
        <f>(J198*J199)/J192</f>
        <v/>
      </c>
      <c r="K196" s="171" t="n"/>
      <c r="L196" s="166" t="n"/>
    </row>
    <row r="197" ht="17.45" customHeight="1" s="2">
      <c r="A197" s="188" t="inlineStr">
        <is>
          <t>Average Hourly Rate</t>
        </is>
      </c>
      <c r="B197" s="10" t="n">
        <v>30.28</v>
      </c>
      <c r="C197" s="189" t="n">
        <v>31.5</v>
      </c>
      <c r="D197" s="10" t="n">
        <v>31.84</v>
      </c>
      <c r="E197" s="10" t="n">
        <v>30.39</v>
      </c>
      <c r="F197" s="189" t="n"/>
      <c r="G197" s="10" t="n">
        <v>31.13</v>
      </c>
      <c r="H197" s="10" t="n">
        <v>29.77</v>
      </c>
      <c r="I197" s="189" t="n">
        <v>31.5</v>
      </c>
      <c r="J197" s="11">
        <f>J193/J199</f>
        <v/>
      </c>
      <c r="K197" s="171" t="n"/>
      <c r="L197" s="166" t="n"/>
    </row>
    <row r="198" ht="17.45" customHeight="1" s="2">
      <c r="A198" s="188" t="inlineStr">
        <is>
          <t>Total hours for productivity</t>
        </is>
      </c>
      <c r="B198" s="10" t="n">
        <v>1456.25</v>
      </c>
      <c r="C198" s="189" t="n">
        <v>1434.5</v>
      </c>
      <c r="D198" s="10" t="n">
        <v>1433.5</v>
      </c>
      <c r="E198" s="10" t="n">
        <v>1614.75</v>
      </c>
      <c r="F198" s="189" t="n">
        <v>1614.5</v>
      </c>
      <c r="G198" s="10" t="n">
        <v>1648.5</v>
      </c>
      <c r="H198" s="10" t="n">
        <v>1719</v>
      </c>
      <c r="I198" s="189" t="n">
        <v>1871.5</v>
      </c>
      <c r="J198" s="11" t="n">
        <v>30.68</v>
      </c>
      <c r="K198" s="171" t="n"/>
      <c r="L198" s="166" t="n"/>
    </row>
    <row r="199" ht="17.45" customHeight="1" s="2">
      <c r="A199" s="188" t="inlineStr">
        <is>
          <t>Training Hours used</t>
        </is>
      </c>
      <c r="B199" s="10" t="n">
        <v>44</v>
      </c>
      <c r="C199" s="189" t="n"/>
      <c r="D199" s="10" t="n">
        <v>0</v>
      </c>
      <c r="E199" s="10" t="n">
        <v>7.5</v>
      </c>
      <c r="F199" s="189" t="n"/>
      <c r="G199" s="10" t="n"/>
      <c r="H199" s="10" t="n"/>
      <c r="I199" s="189" t="n"/>
      <c r="J199" s="11" t="n">
        <v>1842.5</v>
      </c>
      <c r="K199" s="171" t="n"/>
      <c r="L199" s="166" t="n"/>
    </row>
    <row r="200" ht="18" customHeight="1" s="2" thickBot="1">
      <c r="A200" s="193" t="inlineStr">
        <is>
          <t>Number of hours used to cover sick leave</t>
        </is>
      </c>
      <c r="B200" s="13" t="n">
        <v>0</v>
      </c>
      <c r="C200" s="14" t="n"/>
      <c r="D200" s="15" t="n">
        <v>57</v>
      </c>
      <c r="E200" s="15" t="n">
        <v>13.5</v>
      </c>
      <c r="F200" s="194" t="n">
        <v>0</v>
      </c>
      <c r="G200" s="15" t="n"/>
      <c r="H200" s="15" t="n"/>
      <c r="I200" s="194" t="n">
        <v>0</v>
      </c>
      <c r="J200" s="22" t="n"/>
      <c r="K200" s="186" t="n"/>
      <c r="L200" s="166" t="n"/>
    </row>
    <row r="201" ht="18.6" customHeight="1" s="2" thickBot="1">
      <c r="A201" s="195" t="inlineStr">
        <is>
          <t>Minimum HOURS</t>
        </is>
      </c>
      <c r="B201" s="196" t="inlineStr">
        <is>
          <t xml:space="preserve">Kitchen </t>
        </is>
      </c>
      <c r="C201" s="16" t="n">
        <v>593</v>
      </c>
      <c r="D201" s="31" t="n"/>
      <c r="E201" s="196" t="inlineStr">
        <is>
          <t xml:space="preserve">Kitchen </t>
        </is>
      </c>
      <c r="F201" s="16" t="n"/>
      <c r="G201" s="17" t="n">
        <v>613.5</v>
      </c>
      <c r="H201" s="196" t="inlineStr">
        <is>
          <t xml:space="preserve">Kitchen </t>
        </is>
      </c>
      <c r="I201" s="16" t="n"/>
      <c r="J201" s="29" t="n">
        <v>25</v>
      </c>
      <c r="K201" s="186" t="n"/>
      <c r="L201" s="166" t="n"/>
    </row>
    <row r="202" ht="15.95" customHeight="1" s="2" thickBot="1">
      <c r="A202" s="197" t="n"/>
      <c r="B202" s="198" t="inlineStr">
        <is>
          <t xml:space="preserve">Floor </t>
        </is>
      </c>
      <c r="C202" s="18" t="n">
        <v>663</v>
      </c>
      <c r="D202" s="31" t="n"/>
      <c r="E202" s="198" t="inlineStr">
        <is>
          <t xml:space="preserve">Floor </t>
        </is>
      </c>
      <c r="F202" s="18" t="n"/>
      <c r="G202" s="26" t="n">
        <v>701</v>
      </c>
      <c r="H202" s="198" t="inlineStr">
        <is>
          <t xml:space="preserve">Floor </t>
        </is>
      </c>
      <c r="I202" s="18" t="n"/>
      <c r="J202" s="31" t="n"/>
      <c r="K202" s="180" t="n"/>
      <c r="L202" s="166" t="n"/>
    </row>
    <row r="203" ht="15.95" customHeight="1" s="2" thickBot="1">
      <c r="A203" s="197" t="n"/>
      <c r="B203" s="199" t="inlineStr">
        <is>
          <t>TOTAL</t>
        </is>
      </c>
      <c r="C203" s="42">
        <f>SUM(C201:C202)</f>
        <v/>
      </c>
      <c r="D203" s="42">
        <f>SUM(D201:D202)</f>
        <v/>
      </c>
      <c r="E203" s="199" t="inlineStr">
        <is>
          <t>TOTAL</t>
        </is>
      </c>
      <c r="F203" s="42">
        <f>SUM(F201:F202)</f>
        <v/>
      </c>
      <c r="G203" s="42">
        <f>SUM(G201:G202)</f>
        <v/>
      </c>
      <c r="H203" s="199" t="inlineStr">
        <is>
          <t>TOTAL</t>
        </is>
      </c>
      <c r="I203" s="42">
        <f>SUM(I201:I202)</f>
        <v/>
      </c>
      <c r="J203" s="42">
        <f>SUM(J201:J202)</f>
        <v/>
      </c>
      <c r="K203" s="180" t="n"/>
      <c r="L203" s="166" t="n"/>
    </row>
    <row r="204" ht="15.6" customHeight="1" s="2">
      <c r="A204" s="166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166" t="n"/>
      <c r="L204" s="166" t="n"/>
    </row>
    <row r="205" ht="17.45" customHeight="1" s="2">
      <c r="A205" s="166" t="n"/>
      <c r="B205" s="202" t="inlineStr">
        <is>
          <t>Susma(BarT1-T3)</t>
        </is>
      </c>
      <c r="C205" s="202" t="n">
        <v>15</v>
      </c>
      <c r="D205" s="166" t="n"/>
      <c r="E205" s="166" t="n"/>
      <c r="F205" s="166" t="n"/>
      <c r="G205" s="166" t="n"/>
      <c r="H205" s="166" t="n"/>
      <c r="I205" s="166" t="n"/>
      <c r="J205" s="166" t="n"/>
      <c r="K205" s="166" t="n"/>
      <c r="L205" s="166" t="n"/>
    </row>
    <row r="206" ht="17.45" customHeight="1" s="2">
      <c r="A206" s="166" t="n"/>
      <c r="B206" s="202" t="inlineStr">
        <is>
          <t>Mike(Dishy T1</t>
        </is>
      </c>
      <c r="C206" s="202" t="n">
        <v>5</v>
      </c>
      <c r="D206" s="166" t="n"/>
      <c r="E206" s="166" t="n"/>
      <c r="F206" s="166" t="n"/>
      <c r="G206" s="166" t="n"/>
      <c r="H206" s="166" t="n"/>
      <c r="I206" s="166" t="n"/>
      <c r="J206" s="166" t="n"/>
      <c r="K206" s="166" t="n"/>
      <c r="L206" s="166" t="n"/>
    </row>
    <row r="207" ht="17.45" customHeight="1" s="2">
      <c r="A207" s="166" t="n"/>
      <c r="B207" s="202" t="inlineStr">
        <is>
          <t>Mikke(crepping T1T2</t>
        </is>
      </c>
      <c r="C207" s="202" t="n">
        <v>12</v>
      </c>
      <c r="D207" s="166" t="n"/>
      <c r="E207" s="166" t="n"/>
      <c r="F207" s="166" t="n"/>
      <c r="G207" s="166" t="n"/>
      <c r="H207" s="166" t="n"/>
      <c r="I207" s="166" t="n"/>
      <c r="J207" s="166" t="n"/>
      <c r="K207" s="166" t="n"/>
      <c r="L207" s="166" t="n"/>
    </row>
    <row r="208" ht="17.45" customHeight="1" s="2">
      <c r="A208" s="166" t="n"/>
      <c r="B208" s="202" t="inlineStr">
        <is>
          <t>Ashiqul topping T2</t>
        </is>
      </c>
      <c r="C208" s="202" t="n">
        <v>5</v>
      </c>
      <c r="D208" s="166" t="n"/>
      <c r="E208" s="166" t="n"/>
      <c r="F208" s="166" t="n"/>
      <c r="G208" s="166" t="n"/>
      <c r="H208" s="166" t="n"/>
      <c r="I208" s="166" t="n"/>
      <c r="J208" s="166" t="n"/>
      <c r="K208" s="166" t="n"/>
      <c r="L208" s="166" t="n"/>
    </row>
    <row r="209" ht="17.45" customHeight="1" s="2">
      <c r="A209" s="166" t="n"/>
      <c r="B209" s="202" t="inlineStr">
        <is>
          <t>Ligitas (PizzaT1T2)</t>
        </is>
      </c>
      <c r="C209" s="202" t="n">
        <v>10</v>
      </c>
      <c r="D209" s="166" t="n"/>
      <c r="E209" s="166" t="n"/>
      <c r="F209" s="166" t="n"/>
      <c r="G209" s="166" t="n"/>
      <c r="H209" s="166" t="n"/>
      <c r="I209" s="166" t="n"/>
      <c r="J209" s="166" t="n"/>
      <c r="K209" s="166" t="n"/>
      <c r="L209" s="166" t="n"/>
    </row>
    <row r="210" ht="17.45" customHeight="1" s="2">
      <c r="A210" s="166" t="n"/>
      <c r="B210" s="202" t="inlineStr">
        <is>
          <t>Dat (PizzaT1T2)</t>
        </is>
      </c>
      <c r="C210" s="202" t="n">
        <v>10</v>
      </c>
      <c r="D210" s="166" t="n"/>
      <c r="E210" s="166" t="n"/>
      <c r="F210" s="166" t="n"/>
      <c r="G210" s="166" t="n"/>
      <c r="H210" s="166" t="n"/>
      <c r="I210" s="166" t="n"/>
      <c r="J210" s="166" t="n"/>
      <c r="K210" s="166" t="n"/>
      <c r="L210" s="166" t="n"/>
    </row>
    <row r="211" ht="15" customHeight="1" s="2">
      <c r="A211" s="166" t="n"/>
      <c r="B211" s="166" t="n"/>
      <c r="C211" s="166" t="n"/>
      <c r="D211" s="166" t="n"/>
      <c r="E211" s="166" t="n"/>
      <c r="F211" s="166" t="n"/>
      <c r="G211" s="166" t="n"/>
      <c r="H211" s="166" t="n"/>
      <c r="I211" s="166" t="n"/>
      <c r="J211" s="166" t="n"/>
      <c r="K211" s="166" t="n"/>
      <c r="L211" s="166" t="n"/>
    </row>
    <row r="212" ht="18" customHeight="1" s="2" thickBot="1">
      <c r="A212" s="173" t="n"/>
      <c r="B212" s="174" t="n">
        <v>42534</v>
      </c>
      <c r="C212" s="173" t="n"/>
      <c r="D212" s="174" t="n">
        <v>42898</v>
      </c>
      <c r="E212" s="174" t="n">
        <v>42541</v>
      </c>
      <c r="F212" s="173" t="n"/>
      <c r="G212" s="174" t="n">
        <v>42905</v>
      </c>
      <c r="H212" s="207" t="n">
        <v>42548</v>
      </c>
      <c r="I212" s="173" t="n"/>
      <c r="J212" s="174" t="n">
        <v>42912</v>
      </c>
      <c r="K212" s="166" t="n"/>
      <c r="L212" s="166" t="n"/>
    </row>
    <row r="213" ht="17.85" customHeight="1" s="2" thickBot="1">
      <c r="A213" s="176" t="n"/>
      <c r="B213" s="177" t="inlineStr">
        <is>
          <t>Last Year</t>
        </is>
      </c>
      <c r="C213" s="178" t="inlineStr">
        <is>
          <t>Projected</t>
        </is>
      </c>
      <c r="D213" s="179" t="inlineStr">
        <is>
          <t>Actual</t>
        </is>
      </c>
      <c r="E213" s="177" t="inlineStr">
        <is>
          <t>Last Year</t>
        </is>
      </c>
      <c r="F213" s="178" t="inlineStr">
        <is>
          <t>Projected</t>
        </is>
      </c>
      <c r="G213" s="179" t="inlineStr">
        <is>
          <t>Actual</t>
        </is>
      </c>
      <c r="H213" s="177" t="inlineStr">
        <is>
          <t>Last Year</t>
        </is>
      </c>
      <c r="I213" s="178" t="inlineStr">
        <is>
          <t>Projected</t>
        </is>
      </c>
      <c r="J213" s="179" t="inlineStr">
        <is>
          <t>Actual</t>
        </is>
      </c>
      <c r="K213" s="180" t="n"/>
      <c r="L213" s="166" t="n"/>
    </row>
    <row r="214" ht="18" customHeight="1" s="2">
      <c r="A214" s="181" t="inlineStr">
        <is>
          <t>GROSS TOTAL</t>
        </is>
      </c>
      <c r="B214" s="185" t="n">
        <v>264533.28</v>
      </c>
      <c r="C214" s="183" t="n">
        <v>265669</v>
      </c>
      <c r="D214" s="184" t="n">
        <v>205860.44</v>
      </c>
      <c r="E214" s="185" t="n">
        <v>203689</v>
      </c>
      <c r="F214" s="183" t="n">
        <v>183079</v>
      </c>
      <c r="G214" s="184" t="n">
        <v>183082.33</v>
      </c>
      <c r="H214" s="185" t="n">
        <v>162924</v>
      </c>
      <c r="I214" s="183" t="n">
        <v>152944</v>
      </c>
      <c r="J214" s="185" t="n">
        <v>155662.08</v>
      </c>
      <c r="K214" s="186" t="n"/>
      <c r="L214" s="166" t="n"/>
    </row>
    <row r="215" ht="17.45" customHeight="1" s="2">
      <c r="A215" s="187" t="inlineStr">
        <is>
          <t>NETT  TOTAL</t>
        </is>
      </c>
      <c r="B215" s="22">
        <f>B214/1.1</f>
        <v/>
      </c>
      <c r="C215" s="9">
        <f>C214/1.1</f>
        <v/>
      </c>
      <c r="D215" s="10">
        <f>D214/1.1</f>
        <v/>
      </c>
      <c r="E215" s="22">
        <f>E214/1.1</f>
        <v/>
      </c>
      <c r="F215" s="9">
        <f>F214/1.1</f>
        <v/>
      </c>
      <c r="G215" s="10">
        <f>G214/1.1</f>
        <v/>
      </c>
      <c r="H215" s="22">
        <f>H214/1.1</f>
        <v/>
      </c>
      <c r="I215" s="9">
        <f>I214/1.1</f>
        <v/>
      </c>
      <c r="J215" s="22">
        <f>J214/1.1</f>
        <v/>
      </c>
      <c r="K215" s="186" t="n"/>
      <c r="L215" s="166" t="n"/>
    </row>
    <row r="216" ht="17.45" customHeight="1" s="2">
      <c r="A216" s="191" t="inlineStr">
        <is>
          <t>Customers</t>
        </is>
      </c>
      <c r="B216" s="218" t="n">
        <v>12318</v>
      </c>
      <c r="C216" s="189" t="n">
        <v>12425</v>
      </c>
      <c r="D216" s="10" t="n">
        <v>9945</v>
      </c>
      <c r="E216" s="10" t="n">
        <v>9298</v>
      </c>
      <c r="F216" s="189" t="n">
        <v>8785</v>
      </c>
      <c r="G216" s="10" t="n">
        <v>8922</v>
      </c>
      <c r="H216" s="10" t="n">
        <v>7574</v>
      </c>
      <c r="I216" s="189" t="n">
        <v>7415</v>
      </c>
      <c r="J216" s="11" t="n">
        <v>7602</v>
      </c>
      <c r="K216" s="171" t="n"/>
      <c r="L216" s="166" t="n"/>
    </row>
    <row r="217" ht="17.45" customHeight="1" s="2">
      <c r="A217" s="188" t="inlineStr">
        <is>
          <t>Average Customer Spend</t>
        </is>
      </c>
      <c r="B217" s="22">
        <f>B214/B216</f>
        <v/>
      </c>
      <c r="C217" s="9">
        <f>C214/C216</f>
        <v/>
      </c>
      <c r="D217" s="10">
        <f>D214/D216</f>
        <v/>
      </c>
      <c r="E217" s="22">
        <f>E214/E216</f>
        <v/>
      </c>
      <c r="F217" s="9">
        <f>F214/F216</f>
        <v/>
      </c>
      <c r="G217" s="10">
        <f>G214/G216</f>
        <v/>
      </c>
      <c r="H217" s="22">
        <f>H214/H216</f>
        <v/>
      </c>
      <c r="I217" s="9">
        <f>I214/I216</f>
        <v/>
      </c>
      <c r="J217" s="11">
        <f>J214/J216</f>
        <v/>
      </c>
      <c r="K217" s="171" t="n"/>
      <c r="L217" s="166" t="n"/>
    </row>
    <row r="218" ht="17.45" customHeight="1" s="2">
      <c r="A218" s="191" t="inlineStr">
        <is>
          <t>Wage % to Gross total</t>
        </is>
      </c>
      <c r="B218" s="210">
        <f>(B221*B222)/B214</f>
        <v/>
      </c>
      <c r="C218" s="9">
        <f>(C221*C222)/C214</f>
        <v/>
      </c>
      <c r="D218" s="22">
        <f>(D221*D222)/D214</f>
        <v/>
      </c>
      <c r="E218" s="210">
        <f>(E221*E222)/E214</f>
        <v/>
      </c>
      <c r="F218" s="9">
        <f>(F221*F222)/F214</f>
        <v/>
      </c>
      <c r="G218" s="22">
        <f>(G221*G222)/G214</f>
        <v/>
      </c>
      <c r="H218" s="210">
        <f>(H221*H222)/H214</f>
        <v/>
      </c>
      <c r="I218" s="9">
        <f>(I221*I222)/I214</f>
        <v/>
      </c>
      <c r="J218" s="11">
        <f>(J221*J222)/J214</f>
        <v/>
      </c>
      <c r="K218" s="171" t="n"/>
      <c r="L218" s="166" t="n"/>
    </row>
    <row r="219" ht="17.45" customHeight="1" s="2">
      <c r="A219" s="191" t="inlineStr">
        <is>
          <t>Wage % to Nett Total</t>
        </is>
      </c>
      <c r="B219" s="210">
        <f>(B221*B222)/B215</f>
        <v/>
      </c>
      <c r="C219" s="9">
        <f>(C221*C222)/C215</f>
        <v/>
      </c>
      <c r="D219" s="22">
        <f>(D221*D222)/D215</f>
        <v/>
      </c>
      <c r="E219" s="210">
        <f>(E221*E222)/E215</f>
        <v/>
      </c>
      <c r="F219" s="9">
        <f>(F221*F222)/F215</f>
        <v/>
      </c>
      <c r="G219" s="22">
        <f>(G221*G222)/G215</f>
        <v/>
      </c>
      <c r="H219" s="210">
        <f>(H221*H222)/H215</f>
        <v/>
      </c>
      <c r="I219" s="9">
        <f>(I221*I222)/I215</f>
        <v/>
      </c>
      <c r="J219" s="11">
        <f>(J221*J222)/J215</f>
        <v/>
      </c>
      <c r="K219" s="171" t="n"/>
      <c r="L219" s="166" t="n"/>
    </row>
    <row r="220" ht="17.45" customHeight="1" s="2">
      <c r="A220" s="188" t="inlineStr">
        <is>
          <t>Productivity</t>
        </is>
      </c>
      <c r="B220" s="22">
        <f>B216/B222</f>
        <v/>
      </c>
      <c r="C220" s="9">
        <f>C216/C222</f>
        <v/>
      </c>
      <c r="D220" s="10">
        <f>D216/D222</f>
        <v/>
      </c>
      <c r="E220" s="22">
        <f>E216/E222</f>
        <v/>
      </c>
      <c r="F220" s="9">
        <f>F216/F222</f>
        <v/>
      </c>
      <c r="G220" s="10">
        <f>G216/G222</f>
        <v/>
      </c>
      <c r="H220" s="22">
        <f>H216/H222</f>
        <v/>
      </c>
      <c r="I220" s="9">
        <f>I216/I222</f>
        <v/>
      </c>
      <c r="J220" s="11">
        <f>J216/J222</f>
        <v/>
      </c>
      <c r="K220" s="171" t="n"/>
      <c r="L220" s="166" t="n"/>
    </row>
    <row r="221" ht="17.45" customHeight="1" s="2">
      <c r="A221" s="188" t="inlineStr">
        <is>
          <t>Average Hourly Rate</t>
        </is>
      </c>
      <c r="B221" s="10" t="n">
        <v>34.38</v>
      </c>
      <c r="C221" s="189" t="n">
        <v>33</v>
      </c>
      <c r="D221" s="10" t="n">
        <v>35.66</v>
      </c>
      <c r="E221" s="10" t="n">
        <v>30.06</v>
      </c>
      <c r="F221" s="189" t="n">
        <v>31.5</v>
      </c>
      <c r="G221" s="10" t="n">
        <v>31.27</v>
      </c>
      <c r="H221" s="10" t="n">
        <v>31.32</v>
      </c>
      <c r="I221" s="189" t="n">
        <v>31.5</v>
      </c>
      <c r="J221" s="11" t="n">
        <v>32.07</v>
      </c>
      <c r="K221" s="171" t="n"/>
      <c r="L221" s="166" t="n"/>
    </row>
    <row r="222" ht="17.45" customHeight="1" s="2">
      <c r="A222" s="188" t="inlineStr">
        <is>
          <t>Total hours for productivity</t>
        </is>
      </c>
      <c r="B222" s="10" t="n">
        <v>2041.75</v>
      </c>
      <c r="C222" s="189" t="n">
        <v>1979</v>
      </c>
      <c r="D222" s="10" t="n">
        <v>1869.75</v>
      </c>
      <c r="E222" s="10" t="n">
        <v>1763</v>
      </c>
      <c r="F222" s="189" t="n">
        <v>1674</v>
      </c>
      <c r="G222" s="10" t="n">
        <v>1649.25</v>
      </c>
      <c r="H222" s="10" t="n">
        <v>1540.5</v>
      </c>
      <c r="I222" s="189" t="n">
        <v>1527.5</v>
      </c>
      <c r="J222" s="11" t="n">
        <v>1504.25</v>
      </c>
      <c r="K222" s="171" t="n"/>
      <c r="L222" s="166" t="n"/>
    </row>
    <row r="223" ht="17.45" customHeight="1" s="2">
      <c r="A223" s="188" t="inlineStr">
        <is>
          <t>Training Hours used</t>
        </is>
      </c>
      <c r="B223" s="10" t="n">
        <v>44</v>
      </c>
      <c r="C223" s="189" t="n"/>
      <c r="D223" s="10" t="n">
        <v>0</v>
      </c>
      <c r="E223" s="10" t="n">
        <v>7.5</v>
      </c>
      <c r="F223" s="189" t="n"/>
      <c r="G223" s="10" t="n">
        <v>12</v>
      </c>
      <c r="H223" s="10" t="n">
        <v>136.5</v>
      </c>
      <c r="I223" s="189" t="n"/>
      <c r="J223" s="22" t="n">
        <v>92.5</v>
      </c>
      <c r="K223" s="186" t="n"/>
      <c r="L223" s="166" t="n"/>
    </row>
    <row r="224" ht="18" customHeight="1" s="2" thickBot="1">
      <c r="A224" s="193" t="inlineStr">
        <is>
          <t>Number of hours used to cover sick leave</t>
        </is>
      </c>
      <c r="B224" s="13" t="n">
        <v>0</v>
      </c>
      <c r="C224" s="14" t="n"/>
      <c r="D224" s="15" t="n">
        <v>33.25</v>
      </c>
      <c r="E224" s="15" t="n">
        <v>13.5</v>
      </c>
      <c r="F224" s="194" t="n">
        <v>0</v>
      </c>
      <c r="G224" s="15" t="n">
        <v>22</v>
      </c>
      <c r="H224" s="15" t="n">
        <v>44.75</v>
      </c>
      <c r="I224" s="194" t="n">
        <v>0</v>
      </c>
      <c r="J224" s="29" t="n"/>
      <c r="K224" s="186" t="n"/>
      <c r="L224" s="166" t="n"/>
    </row>
    <row r="225" ht="15.95" customHeight="1" s="2" thickBot="1">
      <c r="A225" s="195" t="inlineStr">
        <is>
          <t>Minimum HOURS</t>
        </is>
      </c>
      <c r="B225" s="196" t="inlineStr">
        <is>
          <t xml:space="preserve">Kitchen </t>
        </is>
      </c>
      <c r="C225" s="16" t="n">
        <v>633.5</v>
      </c>
      <c r="D225" s="31" t="n"/>
      <c r="E225" s="196" t="inlineStr">
        <is>
          <t xml:space="preserve">Kitchen </t>
        </is>
      </c>
      <c r="F225" s="16" t="n"/>
      <c r="G225" s="17" t="n">
        <v>613.5</v>
      </c>
      <c r="H225" s="196" t="inlineStr">
        <is>
          <t xml:space="preserve">Kitchen </t>
        </is>
      </c>
      <c r="I225" s="16" t="n">
        <v>593</v>
      </c>
      <c r="J225" s="31" t="n"/>
      <c r="K225" s="180" t="n"/>
      <c r="L225" s="166" t="n"/>
    </row>
    <row r="226" ht="15.95" customHeight="1" s="2" thickBot="1">
      <c r="A226" s="197" t="n"/>
      <c r="B226" s="198" t="inlineStr">
        <is>
          <t xml:space="preserve">Floor </t>
        </is>
      </c>
      <c r="C226" s="18" t="n">
        <v>859</v>
      </c>
      <c r="D226" s="31" t="n"/>
      <c r="E226" s="198" t="inlineStr">
        <is>
          <t xml:space="preserve">Floor </t>
        </is>
      </c>
      <c r="F226" s="18" t="n">
        <v>804</v>
      </c>
      <c r="G226" s="26" t="n">
        <v>701</v>
      </c>
      <c r="H226" s="198" t="inlineStr">
        <is>
          <t xml:space="preserve">Floor </t>
        </is>
      </c>
      <c r="I226" s="18" t="n">
        <v>842</v>
      </c>
      <c r="J226" s="31" t="n"/>
      <c r="K226" s="180" t="n"/>
      <c r="L226" s="166" t="n"/>
    </row>
    <row r="227" ht="15.95" customHeight="1" s="2" thickBot="1">
      <c r="A227" s="197" t="n"/>
      <c r="B227" s="199" t="inlineStr">
        <is>
          <t>TOTAL</t>
        </is>
      </c>
      <c r="C227" s="42">
        <f>SUM(C225:C226)</f>
        <v/>
      </c>
      <c r="D227" s="42">
        <f>SUM(D225:D226)</f>
        <v/>
      </c>
      <c r="E227" s="199" t="inlineStr">
        <is>
          <t>TOTAL</t>
        </is>
      </c>
      <c r="F227" s="42">
        <f>SUM(F225:F226)</f>
        <v/>
      </c>
      <c r="G227" s="42">
        <f>SUM(G225:G226)</f>
        <v/>
      </c>
      <c r="H227" s="199" t="inlineStr">
        <is>
          <t>TOTAL</t>
        </is>
      </c>
      <c r="I227" s="42">
        <f>SUM(I225:I226)</f>
        <v/>
      </c>
      <c r="J227" s="42">
        <f>SUM(J225:J226)</f>
        <v/>
      </c>
      <c r="K227" s="180" t="n"/>
      <c r="L227" s="166" t="n"/>
    </row>
    <row r="228" ht="15.6" customHeight="1" s="2">
      <c r="A228" s="166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166" t="n"/>
      <c r="L228" s="166" t="n"/>
    </row>
    <row r="229" ht="17.45" customHeight="1" s="2">
      <c r="A229" s="166" t="n"/>
      <c r="B229" s="166" t="n"/>
      <c r="C229" s="166" t="n"/>
      <c r="D229" s="166" t="n"/>
      <c r="E229" s="202" t="inlineStr">
        <is>
          <t>MIKE pizzaT3</t>
        </is>
      </c>
      <c r="F229" s="166" t="n"/>
      <c r="G229" s="202" t="n">
        <v>5</v>
      </c>
      <c r="H229" s="202" t="inlineStr">
        <is>
          <t>Ferdous(Prep T1,T2</t>
        </is>
      </c>
      <c r="I229" s="166" t="n"/>
      <c r="J229" s="202" t="n">
        <v>17</v>
      </c>
      <c r="K229" s="166" t="n"/>
      <c r="L229" s="166" t="n"/>
    </row>
    <row r="230" ht="17.45" customHeight="1" s="2">
      <c r="A230" s="166" t="n"/>
      <c r="B230" s="166" t="n"/>
      <c r="C230" s="166" t="n"/>
      <c r="D230" s="166" t="n"/>
      <c r="E230" s="202" t="inlineStr">
        <is>
          <t>MOHITmilko running T1</t>
        </is>
      </c>
      <c r="F230" s="166" t="n"/>
      <c r="G230" s="202" t="n">
        <v>7</v>
      </c>
      <c r="H230" s="202" t="inlineStr">
        <is>
          <t>Mohit (T2 milko run)</t>
        </is>
      </c>
      <c r="I230" s="166" t="n"/>
      <c r="J230" s="202" t="n">
        <v>8</v>
      </c>
      <c r="K230" s="166" t="n"/>
      <c r="L230" s="166" t="n"/>
    </row>
    <row r="231" ht="17.45" customHeight="1" s="2">
      <c r="A231" s="166" t="n"/>
      <c r="B231" s="166" t="n"/>
      <c r="C231" s="166" t="n"/>
      <c r="D231" s="166" t="n"/>
      <c r="E231" s="166" t="n"/>
      <c r="F231" s="166" t="n"/>
      <c r="G231" s="166" t="n"/>
      <c r="H231" s="202" t="inlineStr">
        <is>
          <t>Pranish(milko run T1)</t>
        </is>
      </c>
      <c r="I231" s="166" t="n"/>
      <c r="J231" s="202" t="n">
        <v>8</v>
      </c>
      <c r="K231" s="166" t="n"/>
      <c r="L231" s="166" t="n"/>
    </row>
    <row r="232" ht="17.45" customHeight="1" s="2">
      <c r="A232" s="166" t="n"/>
      <c r="B232" s="166" t="n"/>
      <c r="C232" s="166" t="n"/>
      <c r="D232" s="166" t="n"/>
      <c r="E232" s="166" t="n"/>
      <c r="F232" s="166" t="n"/>
      <c r="G232" s="166" t="n"/>
      <c r="H232" s="202" t="inlineStr">
        <is>
          <t>Pradeep(prepT2-T4</t>
        </is>
      </c>
      <c r="I232" s="166" t="n"/>
      <c r="J232" s="202" t="n">
        <v>24.5</v>
      </c>
      <c r="K232" s="166" t="n"/>
      <c r="L232" s="166" t="n"/>
    </row>
    <row r="233" ht="17.45" customHeight="1" s="2">
      <c r="A233" s="166" t="n"/>
      <c r="B233" s="166" t="n"/>
      <c r="C233" s="166" t="n"/>
      <c r="D233" s="166" t="n"/>
      <c r="E233" s="166" t="n"/>
      <c r="F233" s="166" t="n"/>
      <c r="G233" s="166" t="n"/>
      <c r="H233" s="202" t="inlineStr">
        <is>
          <t>Prabesh(pizza T1</t>
        </is>
      </c>
      <c r="I233" s="166" t="n"/>
      <c r="J233" s="202" t="n">
        <v>5</v>
      </c>
      <c r="K233" s="166" t="n"/>
      <c r="L233" s="166" t="n"/>
    </row>
    <row r="234" ht="17.45" customHeight="1" s="2">
      <c r="A234" s="166" t="n"/>
      <c r="B234" s="166" t="n"/>
      <c r="C234" s="166" t="n"/>
      <c r="D234" s="166" t="n"/>
      <c r="E234" s="166" t="n"/>
      <c r="F234" s="166" t="n"/>
      <c r="G234" s="166" t="n"/>
      <c r="H234" s="202" t="inlineStr">
        <is>
          <t>Susma(host T1-T3)</t>
        </is>
      </c>
      <c r="I234" s="166" t="n"/>
      <c r="J234" s="202" t="n">
        <v>15</v>
      </c>
      <c r="K234" s="166" t="n"/>
      <c r="L234" s="166" t="n"/>
    </row>
    <row r="235" ht="17.45" customHeight="1" s="2">
      <c r="A235" s="166" t="n"/>
      <c r="B235" s="166" t="n"/>
      <c r="C235" s="166" t="n"/>
      <c r="D235" s="166" t="n"/>
      <c r="E235" s="166" t="n"/>
      <c r="F235" s="166" t="n"/>
      <c r="G235" s="166" t="n"/>
      <c r="H235" s="202" t="inlineStr">
        <is>
          <t>Peter(bar T1-T3)</t>
        </is>
      </c>
      <c r="I235" s="166" t="n"/>
      <c r="J235" s="202" t="n">
        <v>15</v>
      </c>
      <c r="K235" s="166" t="n"/>
      <c r="L235" s="166" t="n"/>
    </row>
    <row r="236" ht="15" customHeight="1" s="2">
      <c r="A236" s="166" t="n"/>
      <c r="B236" s="168" t="n"/>
      <c r="C236" s="166" t="n"/>
      <c r="D236" s="166" t="n"/>
      <c r="E236" s="168" t="n"/>
      <c r="F236" s="166" t="n"/>
      <c r="G236" s="166" t="n"/>
      <c r="H236" s="168" t="n"/>
      <c r="I236" s="166" t="n"/>
      <c r="J236" s="166" t="n"/>
      <c r="K236" s="166" t="n"/>
      <c r="L236" s="166" t="n"/>
    </row>
    <row r="237" ht="18" customHeight="1" s="2" thickBot="1">
      <c r="A237" s="221" t="n"/>
      <c r="B237" s="222" t="n">
        <v>42555</v>
      </c>
      <c r="C237" s="223" t="n">
        <v>42919</v>
      </c>
      <c r="D237" s="224" t="n">
        <v>42919</v>
      </c>
      <c r="E237" s="225" t="n">
        <v>42562</v>
      </c>
      <c r="F237" s="223" t="n"/>
      <c r="G237" s="224" t="n">
        <v>42926</v>
      </c>
      <c r="H237" s="226" t="n">
        <v>42934</v>
      </c>
      <c r="I237" s="227" t="n"/>
      <c r="J237" s="174" t="n">
        <v>42933</v>
      </c>
      <c r="K237" s="166" t="n"/>
      <c r="L237" s="166" t="n"/>
    </row>
    <row r="238" ht="17.85" customHeight="1" s="2" thickBot="1">
      <c r="A238" s="176" t="n"/>
      <c r="B238" s="177" t="inlineStr">
        <is>
          <t>Last Year</t>
        </is>
      </c>
      <c r="C238" s="178" t="inlineStr">
        <is>
          <t>Projected</t>
        </is>
      </c>
      <c r="D238" s="179" t="inlineStr">
        <is>
          <t>Actual</t>
        </is>
      </c>
      <c r="E238" s="177" t="inlineStr">
        <is>
          <t>Last Year</t>
        </is>
      </c>
      <c r="F238" s="178" t="inlineStr">
        <is>
          <t>Projected</t>
        </is>
      </c>
      <c r="G238" s="179" t="inlineStr">
        <is>
          <t>Actual</t>
        </is>
      </c>
      <c r="H238" s="177" t="inlineStr">
        <is>
          <t>Last Year</t>
        </is>
      </c>
      <c r="I238" s="178" t="inlineStr">
        <is>
          <t>Projected</t>
        </is>
      </c>
      <c r="J238" s="179" t="inlineStr">
        <is>
          <t>Actual</t>
        </is>
      </c>
      <c r="K238" s="180" t="n"/>
      <c r="L238" s="166" t="n"/>
    </row>
    <row r="239" ht="18" customHeight="1" s="2">
      <c r="A239" s="181" t="inlineStr">
        <is>
          <t>GROSS TOTAL</t>
        </is>
      </c>
      <c r="B239" s="185" t="n">
        <v>191395</v>
      </c>
      <c r="C239" s="183" t="n">
        <v>172423</v>
      </c>
      <c r="D239" s="184" t="n">
        <v>189096.5</v>
      </c>
      <c r="E239" s="185" t="n">
        <v>217873</v>
      </c>
      <c r="F239" s="183" t="n">
        <v>202449</v>
      </c>
      <c r="G239" s="184" t="n">
        <v>205130.22</v>
      </c>
      <c r="H239" s="185" t="n">
        <v>212956</v>
      </c>
      <c r="I239" s="183" t="n">
        <v>196955</v>
      </c>
      <c r="J239" s="185" t="n">
        <v>194160.17</v>
      </c>
      <c r="K239" s="186" t="n"/>
      <c r="L239" s="166" t="n"/>
    </row>
    <row r="240" ht="17.45" customHeight="1" s="2">
      <c r="A240" s="187" t="inlineStr">
        <is>
          <t>NETT  TOTAL</t>
        </is>
      </c>
      <c r="B240" s="22">
        <f>B239/1.1</f>
        <v/>
      </c>
      <c r="C240" s="9">
        <f>C239/1.1</f>
        <v/>
      </c>
      <c r="D240" s="10">
        <f>D239/1.1</f>
        <v/>
      </c>
      <c r="E240" s="22">
        <f>E239/1.1</f>
        <v/>
      </c>
      <c r="F240" s="9">
        <f>F239/1.1</f>
        <v/>
      </c>
      <c r="G240" s="10">
        <f>G239/1.1</f>
        <v/>
      </c>
      <c r="H240" s="22">
        <f>H239/1.1</f>
        <v/>
      </c>
      <c r="I240" s="9">
        <f>I239/1.1</f>
        <v/>
      </c>
      <c r="J240" s="22">
        <f>J239/1.1</f>
        <v/>
      </c>
      <c r="K240" s="186" t="n"/>
      <c r="L240" s="166" t="n"/>
    </row>
    <row r="241" ht="17.45" customHeight="1" s="2">
      <c r="A241" s="191" t="inlineStr">
        <is>
          <t>Customers</t>
        </is>
      </c>
      <c r="B241" s="218" t="n">
        <v>9215</v>
      </c>
      <c r="C241" s="189" t="n">
        <v>8400</v>
      </c>
      <c r="D241" s="22" t="n">
        <v>9121</v>
      </c>
      <c r="E241" s="218" t="n">
        <v>10774</v>
      </c>
      <c r="F241" s="189" t="n">
        <v>9925</v>
      </c>
      <c r="G241" s="10" t="n">
        <v>10230</v>
      </c>
      <c r="H241" s="10" t="n">
        <v>10119</v>
      </c>
      <c r="I241" s="189" t="n">
        <v>9675</v>
      </c>
      <c r="J241" s="11" t="n">
        <v>9463</v>
      </c>
      <c r="K241" s="171" t="n"/>
      <c r="L241" s="166" t="n"/>
    </row>
    <row r="242" ht="17.45" customHeight="1" s="2">
      <c r="A242" s="188" t="inlineStr">
        <is>
          <t>Average Customer Spend</t>
        </is>
      </c>
      <c r="B242" s="22">
        <f>B239/B241</f>
        <v/>
      </c>
      <c r="C242" s="9">
        <f>C239/C241</f>
        <v/>
      </c>
      <c r="D242" s="10">
        <f>D239/D241</f>
        <v/>
      </c>
      <c r="E242" s="22">
        <f>E239/E241</f>
        <v/>
      </c>
      <c r="F242" s="9">
        <f>F239/F241</f>
        <v/>
      </c>
      <c r="G242" s="10">
        <f>G239/G241</f>
        <v/>
      </c>
      <c r="H242" s="22">
        <f>H239/H241</f>
        <v/>
      </c>
      <c r="I242" s="9">
        <f>I239/I241</f>
        <v/>
      </c>
      <c r="J242" s="11">
        <f>J239/J241</f>
        <v/>
      </c>
      <c r="K242" s="171" t="n"/>
      <c r="L242" s="166" t="n"/>
    </row>
    <row r="243" ht="17.45" customHeight="1" s="2">
      <c r="A243" s="191" t="inlineStr">
        <is>
          <t>Wage % to Gross total</t>
        </is>
      </c>
      <c r="B243" s="210">
        <f>(B246*B247)/B239</f>
        <v/>
      </c>
      <c r="C243" s="9">
        <f>(C246*C247)/C239</f>
        <v/>
      </c>
      <c r="D243" s="22">
        <f>(D246*D247)/D239</f>
        <v/>
      </c>
      <c r="E243" s="210">
        <f>(E246*E247)/E239</f>
        <v/>
      </c>
      <c r="F243" s="9">
        <f>(F246*F247)/F239</f>
        <v/>
      </c>
      <c r="G243" s="22">
        <f>(G246*G247)/G239</f>
        <v/>
      </c>
      <c r="H243" s="210">
        <f>(H246*H247)/H239</f>
        <v/>
      </c>
      <c r="I243" s="9">
        <f>(I246*I247)/I239</f>
        <v/>
      </c>
      <c r="J243" s="11">
        <f>(J246*J247)/J239</f>
        <v/>
      </c>
      <c r="K243" s="171" t="n"/>
      <c r="L243" s="166" t="n"/>
    </row>
    <row r="244" ht="17.45" customHeight="1" s="2">
      <c r="A244" s="191" t="inlineStr">
        <is>
          <t>Wage % to Nett Total</t>
        </is>
      </c>
      <c r="B244" s="210">
        <f>(B246*B247)/B240</f>
        <v/>
      </c>
      <c r="C244" s="9">
        <f>(C246*C247)/C240</f>
        <v/>
      </c>
      <c r="D244" s="22">
        <f>(D246*D247)/D240</f>
        <v/>
      </c>
      <c r="E244" s="210">
        <f>(E246*E247)/E240</f>
        <v/>
      </c>
      <c r="F244" s="9">
        <f>(F246*F247)/F240</f>
        <v/>
      </c>
      <c r="G244" s="22">
        <f>(G246*G247)/G240</f>
        <v/>
      </c>
      <c r="H244" s="210">
        <f>(H246*H247)/H240</f>
        <v/>
      </c>
      <c r="I244" s="9">
        <f>(I246*I247)/I240</f>
        <v/>
      </c>
      <c r="J244" s="11">
        <f>(J246*J247)/J240</f>
        <v/>
      </c>
      <c r="K244" s="171" t="n"/>
      <c r="L244" s="166" t="n"/>
    </row>
    <row r="245" ht="17.45" customHeight="1" s="2">
      <c r="A245" s="188" t="inlineStr">
        <is>
          <t>Productivity</t>
        </is>
      </c>
      <c r="B245" s="22">
        <f>B241/B247</f>
        <v/>
      </c>
      <c r="C245" s="9">
        <f>C241/C247</f>
        <v/>
      </c>
      <c r="D245" s="10">
        <f>D241/D247</f>
        <v/>
      </c>
      <c r="E245" s="22">
        <f>E241/E247</f>
        <v/>
      </c>
      <c r="F245" s="9">
        <f>F241/F247</f>
        <v/>
      </c>
      <c r="G245" s="10">
        <f>G241/G247</f>
        <v/>
      </c>
      <c r="H245" s="22">
        <f>H241/H247</f>
        <v/>
      </c>
      <c r="I245" s="9">
        <f>I241/I247</f>
        <v/>
      </c>
      <c r="J245" s="11">
        <f>J241/J247</f>
        <v/>
      </c>
      <c r="K245" s="171" t="n"/>
      <c r="L245" s="166" t="n"/>
    </row>
    <row r="246" ht="17.45" customHeight="1" s="2">
      <c r="A246" s="188" t="inlineStr">
        <is>
          <t>Average Hourly Rate</t>
        </is>
      </c>
      <c r="B246" s="10" t="n">
        <v>29.86</v>
      </c>
      <c r="C246" s="189" t="n">
        <v>31.5</v>
      </c>
      <c r="D246" s="10" t="n">
        <v>30.87</v>
      </c>
      <c r="E246" s="10" t="n">
        <v>30.56</v>
      </c>
      <c r="F246" s="189" t="n">
        <v>31.5</v>
      </c>
      <c r="G246" s="10" t="n">
        <v>31.98</v>
      </c>
      <c r="H246" s="10" t="n">
        <v>32.41</v>
      </c>
      <c r="I246" s="189" t="n">
        <v>31.5</v>
      </c>
      <c r="J246" s="11" t="n">
        <v>32.2</v>
      </c>
      <c r="K246" s="171" t="n"/>
      <c r="L246" s="166" t="n"/>
    </row>
    <row r="247" ht="17.45" customHeight="1" s="2">
      <c r="A247" s="188" t="inlineStr">
        <is>
          <t>Total hours for productivity</t>
        </is>
      </c>
      <c r="B247" s="10" t="n">
        <v>1665.5</v>
      </c>
      <c r="C247" s="189" t="n">
        <v>1619</v>
      </c>
      <c r="D247" s="10" t="n">
        <v>1623.75</v>
      </c>
      <c r="E247" s="10" t="n">
        <v>1774.75</v>
      </c>
      <c r="F247" s="189" t="n">
        <v>1791</v>
      </c>
      <c r="G247" s="10" t="n">
        <v>1760.25</v>
      </c>
      <c r="H247" s="10" t="n">
        <v>1706.5</v>
      </c>
      <c r="I247" s="189" t="n">
        <v>1763.5</v>
      </c>
      <c r="J247" s="11" t="n">
        <v>1725.75</v>
      </c>
      <c r="K247" s="171" t="n"/>
      <c r="L247" s="166" t="n"/>
    </row>
    <row r="248" ht="17.45" customHeight="1" s="2">
      <c r="A248" s="188" t="inlineStr">
        <is>
          <t>Training Hours used</t>
        </is>
      </c>
      <c r="B248" s="10" t="n">
        <v>109</v>
      </c>
      <c r="C248" s="189" t="n">
        <v>94.5</v>
      </c>
      <c r="D248" s="10" t="n">
        <v>108.5</v>
      </c>
      <c r="E248" s="10" t="n">
        <v>43.5</v>
      </c>
      <c r="F248" s="189" t="n">
        <v>8</v>
      </c>
      <c r="G248" s="10" t="n">
        <v>16.5</v>
      </c>
      <c r="H248" s="10" t="n">
        <v>27.5</v>
      </c>
      <c r="I248" s="189" t="n"/>
      <c r="J248" s="22" t="n"/>
      <c r="K248" s="186" t="n"/>
      <c r="L248" s="166" t="n"/>
    </row>
    <row r="249" ht="18" customHeight="1" s="2" thickBot="1">
      <c r="A249" s="193" t="inlineStr">
        <is>
          <t>Number of hours used to cover sick leave</t>
        </is>
      </c>
      <c r="B249" s="15" t="n">
        <v>4.75</v>
      </c>
      <c r="C249" s="14" t="n"/>
      <c r="D249" s="15" t="n">
        <v>20</v>
      </c>
      <c r="E249" s="15" t="n">
        <v>22</v>
      </c>
      <c r="F249" s="194" t="n">
        <v>0</v>
      </c>
      <c r="G249" s="15" t="n">
        <v>41.5</v>
      </c>
      <c r="H249" s="15" t="n">
        <v>93</v>
      </c>
      <c r="I249" s="194" t="n"/>
      <c r="J249" s="29" t="n">
        <v>55</v>
      </c>
      <c r="K249" s="186" t="n"/>
      <c r="L249" s="166" t="n"/>
    </row>
    <row r="250" ht="15.95" customHeight="1" s="2" thickBot="1">
      <c r="A250" s="195" t="inlineStr">
        <is>
          <t>Minimum HOURS</t>
        </is>
      </c>
      <c r="B250" s="196" t="inlineStr">
        <is>
          <t xml:space="preserve">Kitchen </t>
        </is>
      </c>
      <c r="C250" s="16" t="n">
        <v>599</v>
      </c>
      <c r="D250" s="31" t="n"/>
      <c r="E250" s="196" t="inlineStr">
        <is>
          <t xml:space="preserve">Kitchen </t>
        </is>
      </c>
      <c r="F250" s="16" t="n">
        <v>600.5</v>
      </c>
      <c r="G250" s="17" t="n"/>
      <c r="H250" s="196" t="inlineStr">
        <is>
          <t xml:space="preserve">Kitchen </t>
        </is>
      </c>
      <c r="I250" s="16" t="n">
        <v>600.5</v>
      </c>
      <c r="J250" s="31" t="n"/>
      <c r="K250" s="180" t="n"/>
      <c r="L250" s="166" t="n"/>
    </row>
    <row r="251" ht="15.95" customHeight="1" s="2" thickBot="1">
      <c r="A251" s="197" t="n"/>
      <c r="B251" s="198" t="inlineStr">
        <is>
          <t xml:space="preserve">Floor </t>
        </is>
      </c>
      <c r="C251" s="18" t="n">
        <v>850</v>
      </c>
      <c r="D251" s="31" t="n"/>
      <c r="E251" s="198" t="inlineStr">
        <is>
          <t xml:space="preserve">Floor </t>
        </is>
      </c>
      <c r="F251" s="18" t="n">
        <v>863</v>
      </c>
      <c r="G251" s="26" t="n"/>
      <c r="H251" s="198" t="inlineStr">
        <is>
          <t xml:space="preserve">Floor </t>
        </is>
      </c>
      <c r="I251" s="18" t="n">
        <v>863</v>
      </c>
      <c r="J251" s="31" t="n"/>
      <c r="K251" s="180" t="n"/>
      <c r="L251" s="166" t="n"/>
    </row>
    <row r="252" ht="15.95" customHeight="1" s="2" thickBot="1">
      <c r="A252" s="197" t="n"/>
      <c r="B252" s="199" t="inlineStr">
        <is>
          <t>TOTAL</t>
        </is>
      </c>
      <c r="C252" s="42">
        <f>SUM(C250:C251)</f>
        <v/>
      </c>
      <c r="D252" s="42">
        <f>SUM(D250:D251)</f>
        <v/>
      </c>
      <c r="E252" s="199" t="inlineStr">
        <is>
          <t>TOTAL</t>
        </is>
      </c>
      <c r="F252" s="42">
        <f>SUM(F250:F251)</f>
        <v/>
      </c>
      <c r="G252" s="42">
        <f>SUM(G250:G251)</f>
        <v/>
      </c>
      <c r="H252" s="199" t="inlineStr">
        <is>
          <t>TOTAL</t>
        </is>
      </c>
      <c r="I252" s="42">
        <f>SUM(I250:I251)</f>
        <v/>
      </c>
      <c r="J252" s="42">
        <f>SUM(J250:J251)</f>
        <v/>
      </c>
      <c r="K252" s="180" t="n"/>
      <c r="L252" s="166" t="n"/>
    </row>
    <row r="253" ht="15.6" customHeight="1" s="2">
      <c r="A253" s="166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166" t="n"/>
      <c r="L253" s="166" t="n"/>
    </row>
    <row r="254" ht="17.45" customHeight="1" s="2">
      <c r="A254" s="166" t="n"/>
      <c r="B254" s="202" t="inlineStr">
        <is>
          <t>Pranish(milko run T2)</t>
        </is>
      </c>
      <c r="C254" s="166" t="n"/>
      <c r="D254" s="202" t="n">
        <v>8</v>
      </c>
      <c r="E254" s="202" t="inlineStr">
        <is>
          <t>Justin (prepT3)</t>
        </is>
      </c>
      <c r="F254" s="166" t="n"/>
      <c r="G254" s="202" t="n">
        <v>8</v>
      </c>
      <c r="H254" s="166" t="n"/>
      <c r="I254" s="166" t="n"/>
      <c r="J254" s="166" t="n"/>
      <c r="K254" s="166" t="n"/>
      <c r="L254" s="166" t="n"/>
    </row>
    <row r="255" ht="17.45" customHeight="1" s="2">
      <c r="A255" s="166" t="n"/>
      <c r="B255" s="202" t="inlineStr">
        <is>
          <t>Pradeep(prepT5</t>
        </is>
      </c>
      <c r="C255" s="166" t="n"/>
      <c r="D255" s="202" t="n">
        <v>8</v>
      </c>
      <c r="E255" s="202" t="inlineStr">
        <is>
          <t>Ferdous(Prep T4)</t>
        </is>
      </c>
      <c r="F255" s="166" t="n"/>
      <c r="G255" s="202" t="n">
        <v>8.5</v>
      </c>
      <c r="H255" s="166" t="n"/>
      <c r="I255" s="166" t="n"/>
      <c r="J255" s="166" t="n"/>
      <c r="K255" s="166" t="n"/>
      <c r="L255" s="166" t="n"/>
    </row>
    <row r="256" ht="17.45" customHeight="1" s="2">
      <c r="A256" s="166" t="n"/>
      <c r="B256" s="202" t="inlineStr">
        <is>
          <t>Dat(Grill T1-T4</t>
        </is>
      </c>
      <c r="C256" s="166" t="n"/>
      <c r="D256" s="202" t="n">
        <v>20</v>
      </c>
      <c r="E256" s="166" t="n"/>
      <c r="F256" s="166" t="n"/>
      <c r="G256" s="166" t="n"/>
      <c r="H256" s="166" t="n"/>
      <c r="I256" s="166" t="n"/>
      <c r="J256" s="166" t="n"/>
      <c r="K256" s="166" t="n"/>
      <c r="L256" s="166" t="n"/>
    </row>
    <row r="257" ht="17.45" customHeight="1" s="2">
      <c r="A257" s="166" t="n"/>
      <c r="B257" s="202" t="inlineStr">
        <is>
          <t>Ferdous(Prep T3 (T4 cxld)</t>
        </is>
      </c>
      <c r="C257" s="166" t="n"/>
      <c r="D257" s="202" t="n">
        <v>16.5</v>
      </c>
      <c r="E257" s="166" t="n"/>
      <c r="F257" s="166" t="n"/>
      <c r="G257" s="166" t="n"/>
      <c r="H257" s="166" t="n"/>
      <c r="I257" s="166" t="n"/>
      <c r="J257" s="166" t="n"/>
      <c r="K257" s="166" t="n"/>
      <c r="L257" s="166" t="n"/>
    </row>
    <row r="258" ht="17.45" customHeight="1" s="2">
      <c r="A258" s="166" t="n"/>
      <c r="B258" s="202" t="inlineStr">
        <is>
          <t>Dev (Rolling T1</t>
        </is>
      </c>
      <c r="C258" s="166" t="n"/>
      <c r="D258" s="202" t="n">
        <v>5</v>
      </c>
      <c r="E258" s="166" t="n"/>
      <c r="F258" s="166" t="n"/>
      <c r="G258" s="166" t="n"/>
      <c r="H258" s="166" t="n"/>
      <c r="I258" s="166" t="n"/>
      <c r="J258" s="166" t="n"/>
      <c r="K258" s="166" t="n"/>
      <c r="L258" s="166" t="n"/>
    </row>
    <row r="259" ht="17.45" customHeight="1" s="2">
      <c r="A259" s="166" t="n"/>
      <c r="B259" s="202" t="inlineStr">
        <is>
          <t>Mike (stock T4</t>
        </is>
      </c>
      <c r="C259" s="166" t="n"/>
      <c r="D259" s="202" t="n">
        <v>5</v>
      </c>
      <c r="E259" s="166" t="n"/>
      <c r="F259" s="166" t="n"/>
      <c r="G259" s="166" t="n"/>
      <c r="H259" s="166" t="n"/>
      <c r="I259" s="166" t="n"/>
      <c r="J259" s="166" t="n"/>
      <c r="K259" s="166" t="n"/>
      <c r="L259" s="166" t="n"/>
    </row>
    <row r="260" ht="17.45" customHeight="1" s="2">
      <c r="A260" s="166" t="n"/>
      <c r="B260" s="202" t="inlineStr">
        <is>
          <t>Justin (prepT1-T2</t>
        </is>
      </c>
      <c r="C260" s="166" t="n"/>
      <c r="D260" s="202" t="n">
        <v>16</v>
      </c>
      <c r="E260" s="166" t="n"/>
      <c r="F260" s="166" t="n"/>
      <c r="G260" s="166" t="n"/>
      <c r="H260" s="166" t="n"/>
      <c r="I260" s="166" t="n"/>
      <c r="J260" s="166" t="n"/>
      <c r="K260" s="166" t="n"/>
      <c r="L260" s="166" t="n"/>
    </row>
    <row r="261" ht="17.45" customHeight="1" s="2">
      <c r="A261" s="166" t="n"/>
      <c r="B261" s="202" t="inlineStr">
        <is>
          <t>Sonata(bar T1-T3)</t>
        </is>
      </c>
      <c r="C261" s="166" t="n"/>
      <c r="D261" s="202" t="n">
        <v>15</v>
      </c>
      <c r="E261" s="166" t="n"/>
      <c r="F261" s="166" t="n"/>
      <c r="G261" s="166" t="n"/>
      <c r="H261" s="166" t="n"/>
      <c r="I261" s="166" t="n"/>
      <c r="J261" s="166" t="n"/>
      <c r="K261" s="166" t="n"/>
      <c r="L261" s="166" t="n"/>
    </row>
    <row r="262" ht="17.45" customHeight="1" s="2">
      <c r="A262" s="166" t="n"/>
      <c r="B262" s="202" t="inlineStr">
        <is>
          <t>Renata(host T-T3)</t>
        </is>
      </c>
      <c r="C262" s="166" t="n"/>
      <c r="D262" s="202" t="n">
        <v>15</v>
      </c>
      <c r="E262" s="166" t="n"/>
      <c r="F262" s="166" t="n"/>
      <c r="G262" s="166" t="n"/>
      <c r="H262" s="166" t="n"/>
      <c r="I262" s="166" t="n"/>
      <c r="J262" s="166" t="n"/>
      <c r="K262" s="166" t="n"/>
      <c r="L262" s="166" t="n"/>
    </row>
    <row r="263" ht="15" customHeight="1" s="2">
      <c r="A263" s="166" t="n"/>
      <c r="B263" s="168" t="n"/>
      <c r="C263" s="166" t="n"/>
      <c r="D263" s="166" t="n"/>
      <c r="E263" s="168" t="n"/>
      <c r="F263" s="166" t="n"/>
      <c r="G263" s="166" t="n"/>
      <c r="H263" s="168" t="n"/>
      <c r="I263" s="166" t="n"/>
      <c r="J263" s="166" t="n"/>
      <c r="K263" s="166" t="n"/>
      <c r="L263" s="166" t="n"/>
    </row>
    <row r="264" ht="18" customHeight="1" s="2" thickBot="1">
      <c r="A264" s="221" t="n"/>
      <c r="B264" s="222" t="n">
        <v>42576</v>
      </c>
      <c r="C264" s="223" t="n">
        <v>42940</v>
      </c>
      <c r="D264" s="224" t="n"/>
      <c r="E264" s="225" t="n">
        <v>42583</v>
      </c>
      <c r="F264" s="223" t="n">
        <v>42947</v>
      </c>
      <c r="G264" s="224" t="n"/>
      <c r="H264" s="226" t="n">
        <v>42590</v>
      </c>
      <c r="I264" s="228" t="n">
        <v>42954</v>
      </c>
      <c r="J264" s="174" t="n"/>
      <c r="K264" s="166" t="n"/>
      <c r="L264" s="166" t="n"/>
    </row>
    <row r="265" ht="17.85" customHeight="1" s="2" thickBot="1">
      <c r="A265" s="176" t="n"/>
      <c r="B265" s="177" t="inlineStr">
        <is>
          <t>Last Year</t>
        </is>
      </c>
      <c r="C265" s="178" t="inlineStr">
        <is>
          <t>Projected</t>
        </is>
      </c>
      <c r="D265" s="179" t="inlineStr">
        <is>
          <t>Actual</t>
        </is>
      </c>
      <c r="E265" s="177" t="inlineStr">
        <is>
          <t>Last Year</t>
        </is>
      </c>
      <c r="F265" s="178" t="inlineStr">
        <is>
          <t>Projected</t>
        </is>
      </c>
      <c r="G265" s="179" t="inlineStr">
        <is>
          <t>Actual</t>
        </is>
      </c>
      <c r="H265" s="177" t="inlineStr">
        <is>
          <t>Last Year</t>
        </is>
      </c>
      <c r="I265" s="178" t="inlineStr">
        <is>
          <t>Projected</t>
        </is>
      </c>
      <c r="J265" s="179" t="inlineStr">
        <is>
          <t>Actual</t>
        </is>
      </c>
      <c r="K265" s="180" t="n"/>
      <c r="L265" s="166" t="n"/>
    </row>
    <row r="266" ht="18" customHeight="1" s="2">
      <c r="A266" s="181" t="inlineStr">
        <is>
          <t>GROSS TOTAL</t>
        </is>
      </c>
      <c r="B266" s="185" t="n">
        <v>179445</v>
      </c>
      <c r="C266" s="183" t="n">
        <v>166368</v>
      </c>
      <c r="D266" s="184" t="n">
        <v>156344.11</v>
      </c>
      <c r="E266" s="185" t="n">
        <v>186296</v>
      </c>
      <c r="F266" s="183" t="n">
        <v>176899</v>
      </c>
      <c r="G266" s="184" t="n">
        <v>153389.41</v>
      </c>
      <c r="H266" s="185" t="n">
        <v>178838</v>
      </c>
      <c r="I266" s="183" t="n">
        <v>160758</v>
      </c>
      <c r="J266" s="185" t="n">
        <v>170122.43</v>
      </c>
      <c r="K266" s="186" t="n"/>
      <c r="L266" s="166" t="n"/>
    </row>
    <row r="267" ht="17.45" customHeight="1" s="2">
      <c r="A267" s="187" t="inlineStr">
        <is>
          <t>NETT  TOTAL</t>
        </is>
      </c>
      <c r="B267" s="22">
        <f>B266/1.1</f>
        <v/>
      </c>
      <c r="C267" s="9">
        <f>C266/1.1</f>
        <v/>
      </c>
      <c r="D267" s="10">
        <f>D266/1.1</f>
        <v/>
      </c>
      <c r="E267" s="22">
        <f>E266/1.1</f>
        <v/>
      </c>
      <c r="F267" s="9">
        <f>F266/1.1</f>
        <v/>
      </c>
      <c r="G267" s="10">
        <f>G266/1.1</f>
        <v/>
      </c>
      <c r="H267" s="22">
        <f>H266/1.1</f>
        <v/>
      </c>
      <c r="I267" s="9">
        <f>I266/1.1</f>
        <v/>
      </c>
      <c r="J267" s="22">
        <f>J266/1.1</f>
        <v/>
      </c>
      <c r="K267" s="186" t="n"/>
      <c r="L267" s="166" t="n"/>
    </row>
    <row r="268" ht="17.45" customHeight="1" s="2">
      <c r="A268" s="188" t="inlineStr">
        <is>
          <t>Customers</t>
        </is>
      </c>
      <c r="B268" s="10" t="n">
        <v>8291</v>
      </c>
      <c r="C268" s="189" t="n">
        <v>7745</v>
      </c>
      <c r="D268" s="10" t="n">
        <v>7329</v>
      </c>
      <c r="E268" s="10" t="n">
        <v>8191</v>
      </c>
      <c r="F268" s="189" t="n">
        <v>7940</v>
      </c>
      <c r="G268" s="10" t="n">
        <v>7415</v>
      </c>
      <c r="H268" s="10" t="n">
        <v>7894</v>
      </c>
      <c r="I268" s="189" t="n">
        <v>7645</v>
      </c>
      <c r="J268" s="11" t="n">
        <v>8168</v>
      </c>
      <c r="K268" s="171" t="n"/>
      <c r="L268" s="166" t="n"/>
    </row>
    <row r="269" ht="17.45" customHeight="1" s="2">
      <c r="A269" s="188" t="inlineStr">
        <is>
          <t>Average Customer Spend</t>
        </is>
      </c>
      <c r="B269" s="22">
        <f>B266/B268</f>
        <v/>
      </c>
      <c r="C269" s="9">
        <f>C266/C268</f>
        <v/>
      </c>
      <c r="D269" s="10">
        <f>D266/D268</f>
        <v/>
      </c>
      <c r="E269" s="22">
        <f>E266/E268</f>
        <v/>
      </c>
      <c r="F269" s="9">
        <f>F266/F268</f>
        <v/>
      </c>
      <c r="G269" s="10">
        <f>G266/G268</f>
        <v/>
      </c>
      <c r="H269" s="22">
        <f>H266/H268</f>
        <v/>
      </c>
      <c r="I269" s="9">
        <f>I266/I268</f>
        <v/>
      </c>
      <c r="J269" s="11">
        <f>J266/J268</f>
        <v/>
      </c>
      <c r="K269" s="171" t="n"/>
      <c r="L269" s="166" t="n"/>
    </row>
    <row r="270" ht="17.45" customHeight="1" s="2">
      <c r="A270" s="191" t="inlineStr">
        <is>
          <t>Wage % to Gross total</t>
        </is>
      </c>
      <c r="B270" s="210">
        <f>(B273*B274)/B266</f>
        <v/>
      </c>
      <c r="C270" s="9">
        <f>(C273*C274)/C266</f>
        <v/>
      </c>
      <c r="D270" s="22">
        <f>(D273*D274)/D266</f>
        <v/>
      </c>
      <c r="E270" s="210">
        <f>(E273*E274)/E266</f>
        <v/>
      </c>
      <c r="F270" s="9">
        <f>(F273*F274)/F266</f>
        <v/>
      </c>
      <c r="G270" s="22">
        <f>(G273*G274)/G266</f>
        <v/>
      </c>
      <c r="H270" s="210">
        <f>(H273*H274)/H266</f>
        <v/>
      </c>
      <c r="I270" s="9">
        <f>(I273*I274)/I266</f>
        <v/>
      </c>
      <c r="J270" s="11">
        <f>(J273*J274)/J266</f>
        <v/>
      </c>
      <c r="K270" s="171" t="n"/>
      <c r="L270" s="166" t="n"/>
    </row>
    <row r="271" ht="17.45" customHeight="1" s="2">
      <c r="A271" s="191" t="inlineStr">
        <is>
          <t>Wage % to Nett Total</t>
        </is>
      </c>
      <c r="B271" s="210">
        <f>(B273*B274)/B267</f>
        <v/>
      </c>
      <c r="C271" s="9">
        <f>(C273*C274)/C267</f>
        <v/>
      </c>
      <c r="D271" s="22">
        <f>(D273*D274)/D267</f>
        <v/>
      </c>
      <c r="E271" s="210">
        <f>(E273*E274)/E267</f>
        <v/>
      </c>
      <c r="F271" s="9">
        <f>(F273*F274)/F267</f>
        <v/>
      </c>
      <c r="G271" s="22">
        <f>(G273*G274)/G267</f>
        <v/>
      </c>
      <c r="H271" s="210">
        <f>(H273*H274)/H267</f>
        <v/>
      </c>
      <c r="I271" s="9">
        <f>(I273*I274)/I267</f>
        <v/>
      </c>
      <c r="J271" s="11">
        <f>(J273*J274)/J267</f>
        <v/>
      </c>
      <c r="K271" s="171" t="n"/>
      <c r="L271" s="166" t="n"/>
    </row>
    <row r="272" ht="17.45" customHeight="1" s="2">
      <c r="A272" s="188" t="inlineStr">
        <is>
          <t>Productivity</t>
        </is>
      </c>
      <c r="B272" s="22">
        <f>B268/B274</f>
        <v/>
      </c>
      <c r="C272" s="9">
        <f>C268/C274</f>
        <v/>
      </c>
      <c r="D272" s="10">
        <f>D268/D274</f>
        <v/>
      </c>
      <c r="E272" s="22">
        <f>E268/E274</f>
        <v/>
      </c>
      <c r="F272" s="9">
        <f>F268/F274</f>
        <v/>
      </c>
      <c r="G272" s="10">
        <f>G268/G274</f>
        <v/>
      </c>
      <c r="H272" s="22">
        <f>H268/H274</f>
        <v/>
      </c>
      <c r="I272" s="9">
        <f>I268/I274</f>
        <v/>
      </c>
      <c r="J272" s="11">
        <f>J268/J274</f>
        <v/>
      </c>
      <c r="K272" s="171" t="n"/>
      <c r="L272" s="166" t="n"/>
    </row>
    <row r="273" ht="17.45" customHeight="1" s="2">
      <c r="A273" s="188" t="inlineStr">
        <is>
          <t>Average Hourly Rate</t>
        </is>
      </c>
      <c r="B273" s="10" t="n">
        <v>32</v>
      </c>
      <c r="C273" s="189" t="n">
        <v>31.5</v>
      </c>
      <c r="D273" s="10" t="n">
        <v>32.84</v>
      </c>
      <c r="E273" s="10" t="n">
        <v>32.14</v>
      </c>
      <c r="F273" s="189" t="n">
        <v>32</v>
      </c>
      <c r="G273" s="10" t="n">
        <v>33.09</v>
      </c>
      <c r="H273" s="10" t="n">
        <v>31.56</v>
      </c>
      <c r="I273" s="189" t="n">
        <v>32.5</v>
      </c>
      <c r="J273" s="11" t="n">
        <v>32.51</v>
      </c>
      <c r="K273" s="171" t="n"/>
      <c r="L273" s="166" t="n"/>
    </row>
    <row r="274" ht="17.45" customHeight="1" s="2">
      <c r="A274" s="188" t="inlineStr">
        <is>
          <t>Total hours for productivity</t>
        </is>
      </c>
      <c r="B274" s="10" t="n">
        <v>1454.5</v>
      </c>
      <c r="C274" s="189" t="n">
        <v>1537.5</v>
      </c>
      <c r="D274" s="10" t="n">
        <v>1494.5</v>
      </c>
      <c r="E274" s="10" t="n">
        <v>1475.5</v>
      </c>
      <c r="F274" s="189" t="n">
        <v>1608.5</v>
      </c>
      <c r="G274" s="10" t="n">
        <v>1534.5</v>
      </c>
      <c r="H274" s="10" t="n">
        <v>1452.25</v>
      </c>
      <c r="I274" s="189" t="n">
        <v>1503.5</v>
      </c>
      <c r="J274" s="11" t="n">
        <v>1482.5</v>
      </c>
      <c r="K274" s="171" t="n"/>
      <c r="L274" s="166" t="n"/>
    </row>
    <row r="275" ht="17.45" customHeight="1" s="2">
      <c r="A275" s="188" t="inlineStr">
        <is>
          <t>Training Hours used</t>
        </is>
      </c>
      <c r="B275" s="10" t="n">
        <v>17</v>
      </c>
      <c r="C275" s="189" t="n">
        <v>75</v>
      </c>
      <c r="D275" s="10" t="n">
        <v>62.5</v>
      </c>
      <c r="E275" s="10" t="n">
        <v>15</v>
      </c>
      <c r="F275" s="189" t="n">
        <v>137</v>
      </c>
      <c r="G275" s="10" t="n">
        <v>177.5</v>
      </c>
      <c r="H275" s="10" t="n">
        <v>35.5</v>
      </c>
      <c r="I275" s="189" t="n"/>
      <c r="J275" s="22" t="n">
        <v>76.5</v>
      </c>
      <c r="K275" s="186" t="n"/>
      <c r="L275" s="166" t="n"/>
    </row>
    <row r="276" ht="18" customHeight="1" s="2" thickBot="1">
      <c r="A276" s="193" t="inlineStr">
        <is>
          <t>Number of hours used to cover sick leave</t>
        </is>
      </c>
      <c r="B276" s="15" t="n">
        <v>42.5</v>
      </c>
      <c r="C276" s="14" t="n"/>
      <c r="D276" s="15" t="n"/>
      <c r="E276" s="15" t="n">
        <v>53</v>
      </c>
      <c r="F276" s="194" t="n"/>
      <c r="G276" s="15" t="n"/>
      <c r="H276" s="15" t="n">
        <v>57.25</v>
      </c>
      <c r="I276" s="194" t="n"/>
      <c r="J276" s="29" t="n">
        <v>13</v>
      </c>
      <c r="K276" s="186" t="n"/>
      <c r="L276" s="166" t="n"/>
    </row>
    <row r="277" ht="15.95" customHeight="1" s="2" thickBot="1">
      <c r="A277" s="195" t="inlineStr">
        <is>
          <t>Minimum HOURS</t>
        </is>
      </c>
      <c r="B277" s="196" t="inlineStr">
        <is>
          <t xml:space="preserve">Kitchen </t>
        </is>
      </c>
      <c r="C277" s="16" t="n"/>
      <c r="D277" s="31" t="n"/>
      <c r="E277" s="196" t="inlineStr">
        <is>
          <t xml:space="preserve">Kitchen </t>
        </is>
      </c>
      <c r="F277" s="16" t="n">
        <v>623</v>
      </c>
      <c r="G277" s="17" t="n"/>
      <c r="H277" s="196" t="inlineStr">
        <is>
          <t xml:space="preserve">Kitchen </t>
        </is>
      </c>
      <c r="I277" s="16" t="n">
        <v>518</v>
      </c>
      <c r="J277" s="31" t="n"/>
      <c r="K277" s="180" t="n"/>
      <c r="L277" s="166" t="n"/>
    </row>
    <row r="278" ht="15.95" customHeight="1" s="2" thickBot="1">
      <c r="A278" s="197" t="n"/>
      <c r="B278" s="198" t="inlineStr">
        <is>
          <t xml:space="preserve">Floor </t>
        </is>
      </c>
      <c r="C278" s="18" t="n"/>
      <c r="D278" s="31" t="n"/>
      <c r="E278" s="198" t="inlineStr">
        <is>
          <t xml:space="preserve">Floor </t>
        </is>
      </c>
      <c r="F278" s="18" t="n">
        <v>805</v>
      </c>
      <c r="G278" s="26" t="n"/>
      <c r="H278" s="198" t="inlineStr">
        <is>
          <t xml:space="preserve">Floor </t>
        </is>
      </c>
      <c r="I278" s="18" t="n">
        <v>724</v>
      </c>
      <c r="J278" s="31" t="n"/>
      <c r="K278" s="180" t="n"/>
      <c r="L278" s="166" t="n"/>
    </row>
    <row r="279" ht="15.95" customHeight="1" s="2" thickBot="1">
      <c r="A279" s="197" t="n"/>
      <c r="B279" s="199" t="inlineStr">
        <is>
          <t>TOTAL</t>
        </is>
      </c>
      <c r="C279" s="42">
        <f>SUM(C277:C278)</f>
        <v/>
      </c>
      <c r="D279" s="42">
        <f>SUM(D277:D278)</f>
        <v/>
      </c>
      <c r="E279" s="199" t="inlineStr">
        <is>
          <t>TOTAL</t>
        </is>
      </c>
      <c r="F279" s="42">
        <f>SUM(F277:F278)</f>
        <v/>
      </c>
      <c r="G279" s="42">
        <f>SUM(G277:G278)</f>
        <v/>
      </c>
      <c r="H279" s="199" t="inlineStr">
        <is>
          <t>TOTAL</t>
        </is>
      </c>
      <c r="I279" s="42">
        <f>SUM(I277:I278)</f>
        <v/>
      </c>
      <c r="J279" s="42">
        <f>SUM(J277:J278)</f>
        <v/>
      </c>
      <c r="K279" s="180" t="n"/>
      <c r="L279" s="166" t="n"/>
    </row>
    <row r="280" ht="15.6" customHeight="1" s="2">
      <c r="A280" s="166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166" t="n"/>
      <c r="L280" s="166" t="n"/>
    </row>
    <row r="281" ht="17.45" customHeight="1" s="2">
      <c r="A281" s="166" t="n"/>
      <c r="B281" s="202" t="inlineStr">
        <is>
          <t>Nikita (induction)</t>
        </is>
      </c>
      <c r="C281" s="202" t="n">
        <v>5</v>
      </c>
      <c r="D281" s="166" t="n"/>
      <c r="E281" s="202" t="inlineStr">
        <is>
          <t>Nkita (T1-T5)</t>
        </is>
      </c>
      <c r="F281" s="202" t="n">
        <v>25</v>
      </c>
      <c r="G281" s="166" t="n"/>
      <c r="H281" s="202" t="inlineStr">
        <is>
          <t>Jonas (sup T2-T4)</t>
        </is>
      </c>
      <c r="I281" s="166" t="n"/>
      <c r="J281" s="202" t="n">
        <v>23.5</v>
      </c>
      <c r="K281" s="166" t="n"/>
      <c r="L281" s="166" t="n"/>
    </row>
    <row r="282" ht="17.45" customHeight="1" s="2">
      <c r="A282" s="166" t="n"/>
      <c r="B282" s="202" t="inlineStr">
        <is>
          <t>Luiz(induction)</t>
        </is>
      </c>
      <c r="C282" s="202" t="n">
        <v>5</v>
      </c>
      <c r="D282" s="166" t="n"/>
      <c r="E282" s="202" t="inlineStr">
        <is>
          <t>Cherrin(T1- T5)</t>
        </is>
      </c>
      <c r="F282" s="202" t="n">
        <v>20</v>
      </c>
      <c r="G282" s="166" t="n"/>
      <c r="H282" s="202" t="inlineStr">
        <is>
          <t>Ligitas (topping T1-T3</t>
        </is>
      </c>
      <c r="I282" s="166" t="n"/>
      <c r="J282" s="202" t="n">
        <v>12</v>
      </c>
      <c r="K282" s="166" t="n"/>
      <c r="L282" s="166" t="n"/>
    </row>
    <row r="283" ht="17.45" customHeight="1" s="2">
      <c r="A283" s="166" t="n"/>
      <c r="B283" s="202" t="inlineStr">
        <is>
          <t>Cherin(induction)</t>
        </is>
      </c>
      <c r="C283" s="202" t="n">
        <v>5</v>
      </c>
      <c r="D283" s="166" t="n"/>
      <c r="E283" s="202" t="inlineStr">
        <is>
          <t>Luiz(T1- T5)</t>
        </is>
      </c>
      <c r="F283" s="202" t="n">
        <v>20</v>
      </c>
      <c r="G283" s="166" t="n"/>
      <c r="H283" s="202" t="inlineStr">
        <is>
          <t>Mike (Grill T1-T4</t>
        </is>
      </c>
      <c r="I283" s="166" t="n"/>
      <c r="J283" s="202" t="n">
        <v>20</v>
      </c>
      <c r="K283" s="166" t="n"/>
      <c r="L283" s="166" t="n"/>
    </row>
    <row r="284" ht="17.45" customHeight="1" s="2">
      <c r="A284" s="166" t="n"/>
      <c r="B284" s="202" t="inlineStr">
        <is>
          <t>Ryuma(induction)</t>
        </is>
      </c>
      <c r="C284" s="202" t="n">
        <v>5</v>
      </c>
      <c r="D284" s="166" t="n"/>
      <c r="E284" s="202" t="inlineStr">
        <is>
          <t>Ryuma(T1- T5)</t>
        </is>
      </c>
      <c r="F284" s="202" t="n">
        <v>20</v>
      </c>
      <c r="G284" s="166" t="n"/>
      <c r="H284" s="202" t="inlineStr">
        <is>
          <t>Pradeep(pizzaT3)</t>
        </is>
      </c>
      <c r="I284" s="166" t="n"/>
      <c r="J284" s="202" t="n">
        <v>5</v>
      </c>
      <c r="K284" s="166" t="n"/>
      <c r="L284" s="166" t="n"/>
    </row>
    <row r="285" ht="17.45" customHeight="1" s="2">
      <c r="A285" s="166" t="n"/>
      <c r="B285" s="202" t="inlineStr">
        <is>
          <t>Jin (induction)</t>
        </is>
      </c>
      <c r="C285" s="202" t="n">
        <v>3</v>
      </c>
      <c r="D285" s="166" t="n"/>
      <c r="E285" s="202" t="inlineStr">
        <is>
          <t>Zavis(B'fast T1-T2)</t>
        </is>
      </c>
      <c r="F285" s="202" t="n">
        <v>15</v>
      </c>
      <c r="G285" s="166" t="n"/>
      <c r="H285" s="202" t="inlineStr">
        <is>
          <t>Jin(stocking T4)</t>
        </is>
      </c>
      <c r="I285" s="166" t="n"/>
      <c r="J285" s="202" t="n">
        <v>5</v>
      </c>
      <c r="K285" s="166" t="n"/>
      <c r="L285" s="166" t="n"/>
    </row>
    <row r="286" ht="17.45" customHeight="1" s="2">
      <c r="A286" s="166" t="n"/>
      <c r="B286" s="202" t="inlineStr">
        <is>
          <t>Animesh (induction)</t>
        </is>
      </c>
      <c r="C286" s="202" t="n">
        <v>3</v>
      </c>
      <c r="D286" s="166" t="n"/>
      <c r="E286" s="202" t="inlineStr">
        <is>
          <t>Peter(host T1-T3)</t>
        </is>
      </c>
      <c r="F286" s="202" t="n">
        <v>22.5</v>
      </c>
      <c r="G286" s="166" t="n"/>
      <c r="H286" s="202" t="inlineStr">
        <is>
          <t>Jin (creping T3</t>
        </is>
      </c>
      <c r="I286" s="166" t="n"/>
      <c r="J286" s="202" t="n">
        <v>6</v>
      </c>
      <c r="K286" s="166" t="n"/>
      <c r="L286" s="166" t="n"/>
    </row>
    <row r="287" ht="17.45" customHeight="1" s="2">
      <c r="A287" s="166" t="n"/>
      <c r="B287" s="202" t="inlineStr">
        <is>
          <t>Justin (induction trainer)</t>
        </is>
      </c>
      <c r="C287" s="202" t="n">
        <v>5</v>
      </c>
      <c r="D287" s="166" t="n"/>
      <c r="E287" s="202" t="inlineStr">
        <is>
          <t>Jonas (sup T1)</t>
        </is>
      </c>
      <c r="F287" s="202" t="n">
        <v>8</v>
      </c>
      <c r="G287" s="166" t="n"/>
      <c r="H287" s="202" t="inlineStr">
        <is>
          <t>Zavis(Stocking T2)</t>
        </is>
      </c>
      <c r="I287" s="166" t="n"/>
      <c r="J287" s="202" t="n">
        <v>5</v>
      </c>
      <c r="K287" s="166" t="n"/>
      <c r="L287" s="166" t="n"/>
    </row>
    <row r="288" ht="17.45" customHeight="1" s="2">
      <c r="A288" s="166" t="n"/>
      <c r="B288" s="202" t="inlineStr">
        <is>
          <t>Pratit (induction trainer)</t>
        </is>
      </c>
      <c r="C288" s="202" t="n">
        <v>3</v>
      </c>
      <c r="D288" s="166" t="n"/>
      <c r="E288" s="202" t="inlineStr">
        <is>
          <t>Jin (creping T1-T2</t>
        </is>
      </c>
      <c r="F288" s="202" t="n">
        <v>12</v>
      </c>
      <c r="G288" s="166" t="n"/>
      <c r="H288" s="166" t="n"/>
      <c r="I288" s="166" t="n"/>
      <c r="J288" s="166" t="n"/>
      <c r="K288" s="166" t="n"/>
      <c r="L288" s="166" t="n"/>
    </row>
    <row r="289" ht="17.45" customHeight="1" s="2">
      <c r="A289" s="166" t="n"/>
      <c r="B289" s="202" t="inlineStr">
        <is>
          <t>Pradeep(pizzaT1-T2</t>
        </is>
      </c>
      <c r="C289" s="202" t="n">
        <v>10</v>
      </c>
      <c r="D289" s="166" t="n"/>
      <c r="E289" s="202" t="inlineStr">
        <is>
          <t>Jin(stocking T1-T3</t>
        </is>
      </c>
      <c r="F289" s="202" t="n">
        <v>15</v>
      </c>
      <c r="G289" s="166" t="n"/>
      <c r="H289" s="166" t="n"/>
      <c r="I289" s="166" t="n"/>
      <c r="J289" s="166" t="n"/>
      <c r="K289" s="166" t="n"/>
      <c r="L289" s="166" t="n"/>
    </row>
    <row r="290" ht="17.45" customHeight="1" s="2">
      <c r="A290" s="166" t="n"/>
      <c r="B290" s="202" t="inlineStr">
        <is>
          <t>Jin (Dishy T1)</t>
        </is>
      </c>
      <c r="C290" s="202" t="n">
        <v>5</v>
      </c>
      <c r="D290" s="166" t="n"/>
      <c r="E290" s="202" t="inlineStr">
        <is>
          <t>Zavis(Stocking T1)</t>
        </is>
      </c>
      <c r="F290" s="202" t="n">
        <v>5</v>
      </c>
      <c r="G290" s="166" t="n"/>
      <c r="H290" s="166" t="n"/>
      <c r="I290" s="166" t="n"/>
      <c r="J290" s="166" t="n"/>
      <c r="K290" s="166" t="n"/>
      <c r="L290" s="166" t="n"/>
    </row>
    <row r="291" ht="17.45" customHeight="1" s="2">
      <c r="A291" s="166" t="n"/>
      <c r="B291" s="202" t="inlineStr">
        <is>
          <t>Animesh (Dishy T1</t>
        </is>
      </c>
      <c r="C291" s="202" t="n">
        <v>5</v>
      </c>
      <c r="D291" s="166" t="n"/>
      <c r="E291" s="202" t="inlineStr">
        <is>
          <t>Animesh (pizza T1-T3)</t>
        </is>
      </c>
      <c r="F291" s="202" t="n">
        <v>15</v>
      </c>
      <c r="G291" s="166" t="n"/>
      <c r="H291" s="166" t="n"/>
      <c r="I291" s="166" t="n"/>
      <c r="J291" s="166" t="n"/>
      <c r="K291" s="166" t="n"/>
      <c r="L291" s="166" t="n"/>
    </row>
    <row r="292" ht="17.45" customHeight="1" s="2">
      <c r="A292" s="166" t="n"/>
      <c r="B292" s="202" t="inlineStr">
        <is>
          <t>Justin (prep T4)</t>
        </is>
      </c>
      <c r="C292" s="202" t="n">
        <v>8.5</v>
      </c>
      <c r="D292" s="166" t="n"/>
      <c r="E292" s="166" t="n"/>
      <c r="F292" s="166" t="n"/>
      <c r="G292" s="166" t="n"/>
      <c r="H292" s="166" t="n"/>
      <c r="I292" s="166" t="n"/>
      <c r="J292" s="166" t="n"/>
      <c r="K292" s="166" t="n"/>
      <c r="L292" s="166" t="n"/>
    </row>
    <row r="293" ht="15" customHeight="1" s="2">
      <c r="A293" s="166" t="n"/>
      <c r="B293" s="166" t="n"/>
      <c r="C293" s="166" t="n"/>
      <c r="D293" s="166" t="n"/>
      <c r="E293" s="166" t="n"/>
      <c r="F293" s="166" t="n"/>
      <c r="G293" s="166" t="n"/>
      <c r="H293" s="166" t="n"/>
      <c r="I293" s="166" t="n"/>
      <c r="J293" s="166" t="n"/>
      <c r="K293" s="166" t="n"/>
      <c r="L293" s="166" t="n"/>
    </row>
    <row r="294" ht="15" customHeight="1" s="2">
      <c r="A294" s="166" t="n"/>
      <c r="B294" s="168" t="n"/>
      <c r="C294" s="166" t="n"/>
      <c r="D294" s="166" t="n"/>
      <c r="E294" s="168" t="n"/>
      <c r="F294" s="166" t="n"/>
      <c r="G294" s="166" t="n"/>
      <c r="H294" s="168" t="n"/>
      <c r="I294" s="166" t="n"/>
      <c r="J294" s="166" t="n"/>
      <c r="K294" s="166" t="n"/>
      <c r="L294" s="166" t="n"/>
    </row>
    <row r="295" ht="18" customHeight="1" s="2" thickBot="1">
      <c r="A295" s="221" t="n"/>
      <c r="B295" s="222" t="n">
        <v>42597</v>
      </c>
      <c r="C295" s="223" t="n">
        <v>42596</v>
      </c>
      <c r="D295" s="224" t="n"/>
      <c r="E295" s="225" t="n">
        <v>42604</v>
      </c>
      <c r="F295" s="223" t="n">
        <v>42968</v>
      </c>
      <c r="G295" s="224" t="n"/>
      <c r="H295" s="225" t="n">
        <v>42611</v>
      </c>
      <c r="I295" s="223" t="n">
        <v>42975</v>
      </c>
      <c r="J295" s="174" t="n"/>
      <c r="K295" s="166" t="n"/>
      <c r="L295" s="166" t="n"/>
    </row>
    <row r="296" ht="17.85" customHeight="1" s="2" thickBot="1">
      <c r="A296" s="176" t="n"/>
      <c r="B296" s="177" t="inlineStr">
        <is>
          <t>Last Year</t>
        </is>
      </c>
      <c r="C296" s="178" t="inlineStr">
        <is>
          <t>Projected</t>
        </is>
      </c>
      <c r="D296" s="179" t="inlineStr">
        <is>
          <t>Actual</t>
        </is>
      </c>
      <c r="E296" s="177" t="inlineStr">
        <is>
          <t>Last Year</t>
        </is>
      </c>
      <c r="F296" s="178" t="inlineStr">
        <is>
          <t>Projected</t>
        </is>
      </c>
      <c r="G296" s="179" t="inlineStr">
        <is>
          <t>Actual</t>
        </is>
      </c>
      <c r="H296" s="177" t="inlineStr">
        <is>
          <t>Last Year</t>
        </is>
      </c>
      <c r="I296" s="178" t="inlineStr">
        <is>
          <t>Projected</t>
        </is>
      </c>
      <c r="J296" s="179" t="inlineStr">
        <is>
          <t>Actual</t>
        </is>
      </c>
      <c r="K296" s="180" t="n"/>
      <c r="L296" s="166" t="n"/>
    </row>
    <row r="297" ht="18" customHeight="1" s="2">
      <c r="A297" s="181" t="inlineStr">
        <is>
          <t>GROSS TOTAL</t>
        </is>
      </c>
      <c r="B297" s="185" t="n">
        <v>190359</v>
      </c>
      <c r="C297" s="183" t="n">
        <v>172661</v>
      </c>
      <c r="D297" s="184" t="n">
        <v>185531.97</v>
      </c>
      <c r="E297" s="185" t="n">
        <v>187158</v>
      </c>
      <c r="F297" s="183" t="n">
        <v>165670</v>
      </c>
      <c r="G297" s="184" t="n">
        <v>183533.96</v>
      </c>
      <c r="H297" s="185" t="n">
        <v>163986.99</v>
      </c>
      <c r="I297" s="183" t="n">
        <v>164751</v>
      </c>
      <c r="J297" s="185" t="n">
        <v>154288.27</v>
      </c>
      <c r="K297" s="186" t="n"/>
      <c r="L297" s="166" t="n"/>
    </row>
    <row r="298" ht="17.45" customHeight="1" s="2">
      <c r="A298" s="187" t="inlineStr">
        <is>
          <t>NETT  TOTAL</t>
        </is>
      </c>
      <c r="B298" s="22">
        <f>B297/1.1</f>
        <v/>
      </c>
      <c r="C298" s="9">
        <f>C297/1.1</f>
        <v/>
      </c>
      <c r="D298" s="10">
        <f>D297/1.1</f>
        <v/>
      </c>
      <c r="E298" s="22">
        <f>E297/1.1</f>
        <v/>
      </c>
      <c r="F298" s="9">
        <f>F297/1.1</f>
        <v/>
      </c>
      <c r="G298" s="10">
        <f>G297/1.1</f>
        <v/>
      </c>
      <c r="H298" s="22">
        <f>H297/1.1</f>
        <v/>
      </c>
      <c r="I298" s="9" t="n">
        <v>149773.6363636364</v>
      </c>
      <c r="J298" s="22" t="n">
        <v>140262.0636363636</v>
      </c>
      <c r="K298" s="186" t="n"/>
      <c r="L298" s="166" t="n"/>
    </row>
    <row r="299" ht="17.45" customHeight="1" s="2">
      <c r="A299" s="188" t="inlineStr">
        <is>
          <t>Customers</t>
        </is>
      </c>
      <c r="B299" s="10" t="n">
        <v>8638</v>
      </c>
      <c r="C299" s="189" t="n">
        <v>8220</v>
      </c>
      <c r="D299" s="10" t="n">
        <v>8756</v>
      </c>
      <c r="E299" s="10" t="n">
        <v>8684</v>
      </c>
      <c r="F299" s="189" t="n">
        <v>7830</v>
      </c>
      <c r="G299" s="10" t="n">
        <v>8873</v>
      </c>
      <c r="H299" s="10" t="n">
        <v>7496</v>
      </c>
      <c r="I299" s="189" t="n">
        <v>7885</v>
      </c>
      <c r="J299" s="11" t="n">
        <v>7340</v>
      </c>
      <c r="K299" s="171" t="n"/>
      <c r="L299" s="166" t="n"/>
    </row>
    <row r="300" ht="17.45" customHeight="1" s="2">
      <c r="A300" s="188" t="inlineStr">
        <is>
          <t>Average Customer Spend</t>
        </is>
      </c>
      <c r="B300" s="22">
        <f>B297/B299</f>
        <v/>
      </c>
      <c r="C300" s="9">
        <f>C297/C299</f>
        <v/>
      </c>
      <c r="D300" s="10">
        <f>D297/D299</f>
        <v/>
      </c>
      <c r="E300" s="22">
        <f>E297/E299</f>
        <v/>
      </c>
      <c r="F300" s="9">
        <f>F297/F299</f>
        <v/>
      </c>
      <c r="G300" s="10">
        <f>G297/G299</f>
        <v/>
      </c>
      <c r="H300" s="22">
        <f>H297/H299</f>
        <v/>
      </c>
      <c r="I300" s="9" t="n">
        <v>20.89422954977806</v>
      </c>
      <c r="J300" s="11" t="n">
        <v>21.02020027247956</v>
      </c>
      <c r="K300" s="171" t="n"/>
      <c r="L300" s="166" t="n"/>
    </row>
    <row r="301" ht="17.45" customHeight="1" s="2">
      <c r="A301" s="191" t="inlineStr">
        <is>
          <t>Wage % to Gross total</t>
        </is>
      </c>
      <c r="B301" s="210">
        <f>(B304*B305)/B297</f>
        <v/>
      </c>
      <c r="C301" s="9">
        <f>(C304*C305)/C297</f>
        <v/>
      </c>
      <c r="D301" s="22">
        <f>(D304*D305)/D297</f>
        <v/>
      </c>
      <c r="E301" s="210">
        <f>(E304*E305)/E297</f>
        <v/>
      </c>
      <c r="F301" s="9">
        <f>(F304*F305)/F297</f>
        <v/>
      </c>
      <c r="G301" s="22">
        <f>(G304*G305)/G297</f>
        <v/>
      </c>
      <c r="H301" s="210">
        <f>(H304*H305)/H297</f>
        <v/>
      </c>
      <c r="I301" s="9" t="n">
        <v>0.3055277357952304</v>
      </c>
      <c r="J301" s="11" t="n">
        <v>0.3244796250550998</v>
      </c>
      <c r="K301" s="171" t="n"/>
      <c r="L301" s="166" t="n"/>
    </row>
    <row r="302" ht="17.45" customHeight="1" s="2">
      <c r="A302" s="191" t="inlineStr">
        <is>
          <t>Wage % to Nett Total</t>
        </is>
      </c>
      <c r="B302" s="210">
        <f>(B304*B305)/B298</f>
        <v/>
      </c>
      <c r="C302" s="9">
        <f>(C304*C305)/C298</f>
        <v/>
      </c>
      <c r="D302" s="22">
        <f>(D304*D305)/D298</f>
        <v/>
      </c>
      <c r="E302" s="210">
        <f>(E304*E305)/E298</f>
        <v/>
      </c>
      <c r="F302" s="9">
        <f>(F304*F305)/F298</f>
        <v/>
      </c>
      <c r="G302" s="22">
        <f>(G304*G305)/G298</f>
        <v/>
      </c>
      <c r="H302" s="210">
        <f>(H304*H305)/H298</f>
        <v/>
      </c>
      <c r="I302" s="9" t="n">
        <v>0.3360805093747534</v>
      </c>
      <c r="J302" s="11" t="n">
        <v>0.3569275875606098</v>
      </c>
      <c r="K302" s="171" t="n"/>
      <c r="L302" s="166" t="n"/>
    </row>
    <row r="303" ht="17.45" customHeight="1" s="2">
      <c r="A303" s="188" t="inlineStr">
        <is>
          <t>Productivity</t>
        </is>
      </c>
      <c r="B303" s="22">
        <f>B299/B305</f>
        <v/>
      </c>
      <c r="C303" s="9">
        <f>C299/C305</f>
        <v/>
      </c>
      <c r="D303" s="10">
        <f>D299/D305</f>
        <v/>
      </c>
      <c r="E303" s="22">
        <f>E299/E305</f>
        <v/>
      </c>
      <c r="F303" s="9">
        <f>F299/F305</f>
        <v/>
      </c>
      <c r="G303" s="10">
        <f>G299/G305</f>
        <v/>
      </c>
      <c r="H303" s="22">
        <f>H299/H305</f>
        <v/>
      </c>
      <c r="I303" s="9" t="n">
        <v>5.012714558169104</v>
      </c>
      <c r="J303" s="11" t="n">
        <v>4.816272965879265</v>
      </c>
      <c r="K303" s="171" t="n"/>
      <c r="L303" s="166" t="n"/>
    </row>
    <row r="304" ht="17.45" customHeight="1" s="2">
      <c r="A304" s="188" t="inlineStr">
        <is>
          <t>Average Hourly Rate</t>
        </is>
      </c>
      <c r="B304" s="10" t="n">
        <v>32.12</v>
      </c>
      <c r="C304" s="189" t="n">
        <v>32.5</v>
      </c>
      <c r="D304" s="10" t="n">
        <v>32.28</v>
      </c>
      <c r="E304" s="10" t="n">
        <v>31.68</v>
      </c>
      <c r="F304" s="189" t="n">
        <v>32</v>
      </c>
      <c r="G304" s="10" t="n">
        <v>32.31</v>
      </c>
      <c r="H304" s="10" t="n">
        <v>31.97</v>
      </c>
      <c r="I304" s="189" t="n">
        <v>32</v>
      </c>
      <c r="J304" s="11" t="n">
        <v>32.85</v>
      </c>
      <c r="K304" s="171" t="n"/>
      <c r="L304" s="166" t="n"/>
    </row>
    <row r="305" ht="17.45" customHeight="1" s="2">
      <c r="A305" s="188" t="inlineStr">
        <is>
          <t>Total hours for productivity</t>
        </is>
      </c>
      <c r="B305" s="10" t="n">
        <v>1500.25</v>
      </c>
      <c r="C305" s="189" t="n">
        <v>1637</v>
      </c>
      <c r="D305" s="10" t="n">
        <v>1586.75</v>
      </c>
      <c r="E305" s="10" t="n">
        <v>1614</v>
      </c>
      <c r="F305" s="189" t="n">
        <v>1604</v>
      </c>
      <c r="G305" s="10" t="n">
        <v>1582.75</v>
      </c>
      <c r="H305" s="10" t="n">
        <v>1501.5</v>
      </c>
      <c r="I305" s="189" t="n">
        <v>1573</v>
      </c>
      <c r="J305" s="11" t="n">
        <v>1524</v>
      </c>
      <c r="K305" s="171" t="n"/>
      <c r="L305" s="166" t="n"/>
    </row>
    <row r="306" ht="17.45" customHeight="1" s="2">
      <c r="A306" s="188" t="inlineStr">
        <is>
          <t>Training Hours used</t>
        </is>
      </c>
      <c r="B306" s="10" t="n">
        <v>48</v>
      </c>
      <c r="C306" s="189" t="n">
        <v>92.5</v>
      </c>
      <c r="D306" s="10" t="n">
        <v>92.5</v>
      </c>
      <c r="E306" s="10" t="n">
        <v>169.5</v>
      </c>
      <c r="F306" s="189" t="n"/>
      <c r="G306" s="10" t="n">
        <v>40</v>
      </c>
      <c r="H306" s="10" t="n">
        <v>40</v>
      </c>
      <c r="I306" s="189" t="n"/>
      <c r="J306" s="22" t="n">
        <v>25</v>
      </c>
      <c r="K306" s="186" t="n"/>
      <c r="L306" s="166" t="n"/>
    </row>
    <row r="307" ht="18" customHeight="1" s="2" thickBot="1">
      <c r="A307" s="193" t="inlineStr">
        <is>
          <t>Number of hours used to cover sick leave</t>
        </is>
      </c>
      <c r="B307" s="15" t="n">
        <v>57.25</v>
      </c>
      <c r="C307" s="14" t="n"/>
      <c r="D307" s="15" t="n">
        <v>15</v>
      </c>
      <c r="E307" s="15" t="n">
        <v>59.75</v>
      </c>
      <c r="F307" s="194" t="n"/>
      <c r="G307" s="15" t="n">
        <v>15.5</v>
      </c>
      <c r="H307" s="15" t="n"/>
      <c r="I307" s="194" t="n"/>
      <c r="J307" s="29" t="n"/>
      <c r="K307" s="186" t="n"/>
      <c r="L307" s="166" t="n"/>
    </row>
    <row r="308" ht="15.95" customHeight="1" s="2" thickBot="1">
      <c r="A308" s="195" t="inlineStr">
        <is>
          <t>Minimum HOURS</t>
        </is>
      </c>
      <c r="B308" s="196" t="inlineStr">
        <is>
          <t xml:space="preserve">Kitchen </t>
        </is>
      </c>
      <c r="C308" s="16" t="n">
        <v>568</v>
      </c>
      <c r="D308" s="31" t="n"/>
      <c r="E308" s="196" t="inlineStr">
        <is>
          <t xml:space="preserve">Kitchen </t>
        </is>
      </c>
      <c r="F308" s="16" t="n">
        <v>563</v>
      </c>
      <c r="G308" s="17" t="n"/>
      <c r="H308" s="196" t="inlineStr">
        <is>
          <t xml:space="preserve">Kitchen </t>
        </is>
      </c>
      <c r="I308" s="16" t="n">
        <v>571</v>
      </c>
      <c r="J308" s="31" t="n"/>
      <c r="K308" s="180" t="n"/>
      <c r="L308" s="166" t="n"/>
    </row>
    <row r="309" ht="15.95" customHeight="1" s="2" thickBot="1">
      <c r="A309" s="197" t="n"/>
      <c r="B309" s="198" t="inlineStr">
        <is>
          <t xml:space="preserve">Floor </t>
        </is>
      </c>
      <c r="C309" s="18" t="n">
        <v>719</v>
      </c>
      <c r="D309" s="31" t="n"/>
      <c r="E309" s="198" t="inlineStr">
        <is>
          <t xml:space="preserve">Floor </t>
        </is>
      </c>
      <c r="F309" s="18" t="n">
        <v>732</v>
      </c>
      <c r="G309" s="26" t="n"/>
      <c r="H309" s="198" t="inlineStr">
        <is>
          <t xml:space="preserve">Floor </t>
        </is>
      </c>
      <c r="I309" s="18" t="n">
        <v>835</v>
      </c>
      <c r="J309" s="31" t="n"/>
      <c r="K309" s="180" t="n"/>
      <c r="L309" s="166" t="n"/>
    </row>
    <row r="310" ht="15.95" customHeight="1" s="2" thickBot="1">
      <c r="A310" s="197" t="n"/>
      <c r="B310" s="199" t="inlineStr">
        <is>
          <t>TOTAL</t>
        </is>
      </c>
      <c r="C310" s="42">
        <f>SUM(C308:C309)</f>
        <v/>
      </c>
      <c r="D310" s="42">
        <f>SUM(D308:D309)</f>
        <v/>
      </c>
      <c r="E310" s="199" t="inlineStr">
        <is>
          <t>TOTAL</t>
        </is>
      </c>
      <c r="F310" s="42">
        <f>SUM(F308:F309)</f>
        <v/>
      </c>
      <c r="G310" s="42">
        <f>SUM(G308:G309)</f>
        <v/>
      </c>
      <c r="H310" s="199" t="inlineStr">
        <is>
          <t>TOTAL</t>
        </is>
      </c>
      <c r="I310" s="42">
        <f>SUM(I308:I309)</f>
        <v/>
      </c>
      <c r="J310" s="42">
        <f>SUM(J308:J309)</f>
        <v/>
      </c>
      <c r="K310" s="180" t="n"/>
      <c r="L310" s="166" t="n"/>
    </row>
    <row r="311" ht="15.6" customHeight="1" s="2">
      <c r="A311" s="166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166" t="n"/>
      <c r="L311" s="166" t="n"/>
    </row>
    <row r="312" ht="17.45" customHeight="1" s="2">
      <c r="A312" s="166" t="n"/>
      <c r="B312" s="202" t="inlineStr">
        <is>
          <t>Bishal(ind+T1-T4)</t>
        </is>
      </c>
      <c r="C312" s="166" t="n"/>
      <c r="D312" s="202" t="n">
        <v>25</v>
      </c>
      <c r="E312" s="202" t="inlineStr">
        <is>
          <t>Merry T4</t>
        </is>
      </c>
      <c r="F312" s="166" t="n"/>
      <c r="G312" s="202" t="n">
        <v>5</v>
      </c>
      <c r="H312" s="202" t="inlineStr">
        <is>
          <t>Susma (COT1,T2)</t>
        </is>
      </c>
      <c r="I312" s="166" t="n"/>
      <c r="J312" s="202" t="n">
        <v>10</v>
      </c>
      <c r="K312" s="166" t="n"/>
      <c r="L312" s="166" t="n"/>
    </row>
    <row r="313" ht="17.45" customHeight="1" s="2">
      <c r="A313" s="166" t="n"/>
      <c r="B313" s="202" t="inlineStr">
        <is>
          <t>Merry(ind+T1-T3)</t>
        </is>
      </c>
      <c r="C313" s="166" t="n"/>
      <c r="D313" s="202" t="n">
        <v>20</v>
      </c>
      <c r="E313" s="202" t="inlineStr">
        <is>
          <t>Zavis (topping T1-T4)</t>
        </is>
      </c>
      <c r="F313" s="166" t="n"/>
      <c r="G313" s="202" t="n">
        <v>20</v>
      </c>
      <c r="H313" s="202" t="inlineStr">
        <is>
          <t>Subin(Grill T1-T4)</t>
        </is>
      </c>
      <c r="I313" s="166" t="n"/>
      <c r="J313" s="202" t="inlineStr">
        <is>
          <t>cxld</t>
        </is>
      </c>
      <c r="K313" s="166" t="n"/>
      <c r="L313" s="166" t="n"/>
    </row>
    <row r="314" ht="17.45" customHeight="1" s="2">
      <c r="A314" s="166" t="n"/>
      <c r="B314" s="202" t="inlineStr">
        <is>
          <t>Marco(ind+T1-T4)</t>
        </is>
      </c>
      <c r="C314" s="166" t="n"/>
      <c r="D314" s="202" t="n">
        <v>25</v>
      </c>
      <c r="E314" s="202" t="inlineStr">
        <is>
          <t>Keshav(b'fast T3,T4)</t>
        </is>
      </c>
      <c r="F314" s="166" t="n"/>
      <c r="G314" s="202" t="n">
        <v>15</v>
      </c>
      <c r="H314" s="202" t="inlineStr">
        <is>
          <t>Renata (BarT1-T3)</t>
        </is>
      </c>
      <c r="I314" s="166" t="n"/>
      <c r="J314" s="202" t="n">
        <v>15</v>
      </c>
      <c r="K314" s="166" t="n"/>
      <c r="L314" s="166" t="n"/>
    </row>
    <row r="315" ht="17.45" customHeight="1" s="2">
      <c r="A315" s="166" t="n"/>
      <c r="B315" s="202" t="inlineStr">
        <is>
          <t>Keshav(b'fast T1,T2)</t>
        </is>
      </c>
      <c r="C315" s="166" t="n"/>
      <c r="D315" s="202" t="n">
        <v>15</v>
      </c>
      <c r="E315" s="166" t="n"/>
      <c r="F315" s="166" t="n"/>
      <c r="G315" s="166" t="n"/>
      <c r="H315" s="166" t="n"/>
      <c r="I315" s="166" t="n"/>
      <c r="J315" s="166" t="n"/>
      <c r="K315" s="166" t="n"/>
      <c r="L315" s="166" t="n"/>
    </row>
    <row r="316" ht="17.45" customHeight="1" s="2">
      <c r="A316" s="166" t="n"/>
      <c r="B316" s="202" t="inlineStr">
        <is>
          <t>Sahil (milko T1)</t>
        </is>
      </c>
      <c r="C316" s="166" t="n"/>
      <c r="D316" s="202" t="n">
        <v>7.5</v>
      </c>
      <c r="E316" s="166" t="n"/>
      <c r="F316" s="166" t="n"/>
      <c r="G316" s="166" t="n"/>
      <c r="H316" s="166" t="n"/>
      <c r="I316" s="166" t="n"/>
      <c r="J316" s="166" t="n"/>
      <c r="K316" s="166" t="n"/>
      <c r="L316" s="166" t="n"/>
    </row>
    <row r="317" ht="15" customHeight="1" s="2">
      <c r="A317" s="166" t="n"/>
      <c r="B317" s="166" t="n"/>
      <c r="C317" s="166" t="n"/>
      <c r="D317" s="166" t="n"/>
      <c r="E317" s="166" t="n"/>
      <c r="F317" s="166" t="n"/>
      <c r="G317" s="166" t="n"/>
      <c r="H317" s="166" t="n"/>
      <c r="I317" s="166" t="n"/>
      <c r="J317" s="166" t="n"/>
      <c r="K317" s="166" t="n"/>
      <c r="L317" s="166" t="n"/>
    </row>
    <row r="318" ht="15" customHeight="1" s="2">
      <c r="A318" s="166" t="n"/>
      <c r="B318" s="166" t="n"/>
      <c r="C318" s="166" t="n"/>
      <c r="D318" s="166" t="n"/>
      <c r="E318" s="166" t="n"/>
      <c r="F318" s="166" t="n"/>
      <c r="G318" s="166" t="n"/>
      <c r="H318" s="166" t="n"/>
      <c r="I318" s="166" t="n"/>
      <c r="J318" s="166" t="n"/>
      <c r="K318" s="166" t="n"/>
      <c r="L318" s="166" t="n"/>
    </row>
    <row r="319" ht="15" customHeight="1" s="2">
      <c r="A319" s="166" t="n"/>
      <c r="B319" s="168" t="n"/>
      <c r="C319" s="166" t="n"/>
      <c r="D319" s="166" t="n"/>
      <c r="E319" s="168" t="n"/>
      <c r="F319" s="166" t="n"/>
      <c r="G319" s="166" t="n"/>
      <c r="H319" s="168" t="n"/>
      <c r="I319" s="166" t="n"/>
      <c r="J319" s="166" t="n"/>
      <c r="K319" s="166" t="n"/>
      <c r="L319" s="166" t="n"/>
    </row>
    <row r="320" ht="18" customHeight="1" s="2" thickBot="1">
      <c r="A320" s="221" t="n"/>
      <c r="B320" s="222" t="n">
        <v>42618</v>
      </c>
      <c r="C320" s="223" t="n">
        <v>42982</v>
      </c>
      <c r="D320" s="224" t="n"/>
      <c r="E320" s="225" t="n">
        <v>42625</v>
      </c>
      <c r="F320" s="223" t="n">
        <v>42989</v>
      </c>
      <c r="G320" s="224" t="n"/>
      <c r="H320" s="225" t="n">
        <v>42632</v>
      </c>
      <c r="I320" s="223" t="n">
        <v>42996</v>
      </c>
      <c r="J320" s="174" t="n"/>
      <c r="K320" s="166" t="n"/>
      <c r="L320" s="166" t="n"/>
    </row>
    <row r="321" ht="17.85" customHeight="1" s="2" thickBot="1">
      <c r="A321" s="176" t="n"/>
      <c r="B321" s="177" t="inlineStr">
        <is>
          <t>Last Year</t>
        </is>
      </c>
      <c r="C321" s="178" t="inlineStr">
        <is>
          <t>Projected</t>
        </is>
      </c>
      <c r="D321" s="179" t="inlineStr">
        <is>
          <t>Actual</t>
        </is>
      </c>
      <c r="E321" s="177" t="inlineStr">
        <is>
          <t>Last Year</t>
        </is>
      </c>
      <c r="F321" s="178" t="inlineStr">
        <is>
          <t>Projected</t>
        </is>
      </c>
      <c r="G321" s="179" t="inlineStr">
        <is>
          <t>Actual</t>
        </is>
      </c>
      <c r="H321" s="177" t="inlineStr">
        <is>
          <t>Last Year</t>
        </is>
      </c>
      <c r="I321" s="178" t="inlineStr">
        <is>
          <t>Projected</t>
        </is>
      </c>
      <c r="J321" s="179" t="inlineStr">
        <is>
          <t>Actual</t>
        </is>
      </c>
      <c r="K321" s="180" t="n"/>
      <c r="L321" s="166" t="n"/>
    </row>
    <row r="322" ht="18" customHeight="1" s="2">
      <c r="A322" s="181" t="inlineStr">
        <is>
          <t>GROSS TOTAL</t>
        </is>
      </c>
      <c r="B322" s="185" t="n">
        <v>150535</v>
      </c>
      <c r="C322" s="183" t="n">
        <v>148002</v>
      </c>
      <c r="D322" s="184" t="n">
        <v>143219.3</v>
      </c>
      <c r="E322" s="185" t="n">
        <v>154723</v>
      </c>
      <c r="F322" s="183" t="n">
        <v>150368</v>
      </c>
      <c r="G322" s="184" t="n">
        <v>142328.54</v>
      </c>
      <c r="H322" s="185" t="n">
        <v>164787</v>
      </c>
      <c r="I322" s="183" t="n">
        <v>166824</v>
      </c>
      <c r="J322" s="185" t="n">
        <v>140298</v>
      </c>
      <c r="K322" s="186" t="n"/>
      <c r="L322" s="166" t="n"/>
    </row>
    <row r="323" ht="17.45" customHeight="1" s="2">
      <c r="A323" s="187" t="inlineStr">
        <is>
          <t>NETT  TOTAL</t>
        </is>
      </c>
      <c r="B323" s="22">
        <f>B322/1.1</f>
        <v/>
      </c>
      <c r="C323" s="9">
        <f>C322/1.1</f>
        <v/>
      </c>
      <c r="D323" s="10">
        <f>D322/1.1</f>
        <v/>
      </c>
      <c r="E323" s="22">
        <f>E322/1.1</f>
        <v/>
      </c>
      <c r="F323" s="9">
        <f>F322/1.1</f>
        <v/>
      </c>
      <c r="G323" s="10">
        <f>G322/1.1</f>
        <v/>
      </c>
      <c r="H323" s="22">
        <f>H322/1.1</f>
        <v/>
      </c>
      <c r="I323" s="9">
        <f>I322/1.1</f>
        <v/>
      </c>
      <c r="J323" s="22" t="n">
        <v>127544</v>
      </c>
      <c r="K323" s="186" t="n"/>
      <c r="L323" s="166" t="n"/>
    </row>
    <row r="324" ht="17.45" customHeight="1" s="2">
      <c r="A324" s="188" t="inlineStr">
        <is>
          <t>Customers</t>
        </is>
      </c>
      <c r="B324" s="10" t="n">
        <v>6725</v>
      </c>
      <c r="C324" s="189" t="n">
        <v>7075</v>
      </c>
      <c r="D324" s="10" t="n">
        <v>6943</v>
      </c>
      <c r="E324" s="10" t="n">
        <v>7492</v>
      </c>
      <c r="F324" s="189" t="n">
        <v>7245</v>
      </c>
      <c r="G324" s="10" t="n">
        <v>6844</v>
      </c>
      <c r="H324" s="10" t="n">
        <v>7423</v>
      </c>
      <c r="I324" s="189" t="n">
        <v>8020</v>
      </c>
      <c r="J324" s="11" t="n">
        <v>6732</v>
      </c>
      <c r="K324" s="171" t="n"/>
      <c r="L324" s="166" t="n"/>
    </row>
    <row r="325" ht="17.45" customHeight="1" s="2">
      <c r="A325" s="188" t="inlineStr">
        <is>
          <t>Average Customer Spend</t>
        </is>
      </c>
      <c r="B325" s="22">
        <f>B322/B324</f>
        <v/>
      </c>
      <c r="C325" s="9">
        <f>C322/C324</f>
        <v/>
      </c>
      <c r="D325" s="10">
        <f>D322/D324</f>
        <v/>
      </c>
      <c r="E325" s="22">
        <f>E322/E324</f>
        <v/>
      </c>
      <c r="F325" s="9">
        <f>F322/F324</f>
        <v/>
      </c>
      <c r="G325" s="10">
        <f>G322/G324</f>
        <v/>
      </c>
      <c r="H325" s="22">
        <f>H322/H324</f>
        <v/>
      </c>
      <c r="I325" s="9">
        <f>I322/I324</f>
        <v/>
      </c>
      <c r="J325" s="11" t="n">
        <v>20.84044118</v>
      </c>
      <c r="K325" s="171" t="n"/>
      <c r="L325" s="166" t="n"/>
    </row>
    <row r="326" ht="17.45" customHeight="1" s="2">
      <c r="A326" s="191" t="inlineStr">
        <is>
          <t>Wage % to Gross total</t>
        </is>
      </c>
      <c r="B326" s="210">
        <f>(B329*B330)/B322</f>
        <v/>
      </c>
      <c r="C326" s="9">
        <f>(C329*C330)/C322</f>
        <v/>
      </c>
      <c r="D326" s="22">
        <f>(D329*D330)/D322</f>
        <v/>
      </c>
      <c r="E326" s="210">
        <f>(E329*E330)/E322</f>
        <v/>
      </c>
      <c r="F326" s="9">
        <f>(F329*F330)/F322</f>
        <v/>
      </c>
      <c r="G326" s="22">
        <f>(G329*G330)/G322</f>
        <v/>
      </c>
      <c r="H326" s="210">
        <f>(H329*H330)/H322</f>
        <v/>
      </c>
      <c r="I326" s="9">
        <f>(I329*I330)/I322</f>
        <v/>
      </c>
      <c r="J326" s="11" t="n">
        <v>0.3369</v>
      </c>
      <c r="K326" s="171" t="n"/>
      <c r="L326" s="166" t="n"/>
    </row>
    <row r="327" ht="17.45" customHeight="1" s="2">
      <c r="A327" s="191" t="inlineStr">
        <is>
          <t>Wage % to Nett Total</t>
        </is>
      </c>
      <c r="B327" s="210">
        <f>(B329*B330)/B323</f>
        <v/>
      </c>
      <c r="C327" s="9">
        <f>(C329*C330)/C323</f>
        <v/>
      </c>
      <c r="D327" s="22">
        <f>(D329*D330)/D323</f>
        <v/>
      </c>
      <c r="E327" s="210">
        <f>(E329*E330)/E323</f>
        <v/>
      </c>
      <c r="F327" s="9">
        <f>(F329*F330)/F323</f>
        <v/>
      </c>
      <c r="G327" s="22">
        <f>(G329*G330)/G323</f>
        <v/>
      </c>
      <c r="H327" s="210">
        <f>(H329*H330)/H323</f>
        <v/>
      </c>
      <c r="I327" s="9">
        <f>(I329*I330)/I323</f>
        <v/>
      </c>
      <c r="J327" s="11" t="n">
        <v>0.3706</v>
      </c>
      <c r="K327" s="171" t="n"/>
      <c r="L327" s="166" t="n"/>
    </row>
    <row r="328" ht="17.45" customHeight="1" s="2">
      <c r="A328" s="188" t="inlineStr">
        <is>
          <t>Productivity</t>
        </is>
      </c>
      <c r="B328" s="22">
        <f>B324/B330</f>
        <v/>
      </c>
      <c r="C328" s="9">
        <f>C324/C330</f>
        <v/>
      </c>
      <c r="D328" s="10">
        <f>D324/D330</f>
        <v/>
      </c>
      <c r="E328" s="22">
        <f>E324/E330</f>
        <v/>
      </c>
      <c r="F328" s="9">
        <f>F324/F330</f>
        <v/>
      </c>
      <c r="G328" s="10">
        <f>G324/G330</f>
        <v/>
      </c>
      <c r="H328" s="22">
        <f>H324/H330</f>
        <v/>
      </c>
      <c r="I328" s="9">
        <f>I324/I330</f>
        <v/>
      </c>
      <c r="J328" s="11" t="n">
        <v>4.73</v>
      </c>
      <c r="K328" s="171" t="n"/>
      <c r="L328" s="166" t="n"/>
    </row>
    <row r="329" ht="17.45" customHeight="1" s="2">
      <c r="A329" s="188" t="inlineStr">
        <is>
          <t>Average Hourly Rate</t>
        </is>
      </c>
      <c r="B329" s="10" t="n">
        <v>32.26</v>
      </c>
      <c r="C329" s="189" t="n">
        <v>32</v>
      </c>
      <c r="D329" s="10" t="n">
        <v>32.85</v>
      </c>
      <c r="E329" s="10" t="n">
        <v>31.93</v>
      </c>
      <c r="F329" s="189" t="n">
        <v>32.5</v>
      </c>
      <c r="G329" s="10" t="n">
        <v>33.09</v>
      </c>
      <c r="H329" s="10" t="n">
        <v>32.7</v>
      </c>
      <c r="I329" s="189" t="n">
        <v>32.5</v>
      </c>
      <c r="J329" s="11" t="n">
        <v>33.2</v>
      </c>
      <c r="K329" s="171" t="n"/>
      <c r="L329" s="166" t="n"/>
    </row>
    <row r="330" ht="17.45" customHeight="1" s="2">
      <c r="A330" s="188" t="inlineStr">
        <is>
          <t>Total hours for productivity</t>
        </is>
      </c>
      <c r="B330" s="10" t="n">
        <v>1424.5</v>
      </c>
      <c r="C330" s="189" t="n">
        <v>1518</v>
      </c>
      <c r="D330" s="10" t="n">
        <v>1466.5</v>
      </c>
      <c r="E330" s="10" t="n">
        <v>1476.5</v>
      </c>
      <c r="F330" s="189" t="n"/>
      <c r="G330" s="10" t="n">
        <v>1460</v>
      </c>
      <c r="H330" s="10" t="n">
        <v>1510.5</v>
      </c>
      <c r="I330" s="189" t="n"/>
      <c r="J330" s="11" t="n">
        <v>1423.75</v>
      </c>
      <c r="K330" s="171" t="n"/>
      <c r="L330" s="166" t="n"/>
    </row>
    <row r="331" ht="17.45" customHeight="1" s="2">
      <c r="A331" s="188" t="inlineStr">
        <is>
          <t>Training Hours used</t>
        </is>
      </c>
      <c r="B331" s="10" t="n">
        <v>71</v>
      </c>
      <c r="C331" s="189" t="n">
        <v>38</v>
      </c>
      <c r="D331" s="10" t="n">
        <v>34</v>
      </c>
      <c r="E331" s="10" t="n">
        <v>109</v>
      </c>
      <c r="F331" s="189" t="n"/>
      <c r="G331" s="10" t="n">
        <v>30</v>
      </c>
      <c r="H331" s="10" t="n">
        <v>32.5</v>
      </c>
      <c r="I331" s="189" t="n"/>
      <c r="J331" s="22" t="n">
        <v>15</v>
      </c>
      <c r="K331" s="186" t="n"/>
      <c r="L331" s="166" t="n"/>
    </row>
    <row r="332" ht="18" customHeight="1" s="2" thickBot="1">
      <c r="A332" s="193" t="inlineStr">
        <is>
          <t>Number of hours used to cover sick leave</t>
        </is>
      </c>
      <c r="B332" s="15" t="n">
        <v>71</v>
      </c>
      <c r="C332" s="14" t="n"/>
      <c r="D332" s="15" t="n">
        <v>28.5</v>
      </c>
      <c r="E332" s="15" t="n"/>
      <c r="F332" s="194" t="n"/>
      <c r="G332" s="15" t="n"/>
      <c r="H332" s="15" t="n"/>
      <c r="I332" s="194" t="n"/>
      <c r="J332" s="29" t="n">
        <v>18</v>
      </c>
      <c r="K332" s="186" t="n"/>
      <c r="L332" s="166" t="n"/>
    </row>
    <row r="333" ht="15.95" customHeight="1" s="2" thickBot="1">
      <c r="A333" s="195" t="inlineStr">
        <is>
          <t>Minimum HOURS</t>
        </is>
      </c>
      <c r="B333" s="196" t="inlineStr">
        <is>
          <t xml:space="preserve">Kitchen </t>
        </is>
      </c>
      <c r="C333" s="16" t="n"/>
      <c r="D333" s="31" t="n">
        <v>854</v>
      </c>
      <c r="E333" s="196" t="inlineStr">
        <is>
          <t xml:space="preserve">Kitchen </t>
        </is>
      </c>
      <c r="F333" s="16" t="n"/>
      <c r="G333" s="17" t="n"/>
      <c r="H333" s="196" t="inlineStr">
        <is>
          <t xml:space="preserve">Kitchen </t>
        </is>
      </c>
      <c r="I333" s="16" t="n"/>
      <c r="J333" s="31" t="n"/>
      <c r="K333" s="180" t="n"/>
      <c r="L333" s="166" t="n"/>
    </row>
    <row r="334" ht="15.95" customHeight="1" s="2" thickBot="1">
      <c r="A334" s="197" t="n"/>
      <c r="B334" s="198" t="inlineStr">
        <is>
          <t xml:space="preserve">Floor </t>
        </is>
      </c>
      <c r="C334" s="18" t="n"/>
      <c r="D334" s="31" t="n">
        <v>571</v>
      </c>
      <c r="E334" s="198" t="inlineStr">
        <is>
          <t xml:space="preserve">Floor </t>
        </is>
      </c>
      <c r="F334" s="18" t="n"/>
      <c r="G334" s="26" t="n"/>
      <c r="H334" s="198" t="inlineStr">
        <is>
          <t xml:space="preserve">Floor </t>
        </is>
      </c>
      <c r="I334" s="18" t="n"/>
      <c r="J334" s="31" t="n"/>
      <c r="K334" s="180" t="n"/>
      <c r="L334" s="166" t="n"/>
    </row>
    <row r="335" ht="15.95" customHeight="1" s="2" thickBot="1">
      <c r="A335" s="197" t="n"/>
      <c r="B335" s="199" t="inlineStr">
        <is>
          <t>TOTAL</t>
        </is>
      </c>
      <c r="C335" s="42">
        <f>SUM(C333:C334)</f>
        <v/>
      </c>
      <c r="D335" s="42">
        <f>SUM(D333:D334)</f>
        <v/>
      </c>
      <c r="E335" s="199" t="inlineStr">
        <is>
          <t>TOTAL</t>
        </is>
      </c>
      <c r="F335" s="42">
        <f>SUM(F333:F334)</f>
        <v/>
      </c>
      <c r="G335" s="42">
        <f>SUM(G333:G334)</f>
        <v/>
      </c>
      <c r="H335" s="199" t="inlineStr">
        <is>
          <t>TOTAL</t>
        </is>
      </c>
      <c r="I335" s="42">
        <f>SUM(I333:I334)</f>
        <v/>
      </c>
      <c r="J335" s="42">
        <f>SUM(J333:J334)</f>
        <v/>
      </c>
      <c r="K335" s="180" t="n"/>
      <c r="L335" s="166" t="n"/>
    </row>
    <row r="336" ht="15.6" customHeight="1" s="2">
      <c r="A336" s="166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166" t="n"/>
      <c r="L336" s="166" t="n"/>
    </row>
    <row r="337" ht="17.45" customHeight="1" s="2">
      <c r="A337" s="166" t="n"/>
      <c r="B337" s="202" t="inlineStr">
        <is>
          <t>Ferdous(Prep T5)</t>
        </is>
      </c>
      <c r="C337" s="166" t="n"/>
      <c r="D337" s="202" t="n">
        <v>8</v>
      </c>
      <c r="E337" s="202" t="inlineStr">
        <is>
          <t>Subin (Grill T1-T)</t>
        </is>
      </c>
      <c r="F337" s="166" t="n"/>
      <c r="G337" s="202" t="n">
        <v>15</v>
      </c>
      <c r="H337" s="166" t="n"/>
      <c r="I337" s="166" t="n"/>
      <c r="J337" s="166" t="n"/>
      <c r="K337" s="166" t="n"/>
      <c r="L337" s="166" t="n"/>
    </row>
    <row r="338" ht="17.45" customHeight="1" s="2">
      <c r="A338" s="166" t="n"/>
      <c r="B338" s="202" t="inlineStr">
        <is>
          <t>Sanisha (Bar T1-T3)</t>
        </is>
      </c>
      <c r="C338" s="166" t="n"/>
      <c r="D338" s="202" t="n">
        <v>15</v>
      </c>
      <c r="E338" s="202" t="inlineStr">
        <is>
          <t>Sanisha(host T1-T3)</t>
        </is>
      </c>
      <c r="F338" s="166" t="n"/>
      <c r="G338" s="202" t="n">
        <v>15</v>
      </c>
      <c r="H338" s="166" t="n"/>
      <c r="I338" s="166" t="n"/>
      <c r="J338" s="166" t="n"/>
      <c r="K338" s="166" t="n"/>
      <c r="L338" s="166" t="n"/>
    </row>
    <row r="339" ht="17.45" customHeight="1" s="2">
      <c r="A339" s="166" t="n"/>
      <c r="B339" s="202" t="inlineStr">
        <is>
          <t>Animesh (pizza T1-T3)</t>
        </is>
      </c>
      <c r="C339" s="166" t="n"/>
      <c r="D339" s="202" t="n">
        <v>15</v>
      </c>
      <c r="E339" s="166" t="n"/>
      <c r="F339" s="166" t="n"/>
      <c r="G339" s="166" t="n"/>
      <c r="H339" s="166" t="n"/>
      <c r="I339" s="166" t="n"/>
      <c r="J339" s="166" t="n"/>
      <c r="K339" s="166" t="n"/>
      <c r="L339" s="166" t="n"/>
    </row>
    <row r="340" ht="15" customHeight="1" s="2">
      <c r="A340" s="166" t="n"/>
      <c r="B340" s="166" t="n"/>
      <c r="C340" s="166" t="n"/>
      <c r="D340" s="166" t="n"/>
      <c r="E340" s="166" t="n"/>
      <c r="F340" s="166" t="n"/>
      <c r="G340" s="166" t="n"/>
      <c r="H340" s="166" t="n"/>
      <c r="I340" s="166" t="n"/>
      <c r="J340" s="166" t="n"/>
      <c r="K340" s="166" t="n"/>
      <c r="L340" s="166" t="n"/>
    </row>
    <row r="341" ht="15" customHeight="1" s="2">
      <c r="A341" s="166" t="n"/>
      <c r="B341" s="166" t="n"/>
      <c r="C341" s="166" t="n"/>
      <c r="D341" s="166" t="n"/>
      <c r="E341" s="166" t="n"/>
      <c r="F341" s="166" t="n"/>
      <c r="G341" s="166" t="n"/>
      <c r="H341" s="166" t="n"/>
      <c r="I341" s="166" t="n"/>
      <c r="J341" s="166" t="n"/>
      <c r="K341" s="166" t="n"/>
      <c r="L341" s="166" t="n"/>
    </row>
    <row r="342" ht="15" customHeight="1" s="2">
      <c r="A342" s="166" t="n"/>
      <c r="B342" s="168" t="n"/>
      <c r="C342" s="166" t="n"/>
      <c r="D342" s="166" t="n"/>
      <c r="E342" s="168" t="n"/>
      <c r="F342" s="166" t="n"/>
      <c r="G342" s="166" t="n"/>
      <c r="H342" s="168" t="n"/>
      <c r="I342" s="168" t="n"/>
      <c r="J342" s="166" t="n"/>
      <c r="K342" s="166" t="n"/>
      <c r="L342" s="166" t="n"/>
    </row>
    <row r="343" ht="18" customHeight="1" s="2" thickBot="1">
      <c r="A343" s="221" t="n"/>
      <c r="B343" s="222" t="n">
        <v>42639</v>
      </c>
      <c r="C343" s="223" t="n">
        <v>43003</v>
      </c>
      <c r="D343" s="224" t="n"/>
      <c r="E343" s="225" t="n">
        <v>42646</v>
      </c>
      <c r="F343" s="223" t="n">
        <v>43010</v>
      </c>
      <c r="G343" s="224" t="n"/>
      <c r="H343" s="225" t="n">
        <v>42653</v>
      </c>
      <c r="I343" s="229" t="n">
        <v>43017</v>
      </c>
      <c r="J343" s="223" t="n"/>
      <c r="K343" s="166" t="n"/>
      <c r="L343" s="166" t="n"/>
    </row>
    <row r="344" ht="17.85" customHeight="1" s="2" thickBot="1">
      <c r="A344" s="176" t="n"/>
      <c r="B344" s="177" t="inlineStr">
        <is>
          <t>Last Year</t>
        </is>
      </c>
      <c r="C344" s="178" t="inlineStr">
        <is>
          <t>Projected</t>
        </is>
      </c>
      <c r="D344" s="230" t="inlineStr">
        <is>
          <t>Actual</t>
        </is>
      </c>
      <c r="E344" s="177" t="inlineStr">
        <is>
          <t>Last Year</t>
        </is>
      </c>
      <c r="F344" s="178" t="inlineStr">
        <is>
          <t>Projected</t>
        </is>
      </c>
      <c r="G344" s="230" t="inlineStr">
        <is>
          <t>Actual</t>
        </is>
      </c>
      <c r="H344" s="177" t="inlineStr">
        <is>
          <t>Last Year</t>
        </is>
      </c>
      <c r="I344" s="178" t="inlineStr">
        <is>
          <t>Projected</t>
        </is>
      </c>
      <c r="J344" s="230" t="inlineStr">
        <is>
          <t>Actual</t>
        </is>
      </c>
      <c r="K344" s="180" t="n"/>
      <c r="L344" s="166" t="n"/>
    </row>
    <row r="345" ht="18" customHeight="1" s="2">
      <c r="A345" s="181" t="inlineStr">
        <is>
          <t>GROSS TOTAL</t>
        </is>
      </c>
      <c r="B345" s="185" t="n">
        <v>188992</v>
      </c>
      <c r="C345" s="183" t="n">
        <v>189696</v>
      </c>
      <c r="D345" s="231" t="n">
        <v>159734.23</v>
      </c>
      <c r="E345" s="185" t="n">
        <v>228946</v>
      </c>
      <c r="F345" s="183" t="n">
        <v>219022</v>
      </c>
      <c r="G345" s="231" t="n">
        <v>230477.36</v>
      </c>
      <c r="H345" s="185" t="n">
        <v>174742</v>
      </c>
      <c r="I345" s="183" t="n">
        <v>167664</v>
      </c>
      <c r="J345" s="232" t="n">
        <v>211225.72</v>
      </c>
      <c r="K345" s="186" t="n"/>
      <c r="L345" s="166" t="n"/>
    </row>
    <row r="346" ht="17.45" customHeight="1" s="2">
      <c r="A346" s="187" t="inlineStr">
        <is>
          <t>NETT  TOTAL</t>
        </is>
      </c>
      <c r="B346" s="22">
        <f>B345/1.1</f>
        <v/>
      </c>
      <c r="C346" s="9">
        <f>C345/1.1</f>
        <v/>
      </c>
      <c r="D346" s="32">
        <f>D345/1.1</f>
        <v/>
      </c>
      <c r="E346" s="22">
        <f>E345/1.1</f>
        <v/>
      </c>
      <c r="F346" s="9">
        <f>F345/1.1</f>
        <v/>
      </c>
      <c r="G346" s="32">
        <f>G345/1.1</f>
        <v/>
      </c>
      <c r="H346" s="22">
        <f>H345/1.1</f>
        <v/>
      </c>
      <c r="I346" s="9">
        <f>I345/1.1</f>
        <v/>
      </c>
      <c r="J346" s="39">
        <f>J345/1.1</f>
        <v/>
      </c>
      <c r="K346" s="186" t="n"/>
      <c r="L346" s="166" t="n"/>
    </row>
    <row r="347" ht="17.45" customHeight="1" s="2">
      <c r="A347" s="188" t="inlineStr">
        <is>
          <t>Customers</t>
        </is>
      </c>
      <c r="B347" s="10" t="n">
        <v>8610</v>
      </c>
      <c r="C347" s="189" t="n">
        <v>9070</v>
      </c>
      <c r="D347" s="32" t="n">
        <v>7705</v>
      </c>
      <c r="E347" s="10" t="n">
        <v>10288</v>
      </c>
      <c r="F347" s="189" t="n">
        <v>10330</v>
      </c>
      <c r="G347" s="32" t="n">
        <v>10259</v>
      </c>
      <c r="H347" s="10" t="n">
        <v>7496</v>
      </c>
      <c r="I347" s="189" t="n">
        <v>8075</v>
      </c>
      <c r="J347" s="33" t="n">
        <v>9791</v>
      </c>
      <c r="K347" s="171" t="n"/>
      <c r="L347" s="166" t="n"/>
    </row>
    <row r="348" ht="17.45" customHeight="1" s="2">
      <c r="A348" s="188" t="inlineStr">
        <is>
          <t>Average Customer Spend</t>
        </is>
      </c>
      <c r="B348" s="22">
        <f>B345/B347</f>
        <v/>
      </c>
      <c r="C348" s="9">
        <f>C345/C347</f>
        <v/>
      </c>
      <c r="D348" s="32">
        <f>D345/D347</f>
        <v/>
      </c>
      <c r="E348" s="22">
        <f>E345/E347</f>
        <v/>
      </c>
      <c r="F348" s="9">
        <f>F345/F347</f>
        <v/>
      </c>
      <c r="G348" s="32">
        <f>G345/G347</f>
        <v/>
      </c>
      <c r="H348" s="22">
        <f>H345/H347</f>
        <v/>
      </c>
      <c r="I348" s="9">
        <f>I345/I347</f>
        <v/>
      </c>
      <c r="J348" s="33">
        <f>J345/J347</f>
        <v/>
      </c>
      <c r="K348" s="171" t="n"/>
      <c r="L348" s="166" t="n"/>
    </row>
    <row r="349" ht="17.45" customHeight="1" s="2">
      <c r="A349" s="191" t="inlineStr">
        <is>
          <t>Wage % to Gross total</t>
        </is>
      </c>
      <c r="B349" s="210">
        <f>(B352*B353)/B345</f>
        <v/>
      </c>
      <c r="C349" s="9">
        <f>(C352*C353)/C345</f>
        <v/>
      </c>
      <c r="D349" s="39">
        <f>(D352*D353)/D345</f>
        <v/>
      </c>
      <c r="E349" s="210">
        <f>(E352*E353)/E345</f>
        <v/>
      </c>
      <c r="F349" s="9">
        <f>(F352*F353)/F345</f>
        <v/>
      </c>
      <c r="G349" s="39">
        <f>(G352*G353)/G345</f>
        <v/>
      </c>
      <c r="H349" s="210">
        <f>(H352*H353)/H345</f>
        <v/>
      </c>
      <c r="I349" s="9">
        <f>(I352*I353)/I345</f>
        <v/>
      </c>
      <c r="J349" s="33" t="n">
        <v>0.2457</v>
      </c>
      <c r="K349" s="171" t="n"/>
      <c r="L349" s="166" t="n"/>
    </row>
    <row r="350" ht="17.45" customHeight="1" s="2">
      <c r="A350" s="191" t="inlineStr">
        <is>
          <t>Wage % to Nett Total</t>
        </is>
      </c>
      <c r="B350" s="210">
        <f>(B352*B353)/B346</f>
        <v/>
      </c>
      <c r="C350" s="9">
        <f>(C352*C353)/C346</f>
        <v/>
      </c>
      <c r="D350" s="39">
        <f>(D352*D353)/D346</f>
        <v/>
      </c>
      <c r="E350" s="210">
        <f>(E352*E353)/E346</f>
        <v/>
      </c>
      <c r="F350" s="9">
        <f>(F352*F353)/F346</f>
        <v/>
      </c>
      <c r="G350" s="39">
        <f>(G352*G353)/G346</f>
        <v/>
      </c>
      <c r="H350" s="210">
        <f>(H352*H353)/H346</f>
        <v/>
      </c>
      <c r="I350" s="9">
        <f>(I352*I353)/I346</f>
        <v/>
      </c>
      <c r="J350" s="33" t="n">
        <v>0.2703</v>
      </c>
      <c r="K350" s="171" t="n"/>
      <c r="L350" s="166" t="n"/>
    </row>
    <row r="351" ht="17.45" customHeight="1" s="2">
      <c r="A351" s="188" t="inlineStr">
        <is>
          <t>Productivity</t>
        </is>
      </c>
      <c r="B351" s="22">
        <f>B347/B353</f>
        <v/>
      </c>
      <c r="C351" s="9">
        <f>C347/C353</f>
        <v/>
      </c>
      <c r="D351" s="32">
        <f>D347/D353</f>
        <v/>
      </c>
      <c r="E351" s="22">
        <f>E347/E353</f>
        <v/>
      </c>
      <c r="F351" s="9">
        <f>F347/F353</f>
        <v/>
      </c>
      <c r="G351" s="32">
        <f>G347/G353</f>
        <v/>
      </c>
      <c r="H351" s="22">
        <f>H347/H353</f>
        <v/>
      </c>
      <c r="I351" s="9">
        <f>I347/I353</f>
        <v/>
      </c>
      <c r="J351" s="33">
        <f>J347/J353</f>
        <v/>
      </c>
      <c r="K351" s="171" t="n"/>
      <c r="L351" s="166" t="n"/>
    </row>
    <row r="352" ht="17.45" customHeight="1" s="2">
      <c r="A352" s="188" t="inlineStr">
        <is>
          <t>Average Hourly Rate</t>
        </is>
      </c>
      <c r="B352" s="10" t="n">
        <v>33.32</v>
      </c>
      <c r="C352" s="189" t="n">
        <v>32.5</v>
      </c>
      <c r="D352" s="32" t="n">
        <v>32.69</v>
      </c>
      <c r="E352" s="10" t="n">
        <v>35.92</v>
      </c>
      <c r="F352" s="189" t="n">
        <v>34</v>
      </c>
      <c r="G352" s="32" t="n">
        <v>36.05</v>
      </c>
      <c r="H352" s="10" t="n">
        <v>31.79</v>
      </c>
      <c r="I352" s="189" t="n">
        <v>32.5</v>
      </c>
      <c r="J352" s="33" t="n">
        <v>32.78</v>
      </c>
      <c r="K352" s="171" t="n"/>
      <c r="L352" s="166" t="n"/>
    </row>
    <row r="353" ht="17.45" customHeight="1" s="2">
      <c r="A353" s="188" t="inlineStr">
        <is>
          <t>Total hours for productivity</t>
        </is>
      </c>
      <c r="B353" s="10" t="n">
        <v>1465.25</v>
      </c>
      <c r="C353" s="189" t="n">
        <v>1544.5</v>
      </c>
      <c r="D353" s="32" t="n">
        <v>1492.5</v>
      </c>
      <c r="E353" s="10" t="n">
        <v>1688</v>
      </c>
      <c r="F353" s="189" t="n">
        <v>1783</v>
      </c>
      <c r="G353" s="32" t="n">
        <v>1756.75</v>
      </c>
      <c r="H353" s="10" t="n">
        <v>1622</v>
      </c>
      <c r="I353" s="189" t="n">
        <v>1537.5</v>
      </c>
      <c r="J353" s="33" t="n">
        <v>1583.5</v>
      </c>
      <c r="K353" s="171" t="n"/>
      <c r="L353" s="166" t="n"/>
    </row>
    <row r="354" ht="17.45" customHeight="1" s="2">
      <c r="A354" s="188" t="inlineStr">
        <is>
          <t>Training Hours used</t>
        </is>
      </c>
      <c r="B354" s="10" t="n">
        <v>15</v>
      </c>
      <c r="C354" s="189" t="n"/>
      <c r="D354" s="32" t="n"/>
      <c r="E354" s="10" t="n"/>
      <c r="F354" s="189" t="n"/>
      <c r="G354" s="32" t="n"/>
      <c r="H354" s="10" t="n">
        <v>0</v>
      </c>
      <c r="I354" s="189" t="n">
        <v>4</v>
      </c>
      <c r="J354" s="39" t="n"/>
      <c r="K354" s="186" t="n"/>
      <c r="L354" s="166" t="n"/>
    </row>
    <row r="355" ht="18" customHeight="1" s="2" thickBot="1">
      <c r="A355" s="193" t="inlineStr">
        <is>
          <t>Number of hours used to cover sick leave</t>
        </is>
      </c>
      <c r="B355" s="15" t="n">
        <v>63.75</v>
      </c>
      <c r="C355" s="14" t="n"/>
      <c r="D355" s="34" t="n"/>
      <c r="E355" s="15" t="n"/>
      <c r="F355" s="194" t="n"/>
      <c r="G355" s="34" t="n">
        <v>40.5</v>
      </c>
      <c r="H355" s="15" t="n"/>
      <c r="I355" s="194" t="n">
        <v>0</v>
      </c>
      <c r="J355" s="233" t="n">
        <v>40.75</v>
      </c>
      <c r="K355" s="186" t="n"/>
      <c r="L355" s="166" t="n"/>
    </row>
    <row r="356" ht="15.95" customHeight="1" s="2" thickBot="1">
      <c r="A356" s="195" t="inlineStr">
        <is>
          <t>Minimum HOURS</t>
        </is>
      </c>
      <c r="B356" s="196" t="inlineStr">
        <is>
          <t xml:space="preserve">Kitchen </t>
        </is>
      </c>
      <c r="C356" s="16" t="n">
        <v>571</v>
      </c>
      <c r="D356" s="35" t="n">
        <v>635.5</v>
      </c>
      <c r="E356" s="196" t="inlineStr">
        <is>
          <t xml:space="preserve">Kitchen </t>
        </is>
      </c>
      <c r="F356" s="16" t="n">
        <v>631</v>
      </c>
      <c r="G356" s="36" t="n"/>
      <c r="H356" s="196" t="inlineStr">
        <is>
          <t xml:space="preserve">Kitchen </t>
        </is>
      </c>
      <c r="I356" s="16" t="n">
        <v>621</v>
      </c>
      <c r="J356" s="35" t="n"/>
      <c r="K356" s="180" t="n"/>
      <c r="L356" s="166" t="n"/>
    </row>
    <row r="357" ht="15.95" customHeight="1" s="2" thickBot="1">
      <c r="A357" s="197" t="n"/>
      <c r="B357" s="198" t="inlineStr">
        <is>
          <t xml:space="preserve">Floor </t>
        </is>
      </c>
      <c r="C357" s="18" t="n">
        <v>908</v>
      </c>
      <c r="D357" s="35" t="n">
        <v>909</v>
      </c>
      <c r="E357" s="198" t="inlineStr">
        <is>
          <t xml:space="preserve">Floor </t>
        </is>
      </c>
      <c r="F357" s="18" t="n">
        <v>915</v>
      </c>
      <c r="G357" s="234" t="n"/>
      <c r="H357" s="198" t="inlineStr">
        <is>
          <t xml:space="preserve">Floor </t>
        </is>
      </c>
      <c r="I357" s="18" t="n">
        <v>814</v>
      </c>
      <c r="J357" s="35" t="n"/>
      <c r="K357" s="180" t="n"/>
      <c r="L357" s="166" t="n"/>
    </row>
    <row r="358" ht="15.95" customHeight="1" s="2" thickBot="1">
      <c r="A358" s="197" t="n"/>
      <c r="B358" s="199" t="inlineStr">
        <is>
          <t>TOTAL</t>
        </is>
      </c>
      <c r="C358" s="42">
        <f>SUM(C356:C357)</f>
        <v/>
      </c>
      <c r="D358" s="35">
        <f>SUM(D356:D357)</f>
        <v/>
      </c>
      <c r="E358" s="199" t="inlineStr">
        <is>
          <t>TOTAL</t>
        </is>
      </c>
      <c r="F358" s="42">
        <f>SUM(F356:F357)</f>
        <v/>
      </c>
      <c r="G358" s="35">
        <f>SUM(G356:G357)</f>
        <v/>
      </c>
      <c r="H358" s="199" t="inlineStr">
        <is>
          <t>TOTAL</t>
        </is>
      </c>
      <c r="I358" s="42">
        <f>SUM(I356:I357)</f>
        <v/>
      </c>
      <c r="J358" s="35">
        <f>SUM(J356:J357)</f>
        <v/>
      </c>
      <c r="K358" s="180" t="n"/>
      <c r="L358" s="166" t="n"/>
    </row>
    <row r="359" ht="15.6" customHeight="1" s="2">
      <c r="A359" s="166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166" t="n"/>
      <c r="L359" s="166" t="n"/>
    </row>
    <row r="360" ht="15" customHeight="1" s="2">
      <c r="A360" s="166" t="n"/>
      <c r="B360" s="166" t="n"/>
      <c r="C360" s="166" t="n"/>
      <c r="D360" s="166" t="n"/>
      <c r="E360" s="166" t="n"/>
      <c r="F360" s="166" t="n"/>
      <c r="G360" s="166" t="n"/>
      <c r="H360" s="166" t="n"/>
      <c r="I360" s="166" t="n"/>
      <c r="J360" s="166" t="n"/>
      <c r="K360" s="166" t="n"/>
      <c r="L360" s="166" t="n"/>
    </row>
    <row r="361" ht="15" customHeight="1" s="2">
      <c r="A361" s="166" t="n"/>
      <c r="B361" s="166" t="n"/>
      <c r="C361" s="166" t="n"/>
      <c r="D361" s="166" t="n"/>
      <c r="E361" s="166" t="n"/>
      <c r="F361" s="166" t="n"/>
      <c r="G361" s="166" t="n"/>
      <c r="H361" s="166" t="n"/>
      <c r="I361" s="166" t="n"/>
      <c r="J361" s="166" t="n"/>
      <c r="K361" s="166" t="n"/>
      <c r="L361" s="166" t="n"/>
    </row>
    <row r="362" ht="15" customHeight="1" s="2">
      <c r="A362" s="166" t="n"/>
      <c r="B362" s="166" t="n"/>
      <c r="C362" s="166" t="n"/>
      <c r="D362" s="166" t="n"/>
      <c r="E362" s="166" t="n"/>
      <c r="F362" s="166" t="n"/>
      <c r="G362" s="166" t="n"/>
      <c r="H362" s="166" t="n"/>
      <c r="I362" s="166" t="n"/>
      <c r="J362" s="166" t="n"/>
      <c r="K362" s="166" t="n"/>
      <c r="L362" s="166" t="n"/>
    </row>
    <row r="363" ht="15" customHeight="1" s="2">
      <c r="A363" s="166" t="n"/>
      <c r="B363" s="166" t="n"/>
      <c r="C363" s="166" t="n"/>
      <c r="D363" s="166" t="n"/>
      <c r="E363" s="166" t="n"/>
      <c r="F363" s="166" t="n"/>
      <c r="G363" s="166" t="n"/>
      <c r="H363" s="166" t="n"/>
      <c r="I363" s="166" t="n"/>
      <c r="J363" s="166" t="n"/>
      <c r="K363" s="166" t="n"/>
      <c r="L363" s="166" t="n"/>
    </row>
    <row r="364" ht="15" customHeight="1" s="2">
      <c r="A364" s="166" t="n"/>
      <c r="B364" s="168" t="n"/>
      <c r="C364" s="168" t="n"/>
      <c r="D364" s="166" t="n"/>
      <c r="E364" s="168" t="n"/>
      <c r="F364" s="168" t="n"/>
      <c r="G364" s="166" t="n"/>
      <c r="H364" s="168" t="n"/>
      <c r="I364" s="168" t="n"/>
      <c r="J364" s="166" t="n"/>
      <c r="K364" s="166" t="n"/>
      <c r="L364" s="166" t="n"/>
    </row>
    <row r="365" ht="18" customHeight="1" s="2" thickBot="1">
      <c r="A365" s="221" t="n"/>
      <c r="B365" s="222" t="n">
        <v>42660</v>
      </c>
      <c r="C365" s="235" t="n">
        <v>43024</v>
      </c>
      <c r="D365" s="236" t="n"/>
      <c r="E365" s="222" t="n">
        <v>42667</v>
      </c>
      <c r="F365" s="237" t="n">
        <v>43031</v>
      </c>
      <c r="G365" s="236" t="n"/>
      <c r="H365" s="222" t="n">
        <v>42674</v>
      </c>
      <c r="I365" s="237" t="n">
        <v>43038</v>
      </c>
      <c r="J365" s="223" t="n"/>
      <c r="K365" s="166" t="n"/>
      <c r="L365" s="166" t="n"/>
    </row>
    <row r="366" ht="17.85" customHeight="1" s="2" thickBot="1">
      <c r="A366" s="176" t="n"/>
      <c r="B366" s="177" t="inlineStr">
        <is>
          <t>Last Year</t>
        </is>
      </c>
      <c r="C366" s="178" t="inlineStr">
        <is>
          <t>Projected</t>
        </is>
      </c>
      <c r="D366" s="230" t="inlineStr">
        <is>
          <t>Actual</t>
        </is>
      </c>
      <c r="E366" s="177" t="inlineStr">
        <is>
          <t>Last Year</t>
        </is>
      </c>
      <c r="F366" s="178" t="inlineStr">
        <is>
          <t>Projected</t>
        </is>
      </c>
      <c r="G366" s="230" t="inlineStr">
        <is>
          <t>Actual</t>
        </is>
      </c>
      <c r="H366" s="177" t="inlineStr">
        <is>
          <t>Last Year</t>
        </is>
      </c>
      <c r="I366" s="178" t="inlineStr">
        <is>
          <t>Projected</t>
        </is>
      </c>
      <c r="J366" s="230" t="inlineStr">
        <is>
          <t>Actual</t>
        </is>
      </c>
      <c r="K366" s="180" t="n"/>
      <c r="L366" s="166" t="n"/>
    </row>
    <row r="367" ht="18" customHeight="1" s="2">
      <c r="A367" s="181" t="inlineStr">
        <is>
          <t>GROSS TOTAL</t>
        </is>
      </c>
      <c r="B367" s="185" t="n">
        <v>144234</v>
      </c>
      <c r="C367" s="183" t="n">
        <v>140143</v>
      </c>
      <c r="D367" s="231" t="n">
        <v>146857.15</v>
      </c>
      <c r="E367" s="185" t="n">
        <v>148114</v>
      </c>
      <c r="F367" s="183" t="n">
        <v>148511</v>
      </c>
      <c r="G367" s="231" t="n">
        <v>148421</v>
      </c>
      <c r="H367" s="185" t="n">
        <v>154676.3</v>
      </c>
      <c r="I367" s="183" t="n">
        <v>157464</v>
      </c>
      <c r="J367" s="232" t="n">
        <v>140364.07</v>
      </c>
      <c r="K367" s="186" t="n"/>
      <c r="L367" s="166" t="n"/>
    </row>
    <row r="368" ht="17.45" customHeight="1" s="2">
      <c r="A368" s="187" t="inlineStr">
        <is>
          <t>NETT  TOTAL</t>
        </is>
      </c>
      <c r="B368" s="22">
        <f>B367/1.1</f>
        <v/>
      </c>
      <c r="C368" s="9">
        <f>C367/1.1</f>
        <v/>
      </c>
      <c r="D368" s="32">
        <f>D367/1.1</f>
        <v/>
      </c>
      <c r="E368" s="22">
        <f>E367/1.1</f>
        <v/>
      </c>
      <c r="F368" s="9">
        <f>F367/1.1</f>
        <v/>
      </c>
      <c r="G368" s="32">
        <f>G367/1.1</f>
        <v/>
      </c>
      <c r="H368" s="22">
        <f>H367/1.1</f>
        <v/>
      </c>
      <c r="I368" s="9">
        <f>I367/1.1</f>
        <v/>
      </c>
      <c r="J368" s="39">
        <f>J367/1.1</f>
        <v/>
      </c>
      <c r="K368" s="186" t="n"/>
      <c r="L368" s="166" t="n"/>
    </row>
    <row r="369" ht="17.45" customHeight="1" s="2">
      <c r="A369" s="188" t="inlineStr">
        <is>
          <t>Customers</t>
        </is>
      </c>
      <c r="B369" s="10" t="n">
        <v>6565</v>
      </c>
      <c r="C369" s="189" t="n">
        <v>6725</v>
      </c>
      <c r="D369" s="32" t="n">
        <v>6991</v>
      </c>
      <c r="E369" s="10" t="n">
        <v>6534</v>
      </c>
      <c r="F369" s="189" t="n">
        <v>6910</v>
      </c>
      <c r="G369" s="32" t="n">
        <v>6925</v>
      </c>
      <c r="H369" s="10" t="n">
        <v>6896</v>
      </c>
      <c r="I369" s="189" t="n">
        <v>7230</v>
      </c>
      <c r="J369" s="33" t="n">
        <v>6818</v>
      </c>
      <c r="K369" s="171" t="n"/>
      <c r="L369" s="166" t="n"/>
    </row>
    <row r="370" ht="17.45" customHeight="1" s="2">
      <c r="A370" s="188" t="inlineStr">
        <is>
          <t>Average Customer Spend</t>
        </is>
      </c>
      <c r="B370" s="22">
        <f>B367/B369</f>
        <v/>
      </c>
      <c r="C370" s="9">
        <f>C367/C369</f>
        <v/>
      </c>
      <c r="D370" s="32">
        <f>D367/D369</f>
        <v/>
      </c>
      <c r="E370" s="22">
        <f>E367/E369</f>
        <v/>
      </c>
      <c r="F370" s="9">
        <f>F367/F369</f>
        <v/>
      </c>
      <c r="G370" s="32">
        <f>G367/G369</f>
        <v/>
      </c>
      <c r="H370" s="22">
        <f>H367/H369</f>
        <v/>
      </c>
      <c r="I370" s="9">
        <f>I367/I369</f>
        <v/>
      </c>
      <c r="J370" s="33">
        <f>J367/J369</f>
        <v/>
      </c>
      <c r="K370" s="171" t="n"/>
      <c r="L370" s="166" t="n"/>
    </row>
    <row r="371" ht="17.45" customHeight="1" s="2">
      <c r="A371" s="191" t="inlineStr">
        <is>
          <t>Wage % to Gross total</t>
        </is>
      </c>
      <c r="B371" s="210">
        <f>(B374*B375)/B367</f>
        <v/>
      </c>
      <c r="C371" s="9">
        <f>(C374*C375)/C367</f>
        <v/>
      </c>
      <c r="D371" s="39">
        <f>(D374*D375)/D367</f>
        <v/>
      </c>
      <c r="E371" s="210">
        <f>(E374*E375)/E367</f>
        <v/>
      </c>
      <c r="F371" s="9">
        <f>(F374*F375)/F367</f>
        <v/>
      </c>
      <c r="G371" s="39">
        <f>(G374*G375)/G367</f>
        <v/>
      </c>
      <c r="H371" s="210">
        <f>(H374*H375)/H367</f>
        <v/>
      </c>
      <c r="I371" s="9">
        <f>(I374*I375)/I367</f>
        <v/>
      </c>
      <c r="J371" s="33">
        <f>(J374*J375)/J367</f>
        <v/>
      </c>
      <c r="K371" s="171" t="n"/>
      <c r="L371" s="166" t="n"/>
    </row>
    <row r="372" ht="17.45" customHeight="1" s="2">
      <c r="A372" s="191" t="inlineStr">
        <is>
          <t>Wage % to Nett Total</t>
        </is>
      </c>
      <c r="B372" s="210">
        <f>(B374*B375)/B368</f>
        <v/>
      </c>
      <c r="C372" s="9">
        <f>(C374*C375)/C368</f>
        <v/>
      </c>
      <c r="D372" s="39">
        <f>(D374*D375)/D368</f>
        <v/>
      </c>
      <c r="E372" s="210">
        <f>(E374*E375)/E368</f>
        <v/>
      </c>
      <c r="F372" s="9">
        <f>(F374*F375)/F368</f>
        <v/>
      </c>
      <c r="G372" s="39">
        <f>(G374*G375)/G368</f>
        <v/>
      </c>
      <c r="H372" s="210">
        <f>(H374*H375)/H368</f>
        <v/>
      </c>
      <c r="I372" s="9">
        <f>(I374*I375)/I368</f>
        <v/>
      </c>
      <c r="J372" s="33">
        <f>(J374*J375)/J368</f>
        <v/>
      </c>
      <c r="K372" s="171" t="n"/>
      <c r="L372" s="166" t="n"/>
    </row>
    <row r="373" ht="17.45" customHeight="1" s="2">
      <c r="A373" s="188" t="inlineStr">
        <is>
          <t>Productivity</t>
        </is>
      </c>
      <c r="B373" s="22">
        <f>B369/B375</f>
        <v/>
      </c>
      <c r="C373" s="9">
        <f>C369/C375</f>
        <v/>
      </c>
      <c r="D373" s="32">
        <f>D369/D375</f>
        <v/>
      </c>
      <c r="E373" s="22">
        <f>E369/E375</f>
        <v/>
      </c>
      <c r="F373" s="9">
        <f>F369/F375</f>
        <v/>
      </c>
      <c r="G373" s="32">
        <f>G369/G375</f>
        <v/>
      </c>
      <c r="H373" s="22">
        <f>H369/H375</f>
        <v/>
      </c>
      <c r="I373" s="9">
        <f>I369/I375</f>
        <v/>
      </c>
      <c r="J373" s="33">
        <f>J369/J375</f>
        <v/>
      </c>
      <c r="K373" s="171" t="n"/>
      <c r="L373" s="166" t="n"/>
    </row>
    <row r="374" ht="17.45" customHeight="1" s="2">
      <c r="A374" s="188" t="inlineStr">
        <is>
          <t>Average Hourly Rate</t>
        </is>
      </c>
      <c r="B374" s="10" t="n">
        <v>32.1</v>
      </c>
      <c r="C374" s="189" t="n">
        <v>32.5</v>
      </c>
      <c r="D374" s="32" t="n">
        <v>33.31</v>
      </c>
      <c r="E374" s="10" t="n">
        <v>30.72</v>
      </c>
      <c r="F374" s="189" t="n">
        <v>32.5</v>
      </c>
      <c r="G374" s="32" t="n">
        <v>33.46</v>
      </c>
      <c r="H374" s="10" t="n">
        <v>31.49</v>
      </c>
      <c r="I374" s="189" t="n">
        <v>1405</v>
      </c>
      <c r="J374" s="33" t="n">
        <v>33.18</v>
      </c>
      <c r="K374" s="171" t="n"/>
      <c r="L374" s="166" t="n"/>
    </row>
    <row r="375" ht="17.45" customHeight="1" s="2">
      <c r="A375" s="188" t="inlineStr">
        <is>
          <t>Total hours for productivity</t>
        </is>
      </c>
      <c r="B375" s="10" t="n">
        <v>1608</v>
      </c>
      <c r="C375" s="189" t="n">
        <v>1366</v>
      </c>
      <c r="D375" s="32" t="n">
        <v>1315.5</v>
      </c>
      <c r="E375" s="10" t="n">
        <v>1553</v>
      </c>
      <c r="F375" s="189" t="n">
        <v>1422</v>
      </c>
      <c r="G375" s="32" t="n">
        <v>1362</v>
      </c>
      <c r="H375" s="10" t="n">
        <v>1526.25</v>
      </c>
      <c r="I375" s="189" t="n"/>
      <c r="J375" s="33" t="n">
        <v>1393.25</v>
      </c>
      <c r="K375" s="171" t="n"/>
      <c r="L375" s="166" t="n"/>
    </row>
    <row r="376" ht="17.45" customHeight="1" s="2">
      <c r="A376" s="188" t="inlineStr">
        <is>
          <t>Training Hours used</t>
        </is>
      </c>
      <c r="B376" s="10" t="n">
        <v>187.5</v>
      </c>
      <c r="C376" s="189" t="n">
        <v>28</v>
      </c>
      <c r="D376" s="32" t="n">
        <v>23</v>
      </c>
      <c r="E376" s="10" t="n">
        <v>72.5</v>
      </c>
      <c r="F376" s="189" t="n">
        <v>32</v>
      </c>
      <c r="G376" s="32" t="n">
        <v>22</v>
      </c>
      <c r="H376" s="10" t="n">
        <v>137.5</v>
      </c>
      <c r="I376" s="189" t="n"/>
      <c r="J376" s="39" t="n"/>
      <c r="K376" s="186" t="n"/>
      <c r="L376" s="166" t="n"/>
    </row>
    <row r="377" ht="18" customHeight="1" s="2" thickBot="1">
      <c r="A377" s="193" t="inlineStr">
        <is>
          <t>Number of hours used to cover sick leave</t>
        </is>
      </c>
      <c r="B377" s="15" t="n">
        <v>32.5</v>
      </c>
      <c r="C377" s="14" t="n"/>
      <c r="D377" s="34" t="n">
        <v>25.5</v>
      </c>
      <c r="E377" s="15" t="n"/>
      <c r="F377" s="194" t="n"/>
      <c r="G377" s="34" t="n"/>
      <c r="H377" s="15" t="n">
        <v>20.5</v>
      </c>
      <c r="I377" s="194" t="n"/>
      <c r="J377" s="233" t="n"/>
      <c r="K377" s="186" t="n"/>
      <c r="L377" s="166" t="n"/>
    </row>
    <row r="378" ht="15.95" customHeight="1" s="2" thickBot="1">
      <c r="A378" s="195" t="inlineStr">
        <is>
          <t>Minimum HOURS</t>
        </is>
      </c>
      <c r="B378" s="196" t="inlineStr">
        <is>
          <t xml:space="preserve">Kitchen </t>
        </is>
      </c>
      <c r="C378" s="16" t="n">
        <v>571</v>
      </c>
      <c r="D378" s="35" t="n"/>
      <c r="E378" s="196" t="inlineStr">
        <is>
          <t xml:space="preserve">Kitchen </t>
        </is>
      </c>
      <c r="F378" s="16" t="n">
        <v>583</v>
      </c>
      <c r="G378" s="36" t="n"/>
      <c r="H378" s="196" t="inlineStr">
        <is>
          <t xml:space="preserve">Kitchen </t>
        </is>
      </c>
      <c r="I378" s="16" t="n">
        <v>621</v>
      </c>
      <c r="J378" s="35" t="n"/>
      <c r="K378" s="180" t="n"/>
      <c r="L378" s="166" t="n"/>
    </row>
    <row r="379" ht="15.95" customHeight="1" s="2" thickBot="1">
      <c r="A379" s="197" t="n"/>
      <c r="B379" s="198" t="inlineStr">
        <is>
          <t xml:space="preserve">Floor </t>
        </is>
      </c>
      <c r="C379" s="18" t="n">
        <v>685</v>
      </c>
      <c r="D379" s="35" t="n"/>
      <c r="E379" s="198" t="inlineStr">
        <is>
          <t xml:space="preserve">Floor </t>
        </is>
      </c>
      <c r="F379" s="18" t="n">
        <v>678</v>
      </c>
      <c r="G379" s="234" t="n"/>
      <c r="H379" s="198" t="inlineStr">
        <is>
          <t xml:space="preserve">Floor </t>
        </is>
      </c>
      <c r="I379" s="18" t="n">
        <v>814</v>
      </c>
      <c r="J379" s="35" t="n"/>
      <c r="K379" s="180" t="n"/>
      <c r="L379" s="166" t="n"/>
    </row>
    <row r="380" ht="15.95" customHeight="1" s="2" thickBot="1">
      <c r="A380" s="197" t="n"/>
      <c r="B380" s="199" t="inlineStr">
        <is>
          <t>TOTAL</t>
        </is>
      </c>
      <c r="C380" s="42">
        <f>SUM(C378:C379)</f>
        <v/>
      </c>
      <c r="D380" s="35">
        <f>SUM(D378:D379)</f>
        <v/>
      </c>
      <c r="E380" s="199" t="inlineStr">
        <is>
          <t>TOTAL</t>
        </is>
      </c>
      <c r="F380" s="42">
        <f>SUM(F378:F379)</f>
        <v/>
      </c>
      <c r="G380" s="35">
        <f>SUM(G378:G379)</f>
        <v/>
      </c>
      <c r="H380" s="199" t="inlineStr">
        <is>
          <t>TOTAL</t>
        </is>
      </c>
      <c r="I380" s="42">
        <f>SUM(I378:I379)</f>
        <v/>
      </c>
      <c r="J380" s="35">
        <f>SUM(J378:J379)</f>
        <v/>
      </c>
      <c r="K380" s="180" t="n"/>
      <c r="L380" s="166" t="n"/>
    </row>
    <row r="381" ht="15.6" customHeight="1" s="2">
      <c r="A381" s="166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166" t="n"/>
      <c r="L381" s="166" t="n"/>
    </row>
    <row r="382" ht="17.45" customHeight="1" s="2">
      <c r="A382" s="166" t="n"/>
      <c r="B382" s="202" t="inlineStr">
        <is>
          <t>Ashiqul (call/top) -3</t>
        </is>
      </c>
      <c r="C382" s="166" t="n"/>
      <c r="D382" s="166" t="n"/>
      <c r="E382" s="202" t="inlineStr">
        <is>
          <t>Bipeena (Bar T2-3) = 7</t>
        </is>
      </c>
      <c r="F382" s="166" t="n"/>
      <c r="G382" s="166" t="n"/>
      <c r="H382" s="166" t="n"/>
      <c r="I382" s="166" t="n"/>
      <c r="J382" s="166" t="n"/>
      <c r="K382" s="166" t="n"/>
      <c r="L382" s="166" t="n"/>
    </row>
    <row r="383" ht="17.45" customHeight="1" s="2">
      <c r="A383" s="166" t="n"/>
      <c r="B383" s="202" t="inlineStr">
        <is>
          <t>Dat (top T1-T3) -12</t>
        </is>
      </c>
      <c r="C383" s="166" t="n"/>
      <c r="D383" s="166" t="n"/>
      <c r="E383" s="202" t="inlineStr">
        <is>
          <t>Ryuma (Host T1) = 3</t>
        </is>
      </c>
      <c r="F383" s="166" t="n"/>
      <c r="G383" s="166" t="n"/>
      <c r="H383" s="166" t="n"/>
      <c r="I383" s="166" t="n"/>
      <c r="J383" s="166" t="n"/>
      <c r="K383" s="166" t="n"/>
      <c r="L383" s="166" t="n"/>
    </row>
    <row r="384" ht="17.45" customHeight="1" s="2">
      <c r="A384" s="166" t="n"/>
      <c r="B384" s="202" t="inlineStr">
        <is>
          <t>Bipeena (Bar T1) -4</t>
        </is>
      </c>
      <c r="C384" s="166" t="n"/>
      <c r="D384" s="166" t="n"/>
      <c r="E384" s="202" t="inlineStr">
        <is>
          <t>Animesh (Grill T1-T2) = 6</t>
        </is>
      </c>
      <c r="F384" s="166" t="n"/>
      <c r="G384" s="166" t="n"/>
      <c r="H384" s="166" t="n"/>
      <c r="I384" s="166" t="n"/>
      <c r="J384" s="166" t="n"/>
      <c r="K384" s="166" t="n"/>
      <c r="L384" s="166" t="n"/>
    </row>
    <row r="385" ht="17.45" customHeight="1" s="2">
      <c r="A385" s="166" t="n"/>
      <c r="B385" s="166" t="n"/>
      <c r="C385" s="166" t="n"/>
      <c r="D385" s="166" t="n"/>
      <c r="E385" s="202" t="inlineStr">
        <is>
          <t>Keshav (Top T1-T2) = 6</t>
        </is>
      </c>
      <c r="F385" s="166" t="n"/>
      <c r="G385" s="166" t="n"/>
      <c r="H385" s="166" t="n"/>
      <c r="I385" s="166" t="n"/>
      <c r="J385" s="166" t="n"/>
      <c r="K385" s="166" t="n"/>
      <c r="L385" s="166" t="n"/>
    </row>
    <row r="386" ht="15" customHeight="1" s="2">
      <c r="A386" s="166" t="n"/>
      <c r="B386" s="166" t="n"/>
      <c r="C386" s="166" t="n"/>
      <c r="D386" s="166" t="n"/>
      <c r="E386" s="166" t="n"/>
      <c r="F386" s="166" t="n"/>
      <c r="G386" s="166" t="n"/>
      <c r="H386" s="166" t="n"/>
      <c r="I386" s="166" t="n"/>
      <c r="J386" s="166" t="n"/>
      <c r="K386" s="166" t="n"/>
      <c r="L386" s="166" t="n"/>
    </row>
    <row r="387" ht="15" customHeight="1" s="2">
      <c r="A387" s="166" t="n"/>
      <c r="B387" s="168" t="n"/>
      <c r="C387" s="168" t="n"/>
      <c r="D387" s="166" t="n"/>
      <c r="E387" s="168" t="n"/>
      <c r="F387" s="168" t="n"/>
      <c r="G387" s="166" t="n"/>
      <c r="H387" s="168" t="n"/>
      <c r="I387" s="168" t="n"/>
      <c r="J387" s="166" t="n"/>
      <c r="K387" s="166" t="n"/>
      <c r="L387" s="166" t="n"/>
    </row>
    <row r="388" ht="18" customHeight="1" s="2" thickBot="1">
      <c r="A388" s="238" t="n"/>
      <c r="B388" s="222" t="n">
        <v>42681</v>
      </c>
      <c r="C388" s="235" t="n">
        <v>43045</v>
      </c>
      <c r="D388" s="236" t="n"/>
      <c r="E388" s="222" t="n">
        <v>42688</v>
      </c>
      <c r="F388" s="237" t="n">
        <v>43052</v>
      </c>
      <c r="G388" s="236" t="n"/>
      <c r="H388" s="222" t="n">
        <v>43060</v>
      </c>
      <c r="I388" s="237" t="n">
        <v>43059</v>
      </c>
      <c r="J388" s="223" t="n"/>
      <c r="K388" s="166" t="n"/>
      <c r="L388" s="166" t="n"/>
    </row>
    <row r="389" ht="17.85" customHeight="1" s="2" thickBot="1">
      <c r="A389" s="176" t="n"/>
      <c r="B389" s="177" t="inlineStr">
        <is>
          <t>Last Year</t>
        </is>
      </c>
      <c r="C389" s="178" t="inlineStr">
        <is>
          <t>Projected</t>
        </is>
      </c>
      <c r="D389" s="230" t="inlineStr">
        <is>
          <t>Actual</t>
        </is>
      </c>
      <c r="E389" s="177" t="inlineStr">
        <is>
          <t>Last Year</t>
        </is>
      </c>
      <c r="F389" s="178" t="inlineStr">
        <is>
          <t>Projected</t>
        </is>
      </c>
      <c r="G389" s="230" t="inlineStr">
        <is>
          <t>Actual</t>
        </is>
      </c>
      <c r="H389" s="177" t="inlineStr">
        <is>
          <t>Last Year</t>
        </is>
      </c>
      <c r="I389" s="178" t="inlineStr">
        <is>
          <t>Projected</t>
        </is>
      </c>
      <c r="J389" s="230" t="inlineStr">
        <is>
          <t>Actual</t>
        </is>
      </c>
      <c r="K389" s="180" t="n"/>
      <c r="L389" s="166" t="n"/>
    </row>
    <row r="390" ht="18" customHeight="1" s="2">
      <c r="A390" s="181" t="inlineStr">
        <is>
          <t>GROSS TOTAL</t>
        </is>
      </c>
      <c r="B390" s="185" t="n">
        <v>151927</v>
      </c>
      <c r="C390" s="183" t="n">
        <v>154560</v>
      </c>
      <c r="D390" s="231" t="n">
        <v>146740.2</v>
      </c>
      <c r="E390" s="185" t="n">
        <v>149022</v>
      </c>
      <c r="F390" s="183" t="n">
        <v>157285</v>
      </c>
      <c r="G390" s="231" t="n">
        <v>153553</v>
      </c>
      <c r="H390" s="185" t="n">
        <v>171134</v>
      </c>
      <c r="I390" s="183" t="n">
        <v>165164</v>
      </c>
      <c r="J390" s="232" t="n">
        <v>161303.47</v>
      </c>
      <c r="K390" s="186" t="n"/>
      <c r="L390" s="166" t="n"/>
    </row>
    <row r="391" ht="17.45" customHeight="1" s="2">
      <c r="A391" s="187" t="inlineStr">
        <is>
          <t>NETT  TOTAL</t>
        </is>
      </c>
      <c r="B391" s="22">
        <f>B390/1.1</f>
        <v/>
      </c>
      <c r="C391" s="9">
        <f>C390/1.1</f>
        <v/>
      </c>
      <c r="D391" s="32">
        <f>D390/1.1</f>
        <v/>
      </c>
      <c r="E391" s="22">
        <f>E390/1.1</f>
        <v/>
      </c>
      <c r="F391" s="9">
        <f>F390/1.1</f>
        <v/>
      </c>
      <c r="G391" s="32" t="n">
        <v>139593.6363636364</v>
      </c>
      <c r="H391" s="22">
        <f>H390/1.1</f>
        <v/>
      </c>
      <c r="I391" s="9">
        <f>I390/1.1</f>
        <v/>
      </c>
      <c r="J391" s="39">
        <f>J390/1.1</f>
        <v/>
      </c>
      <c r="K391" s="186" t="n"/>
      <c r="L391" s="166" t="n"/>
    </row>
    <row r="392" ht="17.45" customHeight="1" s="2">
      <c r="A392" s="188" t="inlineStr">
        <is>
          <t>Customers</t>
        </is>
      </c>
      <c r="B392" s="10" t="n">
        <v>6927</v>
      </c>
      <c r="C392" s="189" t="n">
        <v>7085</v>
      </c>
      <c r="D392" s="32" t="n">
        <v>6984</v>
      </c>
      <c r="E392" s="10" t="n">
        <v>6955</v>
      </c>
      <c r="F392" s="189" t="n">
        <v>7215</v>
      </c>
      <c r="G392" s="32" t="n">
        <v>7253</v>
      </c>
      <c r="H392" s="10" t="n">
        <v>7596</v>
      </c>
      <c r="I392" s="189" t="n">
        <v>7720</v>
      </c>
      <c r="J392" s="33" t="n">
        <v>7867</v>
      </c>
      <c r="K392" s="171" t="n"/>
      <c r="L392" s="166" t="n"/>
    </row>
    <row r="393" ht="17.45" customHeight="1" s="2">
      <c r="A393" s="188" t="inlineStr">
        <is>
          <t>Average Customer Spend</t>
        </is>
      </c>
      <c r="B393" s="22">
        <f>B390/B392</f>
        <v/>
      </c>
      <c r="C393" s="9">
        <f>C390/C392</f>
        <v/>
      </c>
      <c r="D393" s="32">
        <f>D390/D392</f>
        <v/>
      </c>
      <c r="E393" s="22">
        <f>E390/E392</f>
        <v/>
      </c>
      <c r="F393" s="9">
        <f>F390/F392</f>
        <v/>
      </c>
      <c r="G393" s="32" t="n">
        <v>21.17096373914242</v>
      </c>
      <c r="H393" s="22">
        <f>H390/H392</f>
        <v/>
      </c>
      <c r="I393" s="9">
        <f>I390/I392</f>
        <v/>
      </c>
      <c r="J393" s="33">
        <f>J390/J392</f>
        <v/>
      </c>
      <c r="K393" s="171" t="n"/>
      <c r="L393" s="166" t="n"/>
    </row>
    <row r="394" ht="17.45" customHeight="1" s="2">
      <c r="A394" s="191" t="inlineStr">
        <is>
          <t>Wage % to Gross total</t>
        </is>
      </c>
      <c r="B394" s="210">
        <f>(B397*B398)/B390</f>
        <v/>
      </c>
      <c r="C394" s="9">
        <f>(C397*C398)/C390</f>
        <v/>
      </c>
      <c r="D394" s="39">
        <f>(D397*D398)/D390</f>
        <v/>
      </c>
      <c r="E394" s="210">
        <f>(E397*E398)/E390</f>
        <v/>
      </c>
      <c r="F394" s="9">
        <f>(F397*F398)/F390</f>
        <v/>
      </c>
      <c r="G394" s="39" t="n">
        <v>0.3239415706628981</v>
      </c>
      <c r="H394" s="210">
        <f>(H397*H398)/H390</f>
        <v/>
      </c>
      <c r="I394" s="9">
        <f>(I397*I398)/I390</f>
        <v/>
      </c>
      <c r="J394" s="33">
        <f>(J397*J398)/J390</f>
        <v/>
      </c>
      <c r="K394" s="171" t="n"/>
      <c r="L394" s="166" t="n"/>
    </row>
    <row r="395" ht="17.45" customHeight="1" s="2">
      <c r="A395" s="191" t="inlineStr">
        <is>
          <t>Wage % to Nett Total</t>
        </is>
      </c>
      <c r="B395" s="210">
        <f>(B397*B398)/B391</f>
        <v/>
      </c>
      <c r="C395" s="9">
        <f>(C397*C398)/C391</f>
        <v/>
      </c>
      <c r="D395" s="39">
        <f>(D397*D398)/D391</f>
        <v/>
      </c>
      <c r="E395" s="210">
        <f>(E397*E398)/E391</f>
        <v/>
      </c>
      <c r="F395" s="9">
        <f>(F397*F398)/F391</f>
        <v/>
      </c>
      <c r="G395" s="39" t="n">
        <v>0.356335727729188</v>
      </c>
      <c r="H395" s="210">
        <f>(H397*H398)/H391</f>
        <v/>
      </c>
      <c r="I395" s="9">
        <f>(I397*I398)/I391</f>
        <v/>
      </c>
      <c r="J395" s="33">
        <f>(J397*J398)/J391</f>
        <v/>
      </c>
      <c r="K395" s="171" t="n"/>
      <c r="L395" s="166" t="n"/>
    </row>
    <row r="396" ht="17.45" customHeight="1" s="2">
      <c r="A396" s="188" t="inlineStr">
        <is>
          <t>Productivity</t>
        </is>
      </c>
      <c r="B396" s="22">
        <f>B392/B398</f>
        <v/>
      </c>
      <c r="C396" s="9">
        <f>C392/C398</f>
        <v/>
      </c>
      <c r="D396" s="32">
        <f>D392/D398</f>
        <v/>
      </c>
      <c r="E396" s="22">
        <f>E392/E398</f>
        <v/>
      </c>
      <c r="F396" s="9">
        <f>F392/F398</f>
        <v/>
      </c>
      <c r="G396" s="32" t="n">
        <v>4.967808219178083</v>
      </c>
      <c r="H396" s="22">
        <f>H392/H398</f>
        <v/>
      </c>
      <c r="I396" s="9">
        <f>I392/I398</f>
        <v/>
      </c>
      <c r="J396" s="33">
        <f>J392/J398</f>
        <v/>
      </c>
      <c r="K396" s="171" t="n"/>
      <c r="L396" s="166" t="n"/>
    </row>
    <row r="397" ht="17.45" customHeight="1" s="2">
      <c r="A397" s="188" t="inlineStr">
        <is>
          <t>Average Hourly Rate</t>
        </is>
      </c>
      <c r="B397" s="10" t="n">
        <v>31.32</v>
      </c>
      <c r="C397" s="189" t="n">
        <v>32.5</v>
      </c>
      <c r="D397" s="32" t="n">
        <v>32.84</v>
      </c>
      <c r="E397" s="10" t="n">
        <v>31.08</v>
      </c>
      <c r="F397" s="189" t="n">
        <v>32.5</v>
      </c>
      <c r="G397" s="32" t="n">
        <v>34.07</v>
      </c>
      <c r="H397" s="10" t="n">
        <v>31.73</v>
      </c>
      <c r="I397" s="189" t="n">
        <v>32.5</v>
      </c>
      <c r="J397" s="33" t="n">
        <v>33.12</v>
      </c>
      <c r="K397" s="171" t="n"/>
      <c r="L397" s="166" t="n"/>
    </row>
    <row r="398" ht="17.45" customHeight="1" s="2">
      <c r="A398" s="188" t="inlineStr">
        <is>
          <t>Total hours for productivity</t>
        </is>
      </c>
      <c r="B398" s="10" t="n">
        <v>1501</v>
      </c>
      <c r="C398" s="189" t="n">
        <v>1400</v>
      </c>
      <c r="D398" s="32" t="n">
        <v>1387.25</v>
      </c>
      <c r="E398" s="10" t="n">
        <v>1475</v>
      </c>
      <c r="F398" s="189" t="n">
        <v>1474</v>
      </c>
      <c r="G398" s="32" t="n">
        <v>1460</v>
      </c>
      <c r="H398" s="10" t="n">
        <v>1495</v>
      </c>
      <c r="I398" s="189" t="n">
        <v>1539</v>
      </c>
      <c r="J398" s="33" t="n">
        <v>1542.5</v>
      </c>
      <c r="K398" s="171" t="n"/>
      <c r="L398" s="166" t="n"/>
    </row>
    <row r="399" ht="17.45" customHeight="1" s="2">
      <c r="A399" s="188" t="inlineStr">
        <is>
          <t>Training Hours used</t>
        </is>
      </c>
      <c r="B399" s="10" t="n">
        <v>62</v>
      </c>
      <c r="C399" s="189" t="n">
        <v>52.5</v>
      </c>
      <c r="D399" s="32" t="n">
        <v>37.5</v>
      </c>
      <c r="E399" s="10" t="n">
        <v>64.5</v>
      </c>
      <c r="F399" s="189" t="n"/>
      <c r="G399" s="32" t="n">
        <v>103.5</v>
      </c>
      <c r="H399" s="10" t="n">
        <v>50.5</v>
      </c>
      <c r="I399" s="189" t="n"/>
      <c r="J399" s="39" t="n">
        <v>131</v>
      </c>
      <c r="K399" s="186" t="n"/>
      <c r="L399" s="166" t="n"/>
    </row>
    <row r="400" ht="18" customHeight="1" s="2" thickBot="1">
      <c r="A400" s="193" t="inlineStr">
        <is>
          <t>Number of hours used to cover sick leave</t>
        </is>
      </c>
      <c r="B400" s="15" t="n"/>
      <c r="C400" s="14" t="n"/>
      <c r="D400" s="34" t="n">
        <v>35</v>
      </c>
      <c r="E400" s="15" t="n">
        <v>11.5</v>
      </c>
      <c r="F400" s="194" t="n"/>
      <c r="G400" s="34" t="n">
        <v>55</v>
      </c>
      <c r="H400" s="15" t="n">
        <v>34.5</v>
      </c>
      <c r="I400" s="194" t="n"/>
      <c r="J400" s="233" t="n">
        <v>40</v>
      </c>
      <c r="K400" s="186" t="n"/>
      <c r="L400" s="166" t="n"/>
    </row>
    <row r="401" ht="15.95" customHeight="1" s="2" thickBot="1">
      <c r="A401" s="195" t="inlineStr">
        <is>
          <t>Minimum HOURS</t>
        </is>
      </c>
      <c r="B401" s="196" t="inlineStr">
        <is>
          <t xml:space="preserve">Kitchen </t>
        </is>
      </c>
      <c r="C401" s="16" t="n">
        <v>571</v>
      </c>
      <c r="D401" s="35" t="n"/>
      <c r="E401" s="196" t="inlineStr">
        <is>
          <t xml:space="preserve">Kitchen </t>
        </is>
      </c>
      <c r="F401" s="16" t="n">
        <v>583</v>
      </c>
      <c r="G401" s="36" t="n"/>
      <c r="H401" s="196" t="inlineStr">
        <is>
          <t xml:space="preserve">Kitchen </t>
        </is>
      </c>
      <c r="I401" s="16" t="n">
        <v>621</v>
      </c>
      <c r="J401" s="35" t="n"/>
      <c r="K401" s="180" t="n"/>
      <c r="L401" s="166" t="n"/>
    </row>
    <row r="402" ht="15.95" customHeight="1" s="2" thickBot="1">
      <c r="A402" s="197" t="n"/>
      <c r="B402" s="198" t="inlineStr">
        <is>
          <t xml:space="preserve">Floor </t>
        </is>
      </c>
      <c r="C402" s="18" t="n">
        <v>685</v>
      </c>
      <c r="D402" s="35" t="n"/>
      <c r="E402" s="198" t="inlineStr">
        <is>
          <t xml:space="preserve">Floor </t>
        </is>
      </c>
      <c r="F402" s="18" t="n">
        <v>678</v>
      </c>
      <c r="G402" s="234" t="n"/>
      <c r="H402" s="198" t="inlineStr">
        <is>
          <t xml:space="preserve">Floor </t>
        </is>
      </c>
      <c r="I402" s="18" t="n">
        <v>814</v>
      </c>
      <c r="J402" s="35" t="n"/>
      <c r="K402" s="180" t="n"/>
      <c r="L402" s="166" t="n"/>
    </row>
    <row r="403" ht="15.95" customHeight="1" s="2" thickBot="1">
      <c r="A403" s="197" t="n"/>
      <c r="B403" s="199" t="inlineStr">
        <is>
          <t>TOTAL</t>
        </is>
      </c>
      <c r="C403" s="42">
        <f>SUM(C401:C402)</f>
        <v/>
      </c>
      <c r="D403" s="35">
        <f>SUM(D401:D402)</f>
        <v/>
      </c>
      <c r="E403" s="199" t="inlineStr">
        <is>
          <t>TOTAL</t>
        </is>
      </c>
      <c r="F403" s="42">
        <f>SUM(F401:F402)</f>
        <v/>
      </c>
      <c r="G403" s="35">
        <f>SUM(G401:G402)</f>
        <v/>
      </c>
      <c r="H403" s="199" t="inlineStr">
        <is>
          <t>TOTAL</t>
        </is>
      </c>
      <c r="I403" s="42">
        <f>SUM(I401:I402)</f>
        <v/>
      </c>
      <c r="J403" s="35">
        <f>SUM(J401:J402)</f>
        <v/>
      </c>
      <c r="K403" s="180" t="n"/>
      <c r="L403" s="166" t="n"/>
    </row>
    <row r="404" ht="18" customHeight="1" s="2">
      <c r="A404" s="202" t="n"/>
      <c r="B404" s="239" t="n"/>
      <c r="C404" s="239" t="n"/>
      <c r="D404" s="239" t="n"/>
      <c r="E404" s="239" t="n"/>
      <c r="F404" s="239" t="n"/>
      <c r="G404" s="239" t="n"/>
      <c r="H404" s="239" t="n"/>
      <c r="I404" s="239" t="n"/>
      <c r="J404" s="239" t="n"/>
      <c r="K404" s="166" t="n"/>
      <c r="L404" s="166" t="n"/>
    </row>
    <row r="405" ht="17.45" customHeight="1" s="2">
      <c r="A405" s="202" t="n"/>
      <c r="B405" s="202" t="inlineStr">
        <is>
          <t>|Ashish(ind +dishy)</t>
        </is>
      </c>
      <c r="C405" s="202" t="n"/>
      <c r="D405" s="202" t="n">
        <v>5</v>
      </c>
      <c r="E405" s="202" t="n"/>
      <c r="F405" s="202" t="inlineStr">
        <is>
          <t>Nikita(BarT1-T3)</t>
        </is>
      </c>
      <c r="G405" s="202" t="n">
        <v>15</v>
      </c>
      <c r="H405" s="202" t="inlineStr">
        <is>
          <t>Minnie(new starter0</t>
        </is>
      </c>
      <c r="I405" s="202" t="n"/>
      <c r="J405" s="202" t="n">
        <v>18</v>
      </c>
      <c r="K405" s="166" t="n"/>
      <c r="L405" s="166" t="n"/>
    </row>
    <row r="406" ht="17.45" customHeight="1" s="2">
      <c r="A406" s="202" t="n"/>
      <c r="B406" s="202" t="inlineStr">
        <is>
          <t>Jenny(ind +dishy)</t>
        </is>
      </c>
      <c r="C406" s="202" t="n"/>
      <c r="D406" s="202" t="n">
        <v>4</v>
      </c>
      <c r="E406" s="202" t="n"/>
      <c r="F406" s="202" t="inlineStr">
        <is>
          <t>Ryuma(hostT1-T3)</t>
        </is>
      </c>
      <c r="G406" s="202" t="n">
        <v>15</v>
      </c>
      <c r="H406" s="202" t="inlineStr">
        <is>
          <t>Martyna(ind+T1-T5)</t>
        </is>
      </c>
      <c r="I406" s="202" t="n"/>
      <c r="J406" s="202" t="n">
        <v>20</v>
      </c>
      <c r="K406" s="166" t="n"/>
      <c r="L406" s="166" t="n"/>
    </row>
    <row r="407" ht="17.45" customHeight="1" s="2">
      <c r="A407" s="202" t="n"/>
      <c r="B407" s="202" t="inlineStr">
        <is>
          <t>Ashish(pizza T1-T4)</t>
        </is>
      </c>
      <c r="C407" s="202" t="n"/>
      <c r="D407" s="202" t="n">
        <v>16</v>
      </c>
      <c r="E407" s="202" t="n"/>
      <c r="F407" s="202" t="inlineStr">
        <is>
          <t>Jenny K (ind + pizza T1 -T4</t>
        </is>
      </c>
      <c r="G407" s="202" t="n">
        <v>17</v>
      </c>
      <c r="H407" s="202" t="inlineStr">
        <is>
          <t>Pattie(ind+T1-T5)</t>
        </is>
      </c>
      <c r="I407" s="202" t="n"/>
      <c r="J407" s="202" t="n">
        <v>20</v>
      </c>
      <c r="K407" s="166" t="n"/>
      <c r="L407" s="166" t="n"/>
    </row>
    <row r="408" ht="17.45" customHeight="1" s="2">
      <c r="A408" s="202" t="n"/>
      <c r="B408" s="202" t="inlineStr">
        <is>
          <t>Jenny(grill T1-T3)</t>
        </is>
      </c>
      <c r="C408" s="202" t="n"/>
      <c r="D408" s="202" t="inlineStr">
        <is>
          <t>cxld</t>
        </is>
      </c>
      <c r="E408" s="202" t="n"/>
      <c r="F408" s="202" t="inlineStr">
        <is>
          <t>Jace(ind + dishy)</t>
        </is>
      </c>
      <c r="G408" s="202" t="n">
        <v>4</v>
      </c>
      <c r="H408" s="202" t="inlineStr">
        <is>
          <t>Yui(ind+T1-T5)</t>
        </is>
      </c>
      <c r="I408" s="202" t="n"/>
      <c r="J408" s="202" t="n">
        <v>25</v>
      </c>
      <c r="K408" s="166" t="n"/>
      <c r="L408" s="166" t="n"/>
    </row>
    <row r="409" ht="17.45" customHeight="1" s="2">
      <c r="A409" s="202" t="n"/>
      <c r="B409" s="202" t="inlineStr">
        <is>
          <t>Dat(B'fast T1-T2</t>
        </is>
      </c>
      <c r="C409" s="202" t="n"/>
      <c r="D409" s="202" t="n">
        <v>12.5</v>
      </c>
      <c r="E409" s="202" t="n"/>
      <c r="F409" s="202" t="inlineStr">
        <is>
          <t>Jace (grill T1-T3)</t>
        </is>
      </c>
      <c r="G409" s="202" t="n">
        <v>15</v>
      </c>
      <c r="H409" s="202" t="inlineStr">
        <is>
          <t>Kohei(induction)</t>
        </is>
      </c>
      <c r="I409" s="202" t="n"/>
      <c r="J409" s="202" t="n">
        <v>3</v>
      </c>
      <c r="K409" s="166" t="n"/>
      <c r="L409" s="166" t="n"/>
    </row>
    <row r="410" ht="17.45" customHeight="1" s="2">
      <c r="A410" s="166" t="n"/>
      <c r="B410" s="166" t="n"/>
      <c r="C410" s="166" t="n"/>
      <c r="D410" s="166" t="n"/>
      <c r="E410" s="166" t="n"/>
      <c r="F410" s="202" t="inlineStr">
        <is>
          <t>Dat(B'fast T3-T4)</t>
        </is>
      </c>
      <c r="G410" s="202" t="n">
        <v>15</v>
      </c>
      <c r="H410" s="202" t="inlineStr">
        <is>
          <t>Ashiqul(Milko T2)</t>
        </is>
      </c>
      <c r="I410" s="166" t="n"/>
      <c r="J410" s="202" t="n">
        <v>8</v>
      </c>
      <c r="K410" s="166" t="n"/>
      <c r="L410" s="166" t="n"/>
    </row>
    <row r="411" ht="17.45" customHeight="1" s="2">
      <c r="A411" s="166" t="n"/>
      <c r="B411" s="166" t="n"/>
      <c r="C411" s="166" t="n"/>
      <c r="D411" s="166" t="n"/>
      <c r="E411" s="166" t="n"/>
      <c r="F411" s="202" t="inlineStr">
        <is>
          <t>Ashiqul(Milko T1-T2)</t>
        </is>
      </c>
      <c r="G411" s="202" t="n">
        <v>15</v>
      </c>
      <c r="H411" s="202" t="inlineStr">
        <is>
          <t>Jace (grill)</t>
        </is>
      </c>
      <c r="I411" s="166" t="n"/>
      <c r="J411" s="202" t="n">
        <v>19</v>
      </c>
      <c r="K411" s="166" t="n"/>
      <c r="L411" s="166" t="n"/>
    </row>
    <row r="412" ht="17.45" customHeight="1" s="2">
      <c r="A412" s="166" t="n"/>
      <c r="B412" s="166" t="n"/>
      <c r="C412" s="166" t="n"/>
      <c r="D412" s="166" t="n"/>
      <c r="E412" s="166" t="n"/>
      <c r="F412" s="166" t="n"/>
      <c r="G412" s="166" t="n"/>
      <c r="H412" s="202" t="inlineStr">
        <is>
          <t>Jenny pizza</t>
        </is>
      </c>
      <c r="I412" s="166" t="n"/>
      <c r="J412" s="202" t="n">
        <v>18</v>
      </c>
      <c r="K412" s="166" t="n"/>
      <c r="L412" s="166" t="n"/>
    </row>
    <row r="413" ht="15" customHeight="1" s="2">
      <c r="A413" s="166" t="n"/>
      <c r="B413" s="166" t="n"/>
      <c r="C413" s="166" t="n"/>
      <c r="D413" s="166" t="n"/>
      <c r="E413" s="166" t="n"/>
      <c r="F413" s="166" t="n"/>
      <c r="G413" s="166" t="n"/>
      <c r="H413" s="166" t="n"/>
      <c r="I413" s="166" t="n"/>
      <c r="J413" s="166" t="n"/>
      <c r="K413" s="166" t="n"/>
      <c r="L413" s="166" t="n"/>
    </row>
    <row r="414" ht="15" customHeight="1" s="2">
      <c r="A414" s="166" t="n"/>
      <c r="B414" s="166" t="n"/>
      <c r="C414" s="166" t="n"/>
      <c r="D414" s="166" t="n"/>
      <c r="E414" s="166" t="n"/>
      <c r="F414" s="166" t="n"/>
      <c r="G414" s="166" t="n"/>
      <c r="H414" s="166" t="n"/>
      <c r="I414" s="166" t="n"/>
      <c r="J414" s="166" t="n"/>
      <c r="K414" s="166" t="n"/>
      <c r="L414" s="166" t="n"/>
    </row>
    <row r="415" ht="15" customHeight="1" s="2">
      <c r="A415" s="166" t="n"/>
      <c r="B415" s="168" t="n"/>
      <c r="C415" s="168" t="n"/>
      <c r="D415" s="166" t="n"/>
      <c r="E415" s="168" t="n"/>
      <c r="F415" s="168" t="n"/>
      <c r="G415" s="166" t="n"/>
      <c r="H415" s="168" t="n"/>
      <c r="I415" s="168" t="n"/>
      <c r="J415" s="166" t="n"/>
      <c r="K415" s="166" t="n"/>
      <c r="L415" s="166" t="n"/>
    </row>
    <row r="416" ht="18" customHeight="1" s="2" thickBot="1">
      <c r="A416" s="238" t="n"/>
      <c r="B416" s="222" t="n">
        <v>43067</v>
      </c>
      <c r="C416" s="235" t="n">
        <v>43066</v>
      </c>
      <c r="D416" s="236" t="n"/>
      <c r="E416" s="222" t="n">
        <v>43074</v>
      </c>
      <c r="F416" s="237" t="n">
        <v>43073</v>
      </c>
      <c r="G416" s="236" t="n"/>
      <c r="H416" s="222" t="n">
        <v>42716</v>
      </c>
      <c r="I416" s="237" t="n">
        <v>43080</v>
      </c>
      <c r="J416" s="223" t="n"/>
      <c r="K416" s="166" t="n"/>
      <c r="L416" s="166" t="n"/>
    </row>
    <row r="417" ht="17.85" customHeight="1" s="2" thickBot="1">
      <c r="A417" s="176" t="n"/>
      <c r="B417" s="177" t="inlineStr">
        <is>
          <t>Last Year</t>
        </is>
      </c>
      <c r="C417" s="178" t="inlineStr">
        <is>
          <t>Projected</t>
        </is>
      </c>
      <c r="D417" s="230" t="inlineStr">
        <is>
          <t>Actual</t>
        </is>
      </c>
      <c r="E417" s="177" t="inlineStr">
        <is>
          <t>Last Year</t>
        </is>
      </c>
      <c r="F417" s="178" t="inlineStr">
        <is>
          <t>Projected</t>
        </is>
      </c>
      <c r="G417" s="230" t="inlineStr">
        <is>
          <t>Actual</t>
        </is>
      </c>
      <c r="H417" s="177" t="inlineStr">
        <is>
          <t>Last Year</t>
        </is>
      </c>
      <c r="I417" s="178" t="inlineStr">
        <is>
          <t>Projected</t>
        </is>
      </c>
      <c r="J417" s="230" t="inlineStr">
        <is>
          <t>Actual</t>
        </is>
      </c>
      <c r="K417" s="180" t="n"/>
      <c r="L417" s="166" t="n"/>
    </row>
    <row r="418" ht="18" customHeight="1" s="2">
      <c r="A418" s="181" t="inlineStr">
        <is>
          <t>GROSS TOTAL</t>
        </is>
      </c>
      <c r="B418" s="184" t="n">
        <v>166668.96</v>
      </c>
      <c r="C418" s="184" t="n">
        <v>167642</v>
      </c>
      <c r="D418" s="184" t="n">
        <v>169857.94</v>
      </c>
      <c r="E418" s="184" t="n">
        <v>167642</v>
      </c>
      <c r="F418" s="184" t="n">
        <v>159239</v>
      </c>
      <c r="G418" s="184" t="n">
        <v>167715.62</v>
      </c>
      <c r="H418" s="184" t="n">
        <v>164719.13</v>
      </c>
      <c r="I418" s="184" t="n">
        <v>169934</v>
      </c>
      <c r="J418" s="185" t="n">
        <v>171631.12</v>
      </c>
      <c r="K418" s="186" t="n"/>
      <c r="L418" s="166" t="n"/>
    </row>
    <row r="419" ht="17.45" customHeight="1" s="2">
      <c r="A419" s="187" t="inlineStr">
        <is>
          <t>NETT  TOTAL</t>
        </is>
      </c>
      <c r="B419" s="22">
        <f>B418/1.1</f>
        <v/>
      </c>
      <c r="C419" s="9">
        <f>C418/1.1</f>
        <v/>
      </c>
      <c r="D419" s="32">
        <f>D418/1.1</f>
        <v/>
      </c>
      <c r="E419" s="22">
        <f>E418/1.1</f>
        <v/>
      </c>
      <c r="F419" s="9">
        <f>F418/1.1</f>
        <v/>
      </c>
      <c r="G419" s="32">
        <f>G418/1.1</f>
        <v/>
      </c>
      <c r="H419" s="22">
        <f>H418/1.1</f>
        <v/>
      </c>
      <c r="I419" s="9">
        <f>I418/1.1</f>
        <v/>
      </c>
      <c r="J419" s="39">
        <f>J418/1.1</f>
        <v/>
      </c>
      <c r="K419" s="186" t="n"/>
      <c r="L419" s="166" t="n"/>
    </row>
    <row r="420" ht="17.45" customHeight="1" s="2">
      <c r="A420" s="188" t="inlineStr">
        <is>
          <t>Customers</t>
        </is>
      </c>
      <c r="B420" s="10" t="n">
        <v>7808</v>
      </c>
      <c r="C420" s="189" t="n">
        <v>7840</v>
      </c>
      <c r="D420" s="32" t="n">
        <v>8291</v>
      </c>
      <c r="E420" s="10" t="n">
        <v>6987</v>
      </c>
      <c r="F420" s="189" t="n">
        <v>7705</v>
      </c>
      <c r="G420" s="32" t="n">
        <v>8041</v>
      </c>
      <c r="H420" s="10" t="n">
        <v>7961</v>
      </c>
      <c r="I420" s="189" t="n">
        <v>8105</v>
      </c>
      <c r="J420" s="33" t="n">
        <v>8219</v>
      </c>
      <c r="K420" s="171" t="n"/>
      <c r="L420" s="166" t="n"/>
    </row>
    <row r="421" ht="17.45" customHeight="1" s="2">
      <c r="A421" s="188" t="inlineStr">
        <is>
          <t>Average Customer Spend</t>
        </is>
      </c>
      <c r="B421" s="22">
        <f>B418/B420</f>
        <v/>
      </c>
      <c r="C421" s="9">
        <f>C418/C420</f>
        <v/>
      </c>
      <c r="D421" s="32">
        <f>D418/D420</f>
        <v/>
      </c>
      <c r="E421" s="22">
        <f>E418/E420</f>
        <v/>
      </c>
      <c r="F421" s="9">
        <f>F418/F420</f>
        <v/>
      </c>
      <c r="G421" s="32">
        <f>G418/G420</f>
        <v/>
      </c>
      <c r="H421" s="22">
        <f>H418/H420</f>
        <v/>
      </c>
      <c r="I421" s="9">
        <f>I418/I420</f>
        <v/>
      </c>
      <c r="J421" s="33">
        <f>J418/J420</f>
        <v/>
      </c>
      <c r="K421" s="171" t="n"/>
      <c r="L421" s="166" t="n"/>
    </row>
    <row r="422" ht="17.45" customHeight="1" s="2">
      <c r="A422" s="191" t="inlineStr">
        <is>
          <t>Wage % to Gross total</t>
        </is>
      </c>
      <c r="B422" s="210">
        <f>(B425*B426)/B418</f>
        <v/>
      </c>
      <c r="C422" s="9">
        <f>(C425*C426)/C418</f>
        <v/>
      </c>
      <c r="D422" s="39">
        <f>(D425*D426)/D418</f>
        <v/>
      </c>
      <c r="E422" s="210">
        <f>(E425*E426)/E418</f>
        <v/>
      </c>
      <c r="F422" s="9">
        <f>(F425*F426)/F418</f>
        <v/>
      </c>
      <c r="G422" s="39">
        <f>(G425*G426)/G418</f>
        <v/>
      </c>
      <c r="H422" s="210">
        <f>(H425*H426)/H418</f>
        <v/>
      </c>
      <c r="I422" s="9">
        <f>(I425*I426)/I418</f>
        <v/>
      </c>
      <c r="J422" s="33">
        <f>(J425*J426)/J418</f>
        <v/>
      </c>
      <c r="K422" s="171" t="n"/>
      <c r="L422" s="166" t="n"/>
    </row>
    <row r="423" ht="17.45" customHeight="1" s="2">
      <c r="A423" s="191" t="inlineStr">
        <is>
          <t>Wage % to Nett Total</t>
        </is>
      </c>
      <c r="B423" s="210">
        <f>(B425*B426)/B419</f>
        <v/>
      </c>
      <c r="C423" s="9">
        <f>(C425*C426)/C419</f>
        <v/>
      </c>
      <c r="D423" s="39">
        <f>(D425*D426)/D419</f>
        <v/>
      </c>
      <c r="E423" s="210">
        <f>(E425*E426)/E419</f>
        <v/>
      </c>
      <c r="F423" s="9">
        <f>(F425*F426)/F419</f>
        <v/>
      </c>
      <c r="G423" s="39">
        <f>(G425*G426)/G419</f>
        <v/>
      </c>
      <c r="H423" s="210">
        <f>(H425*H426)/H419</f>
        <v/>
      </c>
      <c r="I423" s="9">
        <f>(I425*I426)/I419</f>
        <v/>
      </c>
      <c r="J423" s="33">
        <f>(J425*J426)/J419</f>
        <v/>
      </c>
      <c r="K423" s="171" t="n"/>
      <c r="L423" s="166" t="n"/>
    </row>
    <row r="424" ht="17.45" customHeight="1" s="2">
      <c r="A424" s="188" t="inlineStr">
        <is>
          <t>Productivity</t>
        </is>
      </c>
      <c r="B424" s="22">
        <f>B420/B426</f>
        <v/>
      </c>
      <c r="C424" s="9">
        <f>C420/C426</f>
        <v/>
      </c>
      <c r="D424" s="32">
        <f>D420/D426</f>
        <v/>
      </c>
      <c r="E424" s="22">
        <f>E420/E426</f>
        <v/>
      </c>
      <c r="F424" s="9">
        <f>F420/F426</f>
        <v/>
      </c>
      <c r="G424" s="32">
        <f>G420/G426</f>
        <v/>
      </c>
      <c r="H424" s="22">
        <f>H420/H426</f>
        <v/>
      </c>
      <c r="I424" s="9">
        <f>I420/I426</f>
        <v/>
      </c>
      <c r="J424" s="33">
        <f>J420/J426</f>
        <v/>
      </c>
      <c r="K424" s="171" t="n"/>
      <c r="L424" s="166" t="n"/>
    </row>
    <row r="425" ht="17.45" customHeight="1" s="2">
      <c r="A425" s="188" t="inlineStr">
        <is>
          <t>Average Hourly Rate</t>
        </is>
      </c>
      <c r="B425" s="10" t="n">
        <v>31.41</v>
      </c>
      <c r="C425" s="189" t="n">
        <v>32.5</v>
      </c>
      <c r="D425" s="32" t="n">
        <v>33.53</v>
      </c>
      <c r="E425" s="10" t="n">
        <v>30.01</v>
      </c>
      <c r="F425" s="189" t="n"/>
      <c r="G425" s="32" t="n">
        <v>32.91</v>
      </c>
      <c r="H425" s="10" t="n">
        <v>30.55</v>
      </c>
      <c r="I425" s="189" t="n">
        <v>32.5</v>
      </c>
      <c r="J425" s="33" t="n">
        <v>33.08</v>
      </c>
      <c r="K425" s="171" t="n"/>
      <c r="L425" s="166" t="n"/>
    </row>
    <row r="426" ht="17.45" customHeight="1" s="2">
      <c r="A426" s="188" t="inlineStr">
        <is>
          <t>Total hours for productivity</t>
        </is>
      </c>
      <c r="B426" s="10" t="n">
        <v>1550.25</v>
      </c>
      <c r="C426" s="189" t="n">
        <v>1443</v>
      </c>
      <c r="D426" s="32" t="n">
        <v>1463.75</v>
      </c>
      <c r="E426" s="10" t="n">
        <v>1675.25</v>
      </c>
      <c r="F426" s="189" t="n"/>
      <c r="G426" s="32" t="n">
        <v>1504.5</v>
      </c>
      <c r="H426" s="10" t="n">
        <v>1616</v>
      </c>
      <c r="I426" s="189" t="n">
        <v>1629.5</v>
      </c>
      <c r="J426" s="33" t="n">
        <v>1541.25</v>
      </c>
      <c r="K426" s="171" t="n"/>
      <c r="L426" s="166" t="n"/>
    </row>
    <row r="427" ht="17.45" customHeight="1" s="2">
      <c r="A427" s="188" t="inlineStr">
        <is>
          <t>Training Hours used</t>
        </is>
      </c>
      <c r="B427" s="10" t="n">
        <v>65</v>
      </c>
      <c r="C427" s="189" t="n"/>
      <c r="D427" s="32" t="n">
        <v>35</v>
      </c>
      <c r="E427" s="10" t="n">
        <v>12</v>
      </c>
      <c r="F427" s="189" t="n"/>
      <c r="G427" s="32" t="n">
        <v>79</v>
      </c>
      <c r="H427" s="10" t="n">
        <v>95</v>
      </c>
      <c r="I427" s="189" t="n">
        <v>100.5</v>
      </c>
      <c r="J427" s="39" t="n">
        <v>100.5</v>
      </c>
      <c r="K427" s="186" t="n"/>
      <c r="L427" s="166" t="n"/>
    </row>
    <row r="428" ht="18" customHeight="1" s="2" thickBot="1">
      <c r="A428" s="193" t="inlineStr">
        <is>
          <t>Number of hours used to cover sick leave</t>
        </is>
      </c>
      <c r="B428" s="15" t="n"/>
      <c r="C428" s="14" t="n"/>
      <c r="D428" s="34" t="n">
        <v>45.5</v>
      </c>
      <c r="E428" s="15" t="n">
        <v>267</v>
      </c>
      <c r="F428" s="194" t="n"/>
      <c r="G428" s="34" t="n">
        <v>43</v>
      </c>
      <c r="H428" s="15" t="n">
        <v>20</v>
      </c>
      <c r="I428" s="194" t="n"/>
      <c r="J428" s="233" t="n"/>
      <c r="K428" s="186" t="n"/>
      <c r="L428" s="166" t="n"/>
    </row>
    <row r="429" ht="15.95" customHeight="1" s="2" thickBot="1">
      <c r="A429" s="195" t="inlineStr">
        <is>
          <t>Minimum HOURS</t>
        </is>
      </c>
      <c r="B429" s="196" t="inlineStr">
        <is>
          <t xml:space="preserve">Kitchen </t>
        </is>
      </c>
      <c r="C429" s="16" t="n">
        <v>558</v>
      </c>
      <c r="D429" s="35" t="n"/>
      <c r="E429" s="196" t="inlineStr">
        <is>
          <t xml:space="preserve">Kitchen </t>
        </is>
      </c>
      <c r="F429" s="16" t="n"/>
      <c r="G429" s="36" t="n"/>
      <c r="H429" s="196" t="inlineStr">
        <is>
          <t xml:space="preserve">Kitchen </t>
        </is>
      </c>
      <c r="I429" s="16" t="n"/>
      <c r="J429" s="35" t="n"/>
      <c r="K429" s="180" t="n"/>
      <c r="L429" s="166" t="n"/>
    </row>
    <row r="430" ht="15.95" customHeight="1" s="2" thickBot="1">
      <c r="A430" s="197" t="n"/>
      <c r="B430" s="198" t="inlineStr">
        <is>
          <t xml:space="preserve">Floor </t>
        </is>
      </c>
      <c r="C430" s="18" t="n">
        <v>784</v>
      </c>
      <c r="D430" s="35" t="n"/>
      <c r="E430" s="198" t="inlineStr">
        <is>
          <t xml:space="preserve">Floor </t>
        </is>
      </c>
      <c r="F430" s="18" t="n"/>
      <c r="G430" s="234" t="n"/>
      <c r="H430" s="198" t="inlineStr">
        <is>
          <t xml:space="preserve">Floor </t>
        </is>
      </c>
      <c r="I430" s="18" t="n"/>
      <c r="J430" s="35" t="n"/>
      <c r="K430" s="180" t="n"/>
      <c r="L430" s="166" t="n"/>
    </row>
    <row r="431" ht="15.95" customHeight="1" s="2" thickBot="1">
      <c r="A431" s="197" t="n"/>
      <c r="B431" s="199" t="inlineStr">
        <is>
          <t>TOTAL</t>
        </is>
      </c>
      <c r="C431" s="42">
        <f>SUM(C429:C430)</f>
        <v/>
      </c>
      <c r="D431" s="35">
        <f>SUM(D429:D430)</f>
        <v/>
      </c>
      <c r="E431" s="199" t="inlineStr">
        <is>
          <t>TOTAL</t>
        </is>
      </c>
      <c r="F431" s="42">
        <f>SUM(F429:F430)</f>
        <v/>
      </c>
      <c r="G431" s="35">
        <f>SUM(G429:G430)</f>
        <v/>
      </c>
      <c r="H431" s="199" t="inlineStr">
        <is>
          <t>TOTAL</t>
        </is>
      </c>
      <c r="I431" s="42">
        <f>SUM(I429:I430)</f>
        <v/>
      </c>
      <c r="J431" s="35">
        <f>SUM(J429:J430)</f>
        <v/>
      </c>
      <c r="K431" s="180" t="n"/>
      <c r="L431" s="166" t="n"/>
    </row>
    <row r="432" ht="18" customHeight="1" s="2">
      <c r="A432" s="202" t="n"/>
      <c r="B432" s="239" t="n"/>
      <c r="C432" s="239" t="n"/>
      <c r="D432" s="239" t="n"/>
      <c r="E432" s="239" t="n"/>
      <c r="F432" s="239" t="n"/>
      <c r="G432" s="239" t="n"/>
      <c r="H432" s="239" t="n"/>
      <c r="I432" s="239" t="n"/>
      <c r="J432" s="239" t="n"/>
      <c r="K432" s="166" t="n"/>
      <c r="L432" s="166" t="n"/>
    </row>
    <row r="433" ht="17.45" customHeight="1" s="2">
      <c r="A433" s="202" t="n"/>
      <c r="B433" s="202" t="inlineStr">
        <is>
          <t>KOHEI(T1-T5</t>
        </is>
      </c>
      <c r="C433" s="202" t="n"/>
      <c r="D433" s="202" t="n">
        <v>25</v>
      </c>
      <c r="E433" s="202" t="inlineStr">
        <is>
          <t>Sonata(COT1-T3)</t>
        </is>
      </c>
      <c r="F433" s="202" t="n"/>
      <c r="G433" s="202" t="n">
        <v>15</v>
      </c>
      <c r="H433" s="202" t="n"/>
      <c r="I433" s="202" t="n"/>
      <c r="J433" s="240" t="n"/>
      <c r="K433" s="166" t="n"/>
      <c r="L433" s="166" t="n"/>
    </row>
    <row r="434" ht="17.45" customHeight="1" s="2">
      <c r="A434" s="202" t="n"/>
      <c r="B434" s="202" t="inlineStr">
        <is>
          <t>Jenny stockingT1-T2</t>
        </is>
      </c>
      <c r="C434" s="202" t="n"/>
      <c r="D434" s="202" t="n">
        <v>10</v>
      </c>
      <c r="E434" s="202" t="inlineStr">
        <is>
          <t>Jenny(stockingT3-T4)</t>
        </is>
      </c>
      <c r="F434" s="202" t="n"/>
      <c r="G434" s="202" t="n">
        <v>10</v>
      </c>
      <c r="H434" s="202" t="n"/>
      <c r="I434" s="241" t="n"/>
      <c r="J434" s="185" t="n"/>
      <c r="K434" s="186" t="n"/>
      <c r="L434" s="166" t="n"/>
    </row>
    <row r="435" ht="17.45" customHeight="1" s="2">
      <c r="A435" s="166" t="n"/>
      <c r="B435" s="166" t="n"/>
      <c r="C435" s="166" t="n"/>
      <c r="D435" s="166" t="n"/>
      <c r="E435" s="202" t="inlineStr">
        <is>
          <t>Jace (crepping T1-T2)</t>
        </is>
      </c>
      <c r="F435" s="166" t="n"/>
      <c r="G435" s="202" t="n">
        <v>12</v>
      </c>
      <c r="H435" s="166" t="n"/>
      <c r="I435" s="242" t="n"/>
      <c r="J435" s="22" t="n"/>
      <c r="K435" s="186" t="n"/>
      <c r="L435" s="166" t="n"/>
    </row>
    <row r="436" ht="17.45" customHeight="1" s="2">
      <c r="A436" s="166" t="n"/>
      <c r="B436" s="166" t="n"/>
      <c r="C436" s="166" t="n"/>
      <c r="D436" s="166" t="n"/>
      <c r="E436" s="202" t="inlineStr">
        <is>
          <t>Nikita(barT1-T3)</t>
        </is>
      </c>
      <c r="F436" s="166" t="n"/>
      <c r="G436" s="202" t="n">
        <v>15</v>
      </c>
      <c r="H436" s="166" t="n"/>
      <c r="I436" s="242" t="n"/>
      <c r="J436" s="11" t="n"/>
      <c r="K436" s="171" t="n"/>
      <c r="L436" s="166" t="n"/>
    </row>
    <row r="437" ht="18" customHeight="1" s="2" thickBot="1">
      <c r="A437" s="166" t="n"/>
      <c r="B437" s="173" t="n"/>
      <c r="C437" s="173" t="n"/>
      <c r="D437" s="173" t="n"/>
      <c r="E437" s="207" t="inlineStr">
        <is>
          <t>Bishal(host T1-T3)</t>
        </is>
      </c>
      <c r="F437" s="173" t="n"/>
      <c r="G437" s="207" t="n">
        <v>15</v>
      </c>
      <c r="H437" s="173" t="n"/>
      <c r="I437" s="243" t="n"/>
      <c r="J437" s="244" t="n"/>
      <c r="K437" s="171" t="n"/>
      <c r="L437" s="166" t="n"/>
    </row>
    <row r="438" ht="44.1" customHeight="1" s="2">
      <c r="A438" s="242" t="n"/>
      <c r="B438" s="245" t="n"/>
      <c r="C438" s="246" t="n"/>
      <c r="D438" s="247" t="n"/>
      <c r="E438" s="247" t="n"/>
      <c r="F438" s="247" t="n"/>
      <c r="G438" s="247" t="n"/>
      <c r="H438" s="247" t="n"/>
      <c r="I438" s="247" t="n"/>
      <c r="J438" s="248" t="n"/>
      <c r="K438" s="180" t="n"/>
      <c r="L438" s="166" t="n"/>
    </row>
    <row r="439" ht="43.5" customHeight="1" s="2">
      <c r="A439" s="242" t="n"/>
      <c r="B439" s="249" t="n"/>
      <c r="C439" s="170" t="n"/>
      <c r="D439" s="250" t="n"/>
      <c r="E439" s="250" t="n"/>
      <c r="F439" s="250" t="n"/>
      <c r="G439" s="250" t="n"/>
      <c r="H439" s="250" t="n"/>
      <c r="I439" s="250" t="n"/>
      <c r="J439" s="37" t="n"/>
      <c r="K439" s="180" t="n"/>
      <c r="L439" s="166" t="n"/>
    </row>
    <row r="440" ht="17.45" customHeight="1" s="2">
      <c r="A440" s="242" t="n"/>
      <c r="B440" s="251" t="n"/>
      <c r="C440" s="250" t="n"/>
      <c r="D440" s="250" t="n"/>
      <c r="E440" s="250" t="n"/>
      <c r="F440" s="250" t="n"/>
      <c r="G440" s="250" t="n"/>
      <c r="H440" s="250" t="n"/>
      <c r="I440" s="250" t="n"/>
      <c r="J440" s="37" t="n"/>
      <c r="K440" s="180" t="n"/>
      <c r="L440" s="166" t="n"/>
    </row>
    <row r="441" ht="56.1" customHeight="1" s="2">
      <c r="A441" s="242" t="n"/>
      <c r="B441" s="251" t="n"/>
      <c r="C441" s="250" t="n"/>
      <c r="D441" s="250" t="n"/>
      <c r="E441" s="250" t="n"/>
      <c r="F441" s="170" t="inlineStr">
        <is>
          <t>JANUARY</t>
        </is>
      </c>
      <c r="G441" s="250" t="n"/>
      <c r="H441" s="252" t="n">
        <v>2018</v>
      </c>
      <c r="I441" s="250" t="n"/>
      <c r="J441" s="37" t="n"/>
      <c r="K441" s="180" t="n"/>
      <c r="L441" s="166" t="n"/>
    </row>
    <row r="442" ht="17.45" customHeight="1" s="2">
      <c r="A442" s="242" t="n"/>
      <c r="B442" s="251" t="n"/>
      <c r="C442" s="250" t="n"/>
      <c r="D442" s="250" t="n"/>
      <c r="E442" s="250" t="n"/>
      <c r="F442" s="250" t="n"/>
      <c r="G442" s="250" t="n"/>
      <c r="H442" s="250" t="n"/>
      <c r="I442" s="250" t="n"/>
      <c r="J442" s="37" t="n"/>
      <c r="K442" s="180" t="n"/>
      <c r="L442" s="166" t="n"/>
    </row>
    <row r="443" ht="17.45" customHeight="1" s="2">
      <c r="A443" s="242" t="n"/>
      <c r="B443" s="251" t="n"/>
      <c r="C443" s="250" t="n"/>
      <c r="D443" s="250" t="n"/>
      <c r="E443" s="250" t="n"/>
      <c r="F443" s="250" t="n"/>
      <c r="G443" s="250" t="n"/>
      <c r="H443" s="250" t="n"/>
      <c r="I443" s="250" t="n"/>
      <c r="J443" s="37" t="n"/>
      <c r="K443" s="180" t="n"/>
      <c r="L443" s="166" t="n"/>
    </row>
    <row r="444" ht="17.45" customHeight="1" s="2">
      <c r="A444" s="242" t="n"/>
      <c r="B444" s="251" t="n"/>
      <c r="C444" s="250" t="n"/>
      <c r="D444" s="250" t="n"/>
      <c r="E444" s="250" t="n"/>
      <c r="F444" s="250" t="n"/>
      <c r="G444" s="250" t="n"/>
      <c r="H444" s="250" t="n"/>
      <c r="I444" s="250" t="n"/>
      <c r="J444" s="37" t="n"/>
      <c r="K444" s="180" t="n"/>
      <c r="L444" s="166" t="n"/>
    </row>
    <row r="445" ht="17.45" customHeight="1" s="2">
      <c r="A445" s="242" t="n"/>
      <c r="B445" s="251" t="n"/>
      <c r="C445" s="250" t="n"/>
      <c r="D445" s="250" t="n"/>
      <c r="E445" s="250" t="n"/>
      <c r="F445" s="250" t="n"/>
      <c r="G445" s="250" t="n"/>
      <c r="H445" s="250" t="n"/>
      <c r="I445" s="250" t="n"/>
      <c r="J445" s="37" t="n"/>
      <c r="K445" s="180" t="n"/>
      <c r="L445" s="166" t="n"/>
    </row>
    <row r="446" ht="17.45" customHeight="1" s="2">
      <c r="A446" s="242" t="n"/>
      <c r="B446" s="251" t="n"/>
      <c r="C446" s="250" t="n"/>
      <c r="D446" s="250" t="n"/>
      <c r="E446" s="250" t="n"/>
      <c r="F446" s="250" t="n"/>
      <c r="G446" s="250" t="n"/>
      <c r="H446" s="250" t="n"/>
      <c r="I446" s="250" t="n"/>
      <c r="J446" s="37" t="n"/>
      <c r="K446" s="180" t="n"/>
      <c r="L446" s="166" t="n"/>
    </row>
    <row r="447" ht="17.45" customHeight="1" s="2">
      <c r="A447" s="242" t="n"/>
      <c r="B447" s="251" t="n"/>
      <c r="C447" s="250" t="n"/>
      <c r="D447" s="250" t="n"/>
      <c r="E447" s="250" t="n"/>
      <c r="F447" s="250" t="n"/>
      <c r="G447" s="250" t="n"/>
      <c r="H447" s="250" t="n"/>
      <c r="I447" s="250" t="n"/>
      <c r="J447" s="37" t="n"/>
      <c r="K447" s="180" t="n"/>
      <c r="L447" s="166" t="n"/>
    </row>
    <row r="448" ht="17.45" customHeight="1" s="2">
      <c r="A448" s="242" t="n"/>
      <c r="B448" s="251" t="n"/>
      <c r="C448" s="250" t="n"/>
      <c r="D448" s="250" t="n"/>
      <c r="E448" s="250" t="n"/>
      <c r="F448" s="250" t="n"/>
      <c r="G448" s="250" t="n"/>
      <c r="H448" s="250" t="n"/>
      <c r="I448" s="250" t="n"/>
      <c r="J448" s="37" t="n"/>
      <c r="K448" s="180" t="n"/>
      <c r="L448" s="166" t="n"/>
    </row>
    <row r="449" ht="17.45" customHeight="1" s="2">
      <c r="A449" s="241" t="n"/>
      <c r="B449" s="251" t="n"/>
      <c r="C449" s="250" t="n"/>
      <c r="D449" s="250" t="n"/>
      <c r="E449" s="250" t="n"/>
      <c r="F449" s="250" t="n"/>
      <c r="G449" s="250" t="n"/>
      <c r="H449" s="250" t="n"/>
      <c r="I449" s="250" t="n"/>
      <c r="J449" s="37" t="n"/>
      <c r="K449" s="253" t="n"/>
      <c r="L449" s="202" t="n"/>
    </row>
    <row r="450" ht="18" customHeight="1" s="2" thickBot="1">
      <c r="A450" s="241" t="n"/>
      <c r="B450" s="254" t="n"/>
      <c r="C450" s="255" t="n"/>
      <c r="D450" s="255" t="n"/>
      <c r="E450" s="255" t="n"/>
      <c r="F450" s="255" t="n"/>
      <c r="G450" s="255" t="n"/>
      <c r="H450" s="255" t="n"/>
      <c r="I450" s="255" t="n"/>
      <c r="J450" s="38" t="n"/>
      <c r="K450" s="253" t="n"/>
      <c r="L450" s="202" t="n"/>
    </row>
    <row r="451" ht="18.6" customHeight="1" s="2" thickBot="1">
      <c r="A451" s="238" t="n"/>
      <c r="B451" s="256" t="n">
        <v>42723</v>
      </c>
      <c r="C451" s="257" t="n">
        <v>43087</v>
      </c>
      <c r="D451" s="258" t="n"/>
      <c r="E451" s="256" t="n">
        <v>42730</v>
      </c>
      <c r="F451" s="259" t="n">
        <v>43094</v>
      </c>
      <c r="G451" s="258" t="n"/>
      <c r="H451" s="256" t="n">
        <v>42737</v>
      </c>
      <c r="I451" s="259" t="n">
        <v>43101</v>
      </c>
      <c r="J451" s="260" t="n"/>
      <c r="K451" s="202" t="n"/>
      <c r="L451" s="202" t="n"/>
    </row>
    <row r="452" ht="18.6" customHeight="1" s="2" thickBot="1">
      <c r="A452" s="176" t="n"/>
      <c r="B452" s="177" t="inlineStr">
        <is>
          <t>Last Year</t>
        </is>
      </c>
      <c r="C452" s="178" t="inlineStr">
        <is>
          <t>Projected</t>
        </is>
      </c>
      <c r="D452" s="230" t="inlineStr">
        <is>
          <t>Actual</t>
        </is>
      </c>
      <c r="E452" s="177" t="inlineStr">
        <is>
          <t>Last Year</t>
        </is>
      </c>
      <c r="F452" s="178" t="inlineStr">
        <is>
          <t>Projected</t>
        </is>
      </c>
      <c r="G452" s="230" t="inlineStr">
        <is>
          <t>Actual</t>
        </is>
      </c>
      <c r="H452" s="177" t="inlineStr">
        <is>
          <t>Last Year</t>
        </is>
      </c>
      <c r="I452" s="178" t="inlineStr">
        <is>
          <t>Projected</t>
        </is>
      </c>
      <c r="J452" s="230" t="inlineStr">
        <is>
          <t>Actual</t>
        </is>
      </c>
      <c r="K452" s="253" t="n"/>
      <c r="L452" s="202" t="n"/>
    </row>
    <row r="453" ht="18" customHeight="1" s="2">
      <c r="A453" s="181" t="inlineStr">
        <is>
          <t>GROSS TOTAL</t>
        </is>
      </c>
      <c r="B453" s="184" t="n">
        <v>174886</v>
      </c>
      <c r="C453" s="184" t="n">
        <v>170041</v>
      </c>
      <c r="D453" s="184" t="n">
        <v>161107.55</v>
      </c>
      <c r="E453" s="184" t="n">
        <v>215533.08</v>
      </c>
      <c r="F453" s="184" t="n">
        <v>226267</v>
      </c>
      <c r="G453" s="184" t="n">
        <v>226925.52</v>
      </c>
      <c r="H453" s="184" t="n">
        <v>299560</v>
      </c>
      <c r="I453" s="184" t="n">
        <v>283348</v>
      </c>
      <c r="J453" s="185" t="n">
        <v>295517.33</v>
      </c>
      <c r="K453" s="261" t="n"/>
      <c r="L453" s="202" t="n"/>
    </row>
    <row r="454" ht="17.45" customHeight="1" s="2">
      <c r="A454" s="187" t="inlineStr">
        <is>
          <t>NETT  TOTAL</t>
        </is>
      </c>
      <c r="B454" s="22">
        <f>B453/1.1</f>
        <v/>
      </c>
      <c r="C454" s="9">
        <f>C453/1.1</f>
        <v/>
      </c>
      <c r="D454" s="32">
        <f>D453/1.1</f>
        <v/>
      </c>
      <c r="E454" s="22">
        <f>E453/1.1</f>
        <v/>
      </c>
      <c r="F454" s="9">
        <f>F453/1.1</f>
        <v/>
      </c>
      <c r="G454" s="32">
        <f>G453/1.1</f>
        <v/>
      </c>
      <c r="H454" s="22">
        <f>H453/1.1</f>
        <v/>
      </c>
      <c r="I454" s="9">
        <f>I453/1.1</f>
        <v/>
      </c>
      <c r="J454" s="39">
        <f>J453/1.1</f>
        <v/>
      </c>
      <c r="K454" s="261" t="n"/>
      <c r="L454" s="202" t="n"/>
    </row>
    <row r="455" ht="17.45" customHeight="1" s="2">
      <c r="A455" s="188" t="inlineStr">
        <is>
          <t>Customers</t>
        </is>
      </c>
      <c r="B455" s="10" t="n">
        <v>8001</v>
      </c>
      <c r="C455" s="10" t="n">
        <v>8315</v>
      </c>
      <c r="D455" s="10" t="n">
        <v>7872</v>
      </c>
      <c r="E455" s="10" t="n">
        <v>9850</v>
      </c>
      <c r="F455" s="10" t="n">
        <v>10715</v>
      </c>
      <c r="G455" s="10" t="n">
        <v>10526</v>
      </c>
      <c r="H455" s="10" t="n">
        <v>13376</v>
      </c>
      <c r="I455" s="10" t="n">
        <v>13275</v>
      </c>
      <c r="J455" s="11" t="n">
        <v>13811</v>
      </c>
      <c r="K455" s="262" t="n"/>
      <c r="L455" s="202" t="n"/>
    </row>
    <row r="456" ht="17.45" customHeight="1" s="2">
      <c r="A456" s="188" t="inlineStr">
        <is>
          <t>Average Customer Spend</t>
        </is>
      </c>
      <c r="B456" s="22">
        <f>B453/B455</f>
        <v/>
      </c>
      <c r="C456" s="9">
        <f>C453/C455</f>
        <v/>
      </c>
      <c r="D456" s="32">
        <f>D453/D455</f>
        <v/>
      </c>
      <c r="E456" s="22">
        <f>E453/E455</f>
        <v/>
      </c>
      <c r="F456" s="9">
        <f>F453/F455</f>
        <v/>
      </c>
      <c r="G456" s="32">
        <f>G453/G455</f>
        <v/>
      </c>
      <c r="H456" s="22">
        <f>H453/H455</f>
        <v/>
      </c>
      <c r="I456" s="9">
        <f>I453/I455</f>
        <v/>
      </c>
      <c r="J456" s="33">
        <f>J453/J455</f>
        <v/>
      </c>
      <c r="K456" s="262" t="n"/>
      <c r="L456" s="202" t="n"/>
    </row>
    <row r="457" ht="17.45" customHeight="1" s="2">
      <c r="A457" s="191" t="inlineStr">
        <is>
          <t>Wage % to Gross total</t>
        </is>
      </c>
      <c r="B457" s="210">
        <f>(B460*B461)/B453</f>
        <v/>
      </c>
      <c r="C457" s="9">
        <f>(C460*C461)/C453</f>
        <v/>
      </c>
      <c r="D457" s="39">
        <f>(D460*D461)/D453</f>
        <v/>
      </c>
      <c r="E457" s="210">
        <f>(E460*E461)/E453</f>
        <v/>
      </c>
      <c r="F457" s="9">
        <f>(F460*F461)/F453</f>
        <v/>
      </c>
      <c r="G457" s="39">
        <f>(G460*G461)/G453</f>
        <v/>
      </c>
      <c r="H457" s="210">
        <f>(H460*H461)/H453</f>
        <v/>
      </c>
      <c r="I457" s="9">
        <f>(I460*I461)/I453</f>
        <v/>
      </c>
      <c r="J457" s="33">
        <f>(J460*J461)/J453</f>
        <v/>
      </c>
      <c r="K457" s="262" t="n"/>
      <c r="L457" s="202" t="n"/>
    </row>
    <row r="458" ht="17.45" customHeight="1" s="2">
      <c r="A458" s="191" t="inlineStr">
        <is>
          <t>Wage % to Nett Total</t>
        </is>
      </c>
      <c r="B458" s="210">
        <f>(B460*B461)/B454</f>
        <v/>
      </c>
      <c r="C458" s="9">
        <f>(C460*C461)/C454</f>
        <v/>
      </c>
      <c r="D458" s="39">
        <f>(D460*D461)/D454</f>
        <v/>
      </c>
      <c r="E458" s="210">
        <f>(E460*E461)/E454</f>
        <v/>
      </c>
      <c r="F458" s="9">
        <f>(F460*F461)/F454</f>
        <v/>
      </c>
      <c r="G458" s="39">
        <f>(G460*G461)/G454</f>
        <v/>
      </c>
      <c r="H458" s="210">
        <f>(H460*H461)/H454</f>
        <v/>
      </c>
      <c r="I458" s="9">
        <f>(I460*I461)/I454</f>
        <v/>
      </c>
      <c r="J458" s="33">
        <f>(J460*J461)/J454</f>
        <v/>
      </c>
      <c r="K458" s="262" t="n"/>
      <c r="L458" s="202" t="n"/>
    </row>
    <row r="459" ht="17.45" customHeight="1" s="2">
      <c r="A459" s="188" t="inlineStr">
        <is>
          <t>Productivity</t>
        </is>
      </c>
      <c r="B459" s="22">
        <f>B455/B461</f>
        <v/>
      </c>
      <c r="C459" s="9">
        <f>C455/C461</f>
        <v/>
      </c>
      <c r="D459" s="32">
        <f>D455/D461</f>
        <v/>
      </c>
      <c r="E459" s="22">
        <f>E455/E461</f>
        <v/>
      </c>
      <c r="F459" s="9">
        <f>F455/F461</f>
        <v/>
      </c>
      <c r="G459" s="32">
        <f>G455/G461</f>
        <v/>
      </c>
      <c r="H459" s="22">
        <f>H455/H461</f>
        <v/>
      </c>
      <c r="I459" s="9">
        <f>I455/I461</f>
        <v/>
      </c>
      <c r="J459" s="33">
        <f>J455/J461</f>
        <v/>
      </c>
      <c r="K459" s="262" t="n"/>
      <c r="L459" s="202" t="n"/>
    </row>
    <row r="460" ht="17.45" customHeight="1" s="2">
      <c r="A460" s="188" t="inlineStr">
        <is>
          <t>Average Hourly Rate</t>
        </is>
      </c>
      <c r="B460" s="10" t="n">
        <v>31.37</v>
      </c>
      <c r="C460" s="189" t="n">
        <v>32.5</v>
      </c>
      <c r="D460" s="32" t="n">
        <v>32.64</v>
      </c>
      <c r="E460" s="10" t="n">
        <v>37.96</v>
      </c>
      <c r="F460" s="189" t="n">
        <v>34</v>
      </c>
      <c r="G460" s="32" t="n">
        <v>34.8</v>
      </c>
      <c r="H460" s="10" t="n">
        <v>41.02</v>
      </c>
      <c r="I460" s="189" t="n">
        <v>35</v>
      </c>
      <c r="J460" s="33" t="n">
        <v>36.67</v>
      </c>
      <c r="K460" s="262" t="n"/>
      <c r="L460" s="202" t="n"/>
    </row>
    <row r="461" ht="17.45" customHeight="1" s="2">
      <c r="A461" s="188" t="inlineStr">
        <is>
          <t>Total hours for productivity</t>
        </is>
      </c>
      <c r="B461" s="10" t="n">
        <v>1588</v>
      </c>
      <c r="C461" s="189" t="n">
        <v>1621.5</v>
      </c>
      <c r="D461" s="32" t="n">
        <v>1600</v>
      </c>
      <c r="E461" s="10" t="n">
        <v>1986.5</v>
      </c>
      <c r="F461" s="189" t="n">
        <v>2047</v>
      </c>
      <c r="G461" s="32" t="n">
        <v>2026.5</v>
      </c>
      <c r="H461" s="10" t="n">
        <v>2301.5</v>
      </c>
      <c r="I461" s="189" t="n">
        <v>2348.5</v>
      </c>
      <c r="J461" s="33" t="n">
        <v>2417.5</v>
      </c>
      <c r="K461" s="262" t="n"/>
      <c r="L461" s="202" t="n"/>
    </row>
    <row r="462" ht="17.45" customHeight="1" s="2">
      <c r="A462" s="188" t="inlineStr">
        <is>
          <t>Training Hours used</t>
        </is>
      </c>
      <c r="B462" s="10" t="n">
        <v>0</v>
      </c>
      <c r="C462" s="189" t="n">
        <v>90</v>
      </c>
      <c r="D462" s="32" t="n"/>
      <c r="E462" s="10" t="n">
        <v>23.5</v>
      </c>
      <c r="F462" s="189" t="n">
        <v>21.5</v>
      </c>
      <c r="G462" s="32" t="n">
        <v>40</v>
      </c>
      <c r="H462" s="10" t="n">
        <v>0</v>
      </c>
      <c r="I462" s="189" t="n">
        <v>20</v>
      </c>
      <c r="J462" s="39" t="n">
        <v>20</v>
      </c>
      <c r="K462" s="261" t="n"/>
      <c r="L462" s="202" t="n"/>
    </row>
    <row r="463" ht="18" customHeight="1" s="2" thickBot="1">
      <c r="A463" s="193" t="inlineStr">
        <is>
          <t>Number of hours used to cover sick leave</t>
        </is>
      </c>
      <c r="B463" s="15" t="n">
        <v>0</v>
      </c>
      <c r="C463" s="14" t="n"/>
      <c r="D463" s="34" t="n"/>
      <c r="E463" s="15" t="n"/>
      <c r="F463" s="194" t="n"/>
      <c r="G463" s="34" t="n"/>
      <c r="H463" s="15" t="n">
        <v>8</v>
      </c>
      <c r="I463" s="194" t="n"/>
      <c r="J463" s="233" t="n"/>
      <c r="K463" s="261" t="n"/>
      <c r="L463" s="202" t="n"/>
    </row>
    <row r="464" ht="18.6" customHeight="1" s="2" thickBot="1">
      <c r="A464" s="195" t="inlineStr">
        <is>
          <t>Minimum HOURS</t>
        </is>
      </c>
      <c r="B464" s="196" t="inlineStr">
        <is>
          <t xml:space="preserve">Kitchen </t>
        </is>
      </c>
      <c r="C464" s="16" t="n">
        <v>648</v>
      </c>
      <c r="D464" s="35" t="n"/>
      <c r="E464" s="196" t="inlineStr">
        <is>
          <t xml:space="preserve">Kitchen </t>
        </is>
      </c>
      <c r="F464" s="16" t="n"/>
      <c r="G464" s="36" t="n"/>
      <c r="H464" s="196" t="inlineStr">
        <is>
          <t xml:space="preserve">Kitchen </t>
        </is>
      </c>
      <c r="I464" s="16" t="n"/>
      <c r="J464" s="35" t="n">
        <v>767</v>
      </c>
      <c r="K464" s="253" t="n"/>
      <c r="L464" s="202" t="n"/>
    </row>
    <row r="465" ht="18.6" customHeight="1" s="2" thickBot="1">
      <c r="A465" s="197" t="n"/>
      <c r="B465" s="198" t="inlineStr">
        <is>
          <t xml:space="preserve">Floor </t>
        </is>
      </c>
      <c r="C465" s="18" t="n">
        <v>882</v>
      </c>
      <c r="D465" s="35" t="n"/>
      <c r="E465" s="198" t="inlineStr">
        <is>
          <t xml:space="preserve">Floor </t>
        </is>
      </c>
      <c r="F465" s="18" t="n"/>
      <c r="G465" s="234" t="n"/>
      <c r="H465" s="198" t="inlineStr">
        <is>
          <t xml:space="preserve">Floor </t>
        </is>
      </c>
      <c r="I465" s="18" t="n"/>
      <c r="J465" s="35" t="n">
        <v>975</v>
      </c>
      <c r="K465" s="253" t="n"/>
      <c r="L465" s="202" t="n"/>
    </row>
    <row r="466" ht="18.6" customHeight="1" s="2" thickBot="1">
      <c r="A466" s="197" t="n"/>
      <c r="B466" s="199" t="inlineStr">
        <is>
          <t>TOTAL</t>
        </is>
      </c>
      <c r="C466" s="42">
        <f>SUM(C464:C465)</f>
        <v/>
      </c>
      <c r="D466" s="35">
        <f>SUM(D464:D465)</f>
        <v/>
      </c>
      <c r="E466" s="199" t="inlineStr">
        <is>
          <t>TOTAL</t>
        </is>
      </c>
      <c r="F466" s="42">
        <f>SUM(F464:F465)</f>
        <v/>
      </c>
      <c r="G466" s="35">
        <f>SUM(G464:G465)</f>
        <v/>
      </c>
      <c r="H466" s="199" t="inlineStr">
        <is>
          <t>TOTAL</t>
        </is>
      </c>
      <c r="I466" s="42">
        <f>SUM(I464:I465)</f>
        <v/>
      </c>
      <c r="J466" s="42">
        <f>SUM(J464:J465)</f>
        <v/>
      </c>
      <c r="K466" s="253" t="n"/>
      <c r="L466" s="202" t="n"/>
    </row>
    <row r="467" ht="18" customHeight="1" s="2">
      <c r="A467" s="202" t="n"/>
      <c r="B467" s="239" t="n"/>
      <c r="C467" s="239" t="n"/>
      <c r="D467" s="239" t="n"/>
      <c r="E467" s="239" t="n"/>
      <c r="F467" s="239" t="n"/>
      <c r="G467" s="239" t="n"/>
      <c r="H467" s="239" t="n"/>
      <c r="I467" s="239" t="n"/>
      <c r="J467" s="239" t="n"/>
      <c r="K467" s="202" t="n"/>
      <c r="L467" s="202" t="n"/>
    </row>
    <row r="468" ht="17.45" customHeight="1" s="2">
      <c r="A468" s="202" t="n"/>
      <c r="B468" s="202" t="inlineStr">
        <is>
          <t>Verhoven ( TC T1 )</t>
        </is>
      </c>
      <c r="C468" s="202" t="n"/>
      <c r="D468" s="202" t="n">
        <v>3</v>
      </c>
      <c r="E468" s="202" t="inlineStr">
        <is>
          <t>HYUNSU (ind + T1 - T3 Crep )</t>
        </is>
      </c>
      <c r="F468" s="202" t="n"/>
      <c r="G468" s="202" t="n">
        <v>21.5</v>
      </c>
      <c r="H468" s="202" t="n"/>
      <c r="I468" s="202" t="inlineStr">
        <is>
          <t>Verhoven ( T/C = Payroll T3 )</t>
        </is>
      </c>
      <c r="J468" s="202" t="n">
        <v>5</v>
      </c>
      <c r="K468" s="202" t="n"/>
      <c r="L468" s="202" t="n"/>
    </row>
    <row r="469" ht="17.45" customHeight="1" s="2">
      <c r="A469" s="202" t="n"/>
      <c r="B469" s="202" t="n"/>
      <c r="C469" s="202" t="n"/>
      <c r="D469" s="202" t="n"/>
      <c r="E469" s="202" t="inlineStr">
        <is>
          <t>HYUNSU (DISHY T1 )</t>
        </is>
      </c>
      <c r="F469" s="202" t="n"/>
      <c r="G469" s="202" t="n">
        <v>5</v>
      </c>
      <c r="H469" s="202" t="n"/>
      <c r="I469" s="202" t="inlineStr">
        <is>
          <t>MISUN Kim ( T3 - T4 Breakfast )</t>
        </is>
      </c>
      <c r="J469" s="202" t="n">
        <v>15</v>
      </c>
      <c r="K469" s="202" t="n"/>
      <c r="L469" s="202" t="n"/>
    </row>
    <row r="470" ht="17.45" customHeight="1" s="2">
      <c r="A470" s="202" t="n"/>
      <c r="B470" s="202" t="n"/>
      <c r="C470" s="202" t="n"/>
      <c r="D470" s="202" t="n"/>
      <c r="E470" s="202" t="inlineStr">
        <is>
          <t>HYUNSU ( Stocking T1 )</t>
        </is>
      </c>
      <c r="F470" s="202" t="n"/>
      <c r="G470" s="202" t="n">
        <v>7</v>
      </c>
      <c r="H470" s="202" t="n"/>
      <c r="I470" s="202" t="n"/>
      <c r="J470" s="202" t="n"/>
      <c r="K470" s="202" t="n"/>
      <c r="L470" s="202" t="n"/>
    </row>
    <row r="471" ht="17.45" customHeight="1" s="2">
      <c r="A471" s="202" t="n"/>
      <c r="B471" s="202" t="n"/>
      <c r="C471" s="202" t="n"/>
      <c r="D471" s="202" t="n"/>
      <c r="E471" s="202" t="inlineStr">
        <is>
          <t>Verhoven ( TC T2 )</t>
        </is>
      </c>
      <c r="F471" s="202" t="n"/>
      <c r="G471" s="202" t="n">
        <v>3</v>
      </c>
      <c r="H471" s="202" t="n"/>
      <c r="I471" s="202" t="n"/>
      <c r="J471" s="202" t="n"/>
      <c r="K471" s="202" t="n"/>
      <c r="L471" s="202" t="n"/>
    </row>
    <row r="472" ht="17.45" customHeight="1" s="2">
      <c r="A472" s="166" t="n"/>
      <c r="B472" s="166" t="n"/>
      <c r="C472" s="166" t="n"/>
      <c r="D472" s="166" t="n"/>
      <c r="E472" s="202" t="inlineStr">
        <is>
          <t>Verhoven ( Payroll T1 )</t>
        </is>
      </c>
      <c r="F472" s="166" t="n"/>
      <c r="G472" s="202" t="n">
        <v>3.5</v>
      </c>
      <c r="H472" s="166" t="n"/>
      <c r="I472" s="166" t="n"/>
      <c r="J472" s="166" t="n"/>
      <c r="K472" s="166" t="n"/>
      <c r="L472" s="166" t="n"/>
    </row>
    <row r="473" ht="15" customHeight="1" s="2">
      <c r="A473" s="166" t="n"/>
      <c r="B473" s="166" t="n"/>
      <c r="C473" s="166" t="n"/>
      <c r="D473" s="166" t="n"/>
      <c r="E473" s="166" t="n"/>
      <c r="F473" s="166" t="n"/>
      <c r="G473" s="166" t="n"/>
      <c r="H473" s="166" t="n"/>
      <c r="I473" s="166" t="n"/>
      <c r="J473" s="166" t="n"/>
      <c r="K473" s="166" t="n"/>
      <c r="L473" s="166" t="n"/>
    </row>
    <row r="474" ht="15" customHeight="1" s="2">
      <c r="A474" s="166" t="n"/>
      <c r="B474" s="166" t="n"/>
      <c r="C474" s="166" t="n"/>
      <c r="D474" s="166" t="n"/>
      <c r="E474" s="166" t="n"/>
      <c r="F474" s="166" t="n"/>
      <c r="G474" s="166" t="n"/>
      <c r="H474" s="166" t="n"/>
      <c r="I474" s="166" t="n"/>
      <c r="J474" s="166" t="n"/>
      <c r="K474" s="166" t="n"/>
      <c r="L474" s="166" t="n"/>
    </row>
    <row r="475" ht="15" customHeight="1" s="2">
      <c r="A475" s="166" t="n"/>
      <c r="B475" s="166" t="n"/>
      <c r="C475" s="166" t="n"/>
      <c r="D475" s="166" t="n"/>
      <c r="E475" s="166" t="n"/>
      <c r="F475" s="166" t="n"/>
      <c r="G475" s="166" t="n"/>
      <c r="H475" s="166" t="n"/>
      <c r="I475" s="166" t="n"/>
      <c r="J475" s="166" t="n"/>
      <c r="K475" s="166" t="n"/>
      <c r="L475" s="166" t="n"/>
    </row>
    <row r="476" ht="15" customHeight="1" s="2">
      <c r="A476" s="166" t="n"/>
      <c r="B476" s="166" t="n"/>
      <c r="C476" s="166" t="n"/>
      <c r="D476" s="166" t="n"/>
      <c r="E476" s="166" t="n"/>
      <c r="F476" s="166" t="n"/>
      <c r="G476" s="166" t="n"/>
      <c r="H476" s="166" t="n"/>
      <c r="I476" s="166" t="n"/>
      <c r="J476" s="166" t="n"/>
      <c r="K476" s="166" t="n"/>
      <c r="L476" s="166" t="n"/>
    </row>
    <row r="477" ht="15" customHeight="1" s="2">
      <c r="A477" s="166" t="n"/>
      <c r="B477" s="168" t="n"/>
      <c r="C477" s="168" t="n"/>
      <c r="D477" s="166" t="n"/>
      <c r="E477" s="168" t="n"/>
      <c r="F477" s="168" t="n"/>
      <c r="G477" s="166" t="n"/>
      <c r="H477" s="168" t="n"/>
      <c r="I477" s="168" t="n"/>
      <c r="J477" s="166" t="n"/>
      <c r="K477" s="166" t="n"/>
      <c r="L477" s="166" t="n"/>
    </row>
    <row r="478" ht="18" customHeight="1" s="2" thickBot="1">
      <c r="A478" s="238" t="n"/>
      <c r="B478" s="222" t="n">
        <v>42744</v>
      </c>
      <c r="C478" s="235" t="n">
        <v>43108</v>
      </c>
      <c r="D478" s="236" t="n"/>
      <c r="E478" s="222" t="n">
        <v>42751</v>
      </c>
      <c r="F478" s="237" t="n">
        <v>43115</v>
      </c>
      <c r="G478" s="236" t="n"/>
      <c r="H478" s="222" t="n">
        <v>42758</v>
      </c>
      <c r="I478" s="237" t="n">
        <v>43122</v>
      </c>
      <c r="J478" s="223" t="n"/>
      <c r="K478" s="166" t="n"/>
      <c r="L478" s="166" t="n"/>
    </row>
    <row r="479" ht="17.85" customHeight="1" s="2" thickBot="1">
      <c r="A479" s="176" t="n"/>
      <c r="B479" s="177" t="inlineStr">
        <is>
          <t>Last Year</t>
        </is>
      </c>
      <c r="C479" s="178" t="inlineStr">
        <is>
          <t>Projected</t>
        </is>
      </c>
      <c r="D479" s="230" t="inlineStr">
        <is>
          <t>Actual</t>
        </is>
      </c>
      <c r="E479" s="177" t="inlineStr">
        <is>
          <t>Last Year</t>
        </is>
      </c>
      <c r="F479" s="178" t="inlineStr">
        <is>
          <t>Projected</t>
        </is>
      </c>
      <c r="G479" s="230" t="inlineStr">
        <is>
          <t>Actual</t>
        </is>
      </c>
      <c r="H479" s="177" t="inlineStr">
        <is>
          <t>Last Year</t>
        </is>
      </c>
      <c r="I479" s="178" t="inlineStr">
        <is>
          <t>Projected</t>
        </is>
      </c>
      <c r="J479" s="230" t="inlineStr">
        <is>
          <t>Actual</t>
        </is>
      </c>
      <c r="K479" s="180" t="n"/>
      <c r="L479" s="166" t="n"/>
    </row>
    <row r="480" ht="18" customHeight="1" s="2">
      <c r="A480" s="181" t="inlineStr">
        <is>
          <t>GROSS TOTAL</t>
        </is>
      </c>
      <c r="B480" s="184" t="n">
        <v>210706.33</v>
      </c>
      <c r="C480" s="184" t="n">
        <v>212447</v>
      </c>
      <c r="D480" s="185" t="n">
        <v>202137.82</v>
      </c>
      <c r="E480" s="218" t="n">
        <v>170258</v>
      </c>
      <c r="F480" s="184" t="n">
        <v>178600</v>
      </c>
      <c r="G480" s="184" t="n">
        <v>166156.99</v>
      </c>
      <c r="H480" s="184" t="n">
        <v>179658</v>
      </c>
      <c r="I480" s="184" t="n">
        <v>183222</v>
      </c>
      <c r="J480" s="185" t="n">
        <v>160666.14</v>
      </c>
      <c r="K480" s="186" t="n"/>
      <c r="L480" s="166" t="n"/>
    </row>
    <row r="481" ht="17.45" customHeight="1" s="2">
      <c r="A481" s="187" t="inlineStr">
        <is>
          <t>NETT  TOTAL</t>
        </is>
      </c>
      <c r="B481" s="22">
        <f>B480/1.1</f>
        <v/>
      </c>
      <c r="C481" s="9">
        <f>C480/1.1</f>
        <v/>
      </c>
      <c r="D481" s="39">
        <f>D480/1.1</f>
        <v/>
      </c>
      <c r="E481" s="40">
        <f>E480/1.1</f>
        <v/>
      </c>
      <c r="F481" s="28">
        <f>F480/1.1</f>
        <v/>
      </c>
      <c r="G481" s="32">
        <f>G480/1.1</f>
        <v/>
      </c>
      <c r="H481" s="22">
        <f>H480/1.1</f>
        <v/>
      </c>
      <c r="I481" s="9">
        <f>I480/1.1</f>
        <v/>
      </c>
      <c r="J481" s="39">
        <f>J480/1.1</f>
        <v/>
      </c>
      <c r="K481" s="186" t="n"/>
      <c r="L481" s="166" t="n"/>
    </row>
    <row r="482" ht="17.45" customHeight="1" s="2">
      <c r="A482" s="188" t="inlineStr">
        <is>
          <t>Customers</t>
        </is>
      </c>
      <c r="B482" s="10" t="n">
        <v>10184</v>
      </c>
      <c r="C482" s="10" t="n">
        <v>10260</v>
      </c>
      <c r="D482" s="10" t="n">
        <v>9903</v>
      </c>
      <c r="E482" s="263" t="n">
        <v>8300</v>
      </c>
      <c r="F482" s="10" t="n">
        <v>8535</v>
      </c>
      <c r="G482" s="10" t="n">
        <v>8324</v>
      </c>
      <c r="H482" s="10" t="n">
        <v>8502</v>
      </c>
      <c r="I482" s="10" t="n">
        <v>8835</v>
      </c>
      <c r="J482" s="11" t="n">
        <v>8097</v>
      </c>
      <c r="K482" s="171" t="n"/>
      <c r="L482" s="166" t="n"/>
    </row>
    <row r="483" ht="17.45" customHeight="1" s="2">
      <c r="A483" s="188" t="inlineStr">
        <is>
          <t>Average Customer Spend</t>
        </is>
      </c>
      <c r="B483" s="22">
        <f>B480/B482</f>
        <v/>
      </c>
      <c r="C483" s="9">
        <f>C480/C482</f>
        <v/>
      </c>
      <c r="D483" s="39">
        <f>D480/D482</f>
        <v/>
      </c>
      <c r="E483" s="40">
        <f>E480/E482</f>
        <v/>
      </c>
      <c r="F483" s="28">
        <f>F480/F482</f>
        <v/>
      </c>
      <c r="G483" s="32">
        <f>G480/G482</f>
        <v/>
      </c>
      <c r="H483" s="22">
        <f>H480/H482</f>
        <v/>
      </c>
      <c r="I483" s="9">
        <f>I480/I482</f>
        <v/>
      </c>
      <c r="J483" s="33">
        <f>J480/J482</f>
        <v/>
      </c>
      <c r="K483" s="171" t="n"/>
      <c r="L483" s="166" t="n"/>
    </row>
    <row r="484" ht="17.45" customHeight="1" s="2">
      <c r="A484" s="191" t="inlineStr">
        <is>
          <t>Wage % to Gross total</t>
        </is>
      </c>
      <c r="B484" s="210">
        <f>(B487*B488)/B480</f>
        <v/>
      </c>
      <c r="C484" s="9">
        <f>(C487*C488)/C480</f>
        <v/>
      </c>
      <c r="D484" s="39">
        <f>(D487*D488)/D480</f>
        <v/>
      </c>
      <c r="E484" s="40">
        <f>(E487*E488)/E480</f>
        <v/>
      </c>
      <c r="F484" s="28">
        <f>(F487*F488)/F480</f>
        <v/>
      </c>
      <c r="G484" s="39">
        <f>(G487*G488)/G480</f>
        <v/>
      </c>
      <c r="H484" s="210">
        <f>(H487*H488)/H480</f>
        <v/>
      </c>
      <c r="I484" s="9">
        <f>(I487*I488)/I480</f>
        <v/>
      </c>
      <c r="J484" s="33">
        <f>(J487*J488)/J480</f>
        <v/>
      </c>
      <c r="K484" s="171" t="n"/>
      <c r="L484" s="166" t="n"/>
    </row>
    <row r="485" ht="17.45" customHeight="1" s="2">
      <c r="A485" s="191" t="inlineStr">
        <is>
          <t>Wage % to Nett Total</t>
        </is>
      </c>
      <c r="B485" s="210">
        <f>(B487*B488)/B481</f>
        <v/>
      </c>
      <c r="C485" s="9">
        <f>(C487*C488)/C481</f>
        <v/>
      </c>
      <c r="D485" s="39">
        <f>(D487*D488)/D481</f>
        <v/>
      </c>
      <c r="E485" s="40">
        <f>(E487*E488)/E481</f>
        <v/>
      </c>
      <c r="F485" s="28">
        <f>(F487*F488)/F481</f>
        <v/>
      </c>
      <c r="G485" s="39">
        <f>(G487*G488)/G481</f>
        <v/>
      </c>
      <c r="H485" s="210">
        <f>(H487*H488)/H481</f>
        <v/>
      </c>
      <c r="I485" s="9">
        <f>(I487*I488)/I481</f>
        <v/>
      </c>
      <c r="J485" s="33">
        <f>(J487*J488)/J481</f>
        <v/>
      </c>
      <c r="K485" s="171" t="n"/>
      <c r="L485" s="166" t="n"/>
    </row>
    <row r="486" ht="17.45" customHeight="1" s="2">
      <c r="A486" s="188" t="inlineStr">
        <is>
          <t>Productivity</t>
        </is>
      </c>
      <c r="B486" s="22">
        <f>B482/B488</f>
        <v/>
      </c>
      <c r="C486" s="9">
        <f>C482/C488</f>
        <v/>
      </c>
      <c r="D486" s="39">
        <f>D482/D488</f>
        <v/>
      </c>
      <c r="E486" s="40">
        <f>E482/E488</f>
        <v/>
      </c>
      <c r="F486" s="28">
        <f>F482/F488</f>
        <v/>
      </c>
      <c r="G486" s="32">
        <f>G482/G488</f>
        <v/>
      </c>
      <c r="H486" s="22">
        <f>H482/H488</f>
        <v/>
      </c>
      <c r="I486" s="9">
        <f>I482/I488</f>
        <v/>
      </c>
      <c r="J486" s="33">
        <f>J482/J488</f>
        <v/>
      </c>
      <c r="K486" s="171" t="n"/>
      <c r="L486" s="166" t="n"/>
    </row>
    <row r="487" ht="17.45" customHeight="1" s="2">
      <c r="A487" s="188" t="inlineStr">
        <is>
          <t>Average Hourly Rate</t>
        </is>
      </c>
      <c r="B487" s="10" t="n">
        <v>30.7</v>
      </c>
      <c r="C487" s="189" t="n">
        <v>31.5</v>
      </c>
      <c r="D487" s="32" t="n">
        <v>32.97</v>
      </c>
      <c r="E487" s="263" t="n">
        <v>30</v>
      </c>
      <c r="F487" s="189" t="n">
        <v>31.5</v>
      </c>
      <c r="G487" s="32" t="n">
        <v>31.73</v>
      </c>
      <c r="H487" s="10" t="n">
        <v>30.95</v>
      </c>
      <c r="I487" s="189" t="n">
        <v>31.5</v>
      </c>
      <c r="J487" s="33" t="n">
        <v>31.86</v>
      </c>
      <c r="K487" s="171" t="n"/>
      <c r="L487" s="166" t="n"/>
    </row>
    <row r="488" ht="17.45" customHeight="1" s="2">
      <c r="A488" s="188" t="inlineStr">
        <is>
          <t>Total hours for productivity</t>
        </is>
      </c>
      <c r="B488" s="10" t="n">
        <v>1804.25</v>
      </c>
      <c r="C488" s="189" t="n">
        <v>1763</v>
      </c>
      <c r="D488" s="32" t="n">
        <v>1773.25</v>
      </c>
      <c r="E488" s="263" t="n">
        <v>1567</v>
      </c>
      <c r="F488" s="189" t="n">
        <v>1651</v>
      </c>
      <c r="G488" s="32" t="n">
        <v>1715.5</v>
      </c>
      <c r="H488" s="10" t="n">
        <v>1647.25</v>
      </c>
      <c r="I488" s="189" t="n">
        <v>1675.5</v>
      </c>
      <c r="J488" s="33" t="n">
        <v>1657.75</v>
      </c>
      <c r="K488" s="171" t="n"/>
      <c r="L488" s="166" t="n"/>
    </row>
    <row r="489" ht="17.45" customHeight="1" s="2">
      <c r="A489" s="188" t="inlineStr">
        <is>
          <t>Training Hours used</t>
        </is>
      </c>
      <c r="B489" s="10" t="n">
        <v>35</v>
      </c>
      <c r="C489" s="189" t="n"/>
      <c r="D489" s="32" t="n">
        <v>43.5</v>
      </c>
      <c r="E489" s="263" t="n">
        <v>65.5</v>
      </c>
      <c r="F489" s="189" t="n"/>
      <c r="G489" s="32" t="n">
        <v>106.5</v>
      </c>
      <c r="H489" s="10" t="n">
        <v>45.5</v>
      </c>
      <c r="I489" s="189" t="n"/>
      <c r="J489" s="39" t="n">
        <v>73</v>
      </c>
      <c r="K489" s="186" t="n"/>
      <c r="L489" s="166" t="n"/>
    </row>
    <row r="490" ht="18" customHeight="1" s="2" thickBot="1">
      <c r="A490" s="193" t="inlineStr">
        <is>
          <t>Number of hours used to cover sick leave</t>
        </is>
      </c>
      <c r="B490" s="15" t="n">
        <v>36.5</v>
      </c>
      <c r="C490" s="14" t="n"/>
      <c r="D490" s="34" t="n">
        <v>47.5</v>
      </c>
      <c r="E490" s="264" t="n">
        <v>0</v>
      </c>
      <c r="F490" s="194" t="n"/>
      <c r="G490" s="34" t="n">
        <v>45</v>
      </c>
      <c r="H490" s="15" t="n"/>
      <c r="I490" s="194" t="n"/>
      <c r="J490" s="233" t="n">
        <v>19.5</v>
      </c>
      <c r="K490" s="186" t="n"/>
      <c r="L490" s="166" t="n"/>
    </row>
    <row r="491" ht="15.95" customHeight="1" s="2" thickBot="1">
      <c r="A491" s="195" t="inlineStr">
        <is>
          <t>Minimum HOURS</t>
        </is>
      </c>
      <c r="B491" s="196" t="inlineStr">
        <is>
          <t xml:space="preserve">Kitchen </t>
        </is>
      </c>
      <c r="C491" s="16" t="n">
        <v>648</v>
      </c>
      <c r="D491" s="35" t="n">
        <v>681</v>
      </c>
      <c r="E491" s="196" t="inlineStr">
        <is>
          <t xml:space="preserve">Kitchen </t>
        </is>
      </c>
      <c r="F491" s="16" t="n"/>
      <c r="G491" s="36" t="n"/>
      <c r="H491" s="196" t="inlineStr">
        <is>
          <t xml:space="preserve">Kitchen </t>
        </is>
      </c>
      <c r="I491" s="16" t="n"/>
      <c r="J491" s="35" t="n"/>
      <c r="K491" s="180" t="n"/>
      <c r="L491" s="166" t="n"/>
    </row>
    <row r="492" ht="15.95" customHeight="1" s="2" thickBot="1">
      <c r="A492" s="197" t="n"/>
      <c r="B492" s="198" t="inlineStr">
        <is>
          <t xml:space="preserve">Floor </t>
        </is>
      </c>
      <c r="C492" s="18" t="n">
        <v>882</v>
      </c>
      <c r="D492" s="35" t="n">
        <v>950</v>
      </c>
      <c r="E492" s="198" t="inlineStr">
        <is>
          <t xml:space="preserve">Floor </t>
        </is>
      </c>
      <c r="F492" s="18" t="n"/>
      <c r="G492" s="234" t="n"/>
      <c r="H492" s="198" t="inlineStr">
        <is>
          <t xml:space="preserve">Floor </t>
        </is>
      </c>
      <c r="I492" s="18" t="n"/>
      <c r="J492" s="35" t="n"/>
      <c r="K492" s="180" t="n"/>
      <c r="L492" s="166" t="n"/>
    </row>
    <row r="493" ht="15.95" customHeight="1" s="2" thickBot="1">
      <c r="A493" s="197" t="n"/>
      <c r="B493" s="199" t="inlineStr">
        <is>
          <t>TOTAL</t>
        </is>
      </c>
      <c r="C493" s="42">
        <f>SUM(C491:C492)</f>
        <v/>
      </c>
      <c r="D493" s="35">
        <f>SUM(D491:D492)</f>
        <v/>
      </c>
      <c r="E493" s="199" t="inlineStr">
        <is>
          <t>TOTAL</t>
        </is>
      </c>
      <c r="F493" s="42">
        <f>SUM(F491:F492)</f>
        <v/>
      </c>
      <c r="G493" s="35">
        <f>SUM(G491:G492)</f>
        <v/>
      </c>
      <c r="H493" s="199" t="inlineStr">
        <is>
          <t>TOTAL</t>
        </is>
      </c>
      <c r="I493" s="42">
        <f>SUM(I491:I492)</f>
        <v/>
      </c>
      <c r="J493" s="35">
        <f>SUM(J491:J492)</f>
        <v/>
      </c>
      <c r="K493" s="180" t="n"/>
      <c r="L493" s="166" t="n"/>
    </row>
    <row r="494" ht="15.6" customHeight="1" s="2">
      <c r="A494" s="166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166" t="n"/>
      <c r="L494" s="166" t="n"/>
    </row>
    <row r="495" ht="17.45" customHeight="1" s="2">
      <c r="A495" s="166" t="n"/>
      <c r="B495" s="166" t="n"/>
      <c r="C495" s="202" t="inlineStr">
        <is>
          <t>Verhoven ( Payroll )</t>
        </is>
      </c>
      <c r="D495" s="202" t="n">
        <v>3.5</v>
      </c>
      <c r="E495" s="166" t="n"/>
      <c r="F495" s="202" t="inlineStr">
        <is>
          <t>Martyna ( COT1-T3 )</t>
        </is>
      </c>
      <c r="G495" s="202" t="n">
        <v>15</v>
      </c>
      <c r="H495" s="166" t="n"/>
      <c r="I495" s="202" t="inlineStr">
        <is>
          <t>Ray ( Topping  T 5 - T6 )</t>
        </is>
      </c>
      <c r="J495" s="202" t="n">
        <v>15</v>
      </c>
      <c r="K495" s="166" t="n"/>
      <c r="L495" s="166" t="n"/>
    </row>
    <row r="496" ht="17.45" customHeight="1" s="2">
      <c r="A496" s="166" t="n"/>
      <c r="B496" s="166" t="n"/>
      <c r="C496" s="202" t="inlineStr">
        <is>
          <t>Sushil (Stocking T1- T4)</t>
        </is>
      </c>
      <c r="D496" s="202" t="n">
        <v>20</v>
      </c>
      <c r="E496" s="166" t="n"/>
      <c r="F496" s="202" t="inlineStr">
        <is>
          <t>Merry ( Bar T1-T3 )</t>
        </is>
      </c>
      <c r="G496" s="202" t="n">
        <v>15</v>
      </c>
      <c r="H496" s="166" t="n"/>
      <c r="I496" s="202" t="inlineStr">
        <is>
          <t>Ferdoush ( Foodcost )</t>
        </is>
      </c>
      <c r="J496" s="202" t="n">
        <v>8</v>
      </c>
      <c r="K496" s="166" t="n"/>
      <c r="L496" s="166" t="n"/>
    </row>
    <row r="497" ht="17.45" customHeight="1" s="2">
      <c r="A497" s="166" t="n"/>
      <c r="B497" s="166" t="n"/>
      <c r="C497" s="202" t="inlineStr">
        <is>
          <t>Andy ( rolling T1 )</t>
        </is>
      </c>
      <c r="D497" s="202" t="n">
        <v>5</v>
      </c>
      <c r="E497" s="166" t="n"/>
      <c r="F497" s="202" t="inlineStr">
        <is>
          <t>Ahsan ( Induction , Grill T1-T4 )</t>
        </is>
      </c>
      <c r="G497" s="202" t="n">
        <v>23</v>
      </c>
      <c r="H497" s="166" t="n"/>
      <c r="I497" s="202" t="inlineStr">
        <is>
          <t>Peter ( Rolling T1 - T2 )</t>
        </is>
      </c>
      <c r="J497" s="202" t="n">
        <v>10</v>
      </c>
      <c r="K497" s="166" t="n"/>
      <c r="L497" s="166" t="n"/>
    </row>
    <row r="498" ht="17.45" customHeight="1" s="2">
      <c r="A498" s="166" t="n"/>
      <c r="B498" s="166" t="n"/>
      <c r="C498" s="202" t="inlineStr">
        <is>
          <t>Sunny ( Breakfast T5-T6)</t>
        </is>
      </c>
      <c r="D498" s="202" t="n">
        <v>15</v>
      </c>
      <c r="E498" s="166" t="n"/>
      <c r="F498" s="202" t="inlineStr">
        <is>
          <t>Ray ( Topping ( T1 - T4 )</t>
        </is>
      </c>
      <c r="G498" s="202" t="n">
        <v>23.5</v>
      </c>
      <c r="H498" s="166" t="n"/>
      <c r="I498" s="202" t="inlineStr">
        <is>
          <t>Animesh ( Crepes T1-T2)</t>
        </is>
      </c>
      <c r="J498" s="202" t="n">
        <v>10</v>
      </c>
      <c r="K498" s="166" t="n"/>
      <c r="L498" s="166" t="n"/>
    </row>
    <row r="499" ht="17.45" customHeight="1" s="2">
      <c r="A499" s="166" t="n"/>
      <c r="B499" s="166" t="n"/>
      <c r="C499" s="166" t="n"/>
      <c r="D499" s="166" t="n"/>
      <c r="E499" s="166" t="n"/>
      <c r="F499" s="202" t="inlineStr">
        <is>
          <t>Sushil ( Breakfast T1-T4)</t>
        </is>
      </c>
      <c r="G499" s="202" t="n">
        <v>30</v>
      </c>
      <c r="H499" s="166" t="n"/>
      <c r="I499" s="202" t="inlineStr">
        <is>
          <t>Sanisha ( CO T1-T3 )</t>
        </is>
      </c>
      <c r="J499" s="202" t="n">
        <v>15</v>
      </c>
      <c r="K499" s="166" t="n"/>
      <c r="L499" s="166" t="n"/>
    </row>
    <row r="500" ht="17.45" customHeight="1" s="2">
      <c r="A500" s="166" t="n"/>
      <c r="B500" s="166" t="n"/>
      <c r="C500" s="166" t="n"/>
      <c r="D500" s="166" t="n"/>
      <c r="E500" s="166" t="n"/>
      <c r="F500" s="166" t="n"/>
      <c r="G500" s="166" t="n"/>
      <c r="H500" s="166" t="n"/>
      <c r="I500" s="202" t="inlineStr">
        <is>
          <t>Ming ( Host T1 - T3 )</t>
        </is>
      </c>
      <c r="J500" s="202" t="n">
        <v>15</v>
      </c>
      <c r="K500" s="166" t="n"/>
      <c r="L500" s="166" t="n"/>
    </row>
    <row r="501" ht="15" customHeight="1" s="2">
      <c r="A501" s="166" t="n"/>
      <c r="B501" s="166" t="n"/>
      <c r="C501" s="166" t="n"/>
      <c r="D501" s="166" t="n"/>
      <c r="E501" s="166" t="n"/>
      <c r="F501" s="166" t="n"/>
      <c r="G501" s="166" t="n"/>
      <c r="H501" s="166" t="n"/>
      <c r="I501" s="166" t="n"/>
      <c r="J501" s="166" t="n"/>
      <c r="K501" s="166" t="n"/>
      <c r="L501" s="166" t="n"/>
    </row>
    <row r="502" ht="15" customHeight="1" s="2">
      <c r="A502" s="166" t="n"/>
      <c r="B502" s="166" t="n"/>
      <c r="C502" s="166" t="n"/>
      <c r="D502" s="166" t="n"/>
      <c r="E502" s="166" t="n"/>
      <c r="F502" s="166" t="n"/>
      <c r="G502" s="166" t="n"/>
      <c r="H502" s="166" t="n"/>
      <c r="I502" s="166" t="n"/>
      <c r="J502" s="166" t="n"/>
      <c r="K502" s="166" t="n"/>
      <c r="L502" s="166" t="n"/>
    </row>
    <row r="503" ht="15" customHeight="1" s="2">
      <c r="A503" s="166" t="n"/>
      <c r="B503" s="166" t="n"/>
      <c r="C503" s="166" t="n"/>
      <c r="D503" s="166" t="n"/>
      <c r="E503" s="166" t="n"/>
      <c r="F503" s="166" t="n"/>
      <c r="G503" s="166" t="n"/>
      <c r="H503" s="166" t="n"/>
      <c r="I503" s="166" t="n"/>
      <c r="J503" s="166" t="n"/>
      <c r="K503" s="166" t="n"/>
      <c r="L503" s="166" t="n"/>
    </row>
    <row r="504" ht="15" customHeight="1" s="2">
      <c r="A504" s="166" t="n"/>
      <c r="B504" s="166" t="n"/>
      <c r="C504" s="166" t="n"/>
      <c r="D504" s="166" t="n"/>
      <c r="E504" s="166" t="n"/>
      <c r="F504" s="166" t="n"/>
      <c r="G504" s="166" t="n"/>
      <c r="H504" s="166" t="n"/>
      <c r="I504" s="166" t="n"/>
      <c r="J504" s="166" t="n"/>
      <c r="K504" s="166" t="n"/>
      <c r="L504" s="166" t="n"/>
    </row>
    <row r="505" ht="15" customHeight="1" s="2">
      <c r="A505" s="166" t="n"/>
      <c r="B505" s="166" t="n"/>
      <c r="C505" s="166" t="n"/>
      <c r="D505" s="166" t="n"/>
      <c r="E505" s="166" t="n"/>
      <c r="F505" s="166" t="n"/>
      <c r="G505" s="166" t="n"/>
      <c r="H505" s="166" t="n"/>
      <c r="I505" s="166" t="n"/>
      <c r="J505" s="166" t="n"/>
      <c r="K505" s="166" t="n"/>
      <c r="L505" s="166" t="n"/>
    </row>
    <row r="506" ht="15" customHeight="1" s="2">
      <c r="A506" s="166" t="n"/>
      <c r="B506" s="168" t="n"/>
      <c r="C506" s="168" t="n"/>
      <c r="D506" s="166" t="n"/>
      <c r="E506" s="168" t="n"/>
      <c r="F506" s="168" t="n"/>
      <c r="G506" s="166" t="n"/>
      <c r="H506" s="168" t="n"/>
      <c r="I506" s="168" t="n"/>
      <c r="J506" s="166" t="n"/>
      <c r="K506" s="166" t="n"/>
      <c r="L506" s="166" t="n"/>
    </row>
    <row r="507" ht="18" customHeight="1" s="2" thickBot="1">
      <c r="A507" s="238" t="n"/>
      <c r="B507" s="222" t="n">
        <v>42765</v>
      </c>
      <c r="C507" s="235" t="n">
        <v>43129</v>
      </c>
      <c r="D507" s="236" t="n"/>
      <c r="E507" s="222" t="n">
        <v>42772</v>
      </c>
      <c r="F507" s="237" t="n">
        <v>43136</v>
      </c>
      <c r="G507" s="236" t="n"/>
      <c r="H507" s="222" t="n">
        <v>42779</v>
      </c>
      <c r="I507" s="237" t="n">
        <v>43143</v>
      </c>
      <c r="J507" s="223" t="n"/>
      <c r="K507" s="166" t="n"/>
      <c r="L507" s="166" t="n"/>
    </row>
    <row r="508" ht="17.85" customHeight="1" s="2" thickBot="1">
      <c r="A508" s="176" t="n"/>
      <c r="B508" s="177" t="inlineStr">
        <is>
          <t>Last Year</t>
        </is>
      </c>
      <c r="C508" s="178" t="inlineStr">
        <is>
          <t>Projected</t>
        </is>
      </c>
      <c r="D508" s="230" t="inlineStr">
        <is>
          <t>Actual</t>
        </is>
      </c>
      <c r="E508" s="177" t="inlineStr">
        <is>
          <t>Last Year</t>
        </is>
      </c>
      <c r="F508" s="178" t="inlineStr">
        <is>
          <t>Projected</t>
        </is>
      </c>
      <c r="G508" s="230" t="inlineStr">
        <is>
          <t>Actual</t>
        </is>
      </c>
      <c r="H508" s="177" t="inlineStr">
        <is>
          <t>Last Year</t>
        </is>
      </c>
      <c r="I508" s="178" t="inlineStr">
        <is>
          <t>Projected</t>
        </is>
      </c>
      <c r="J508" s="230" t="inlineStr">
        <is>
          <t>Actual</t>
        </is>
      </c>
      <c r="K508" s="180" t="n"/>
      <c r="L508" s="166" t="n"/>
    </row>
    <row r="509" ht="18" customHeight="1" s="2">
      <c r="A509" s="181" t="inlineStr">
        <is>
          <t>GROSS TOTAL</t>
        </is>
      </c>
      <c r="B509" s="184" t="n">
        <v>231891</v>
      </c>
      <c r="C509" s="184" t="n">
        <v>198828</v>
      </c>
      <c r="D509" s="185" t="n">
        <v>182066.72</v>
      </c>
      <c r="E509" s="218" t="n">
        <v>195285</v>
      </c>
      <c r="F509" s="184" t="n">
        <v>178648</v>
      </c>
      <c r="G509" s="184" t="n">
        <v>151066.57</v>
      </c>
      <c r="H509" s="184" t="n">
        <v>167156.77</v>
      </c>
      <c r="I509" s="184" t="n">
        <v>157012</v>
      </c>
      <c r="J509" s="185" t="n">
        <v>172282.33</v>
      </c>
      <c r="K509" s="186" t="n"/>
      <c r="L509" s="166" t="n"/>
    </row>
    <row r="510" ht="17.45" customHeight="1" s="2">
      <c r="A510" s="187" t="inlineStr">
        <is>
          <t>NETT  TOTAL</t>
        </is>
      </c>
      <c r="B510" s="22">
        <f>B509/1.1</f>
        <v/>
      </c>
      <c r="C510" s="9">
        <f>C509/1.1</f>
        <v/>
      </c>
      <c r="D510" s="39">
        <f>D509/1.1</f>
        <v/>
      </c>
      <c r="E510" s="40">
        <f>E509/1.1</f>
        <v/>
      </c>
      <c r="F510" s="28">
        <f>F509/1.1</f>
        <v/>
      </c>
      <c r="G510" s="32">
        <f>G509/1.1</f>
        <v/>
      </c>
      <c r="H510" s="22">
        <f>H509/1.1</f>
        <v/>
      </c>
      <c r="I510" s="9">
        <f>I509/1.1</f>
        <v/>
      </c>
      <c r="J510" s="39">
        <f>J509/1.1</f>
        <v/>
      </c>
      <c r="K510" s="186" t="n"/>
      <c r="L510" s="166" t="n"/>
    </row>
    <row r="511" ht="17.45" customHeight="1" s="2">
      <c r="A511" s="188" t="inlineStr">
        <is>
          <t>Customers</t>
        </is>
      </c>
      <c r="B511" s="10" t="n">
        <v>10209</v>
      </c>
      <c r="C511" s="10" t="n">
        <v>9220</v>
      </c>
      <c r="D511" s="10" t="n">
        <v>8757</v>
      </c>
      <c r="E511" s="263" t="n">
        <v>8885</v>
      </c>
      <c r="F511" s="10" t="n">
        <v>8565</v>
      </c>
      <c r="G511" s="10" t="n">
        <v>7284</v>
      </c>
      <c r="H511" s="10" t="n">
        <v>7646</v>
      </c>
      <c r="I511" s="10" t="n">
        <v>7740</v>
      </c>
      <c r="J511" s="11" t="n">
        <v>7922</v>
      </c>
      <c r="K511" s="171" t="n"/>
      <c r="L511" s="166" t="n"/>
    </row>
    <row r="512" ht="17.45" customHeight="1" s="2">
      <c r="A512" s="188" t="inlineStr">
        <is>
          <t>Average Customer Spend</t>
        </is>
      </c>
      <c r="B512" s="22">
        <f>B509/B511</f>
        <v/>
      </c>
      <c r="C512" s="9">
        <f>C509/C511</f>
        <v/>
      </c>
      <c r="D512" s="39">
        <f>D509/D511</f>
        <v/>
      </c>
      <c r="E512" s="40">
        <f>E509/E511</f>
        <v/>
      </c>
      <c r="F512" s="28">
        <f>F509/F511</f>
        <v/>
      </c>
      <c r="G512" s="32">
        <f>G509/G511</f>
        <v/>
      </c>
      <c r="H512" s="22">
        <f>H509/H511</f>
        <v/>
      </c>
      <c r="I512" s="9">
        <f>I509/I511</f>
        <v/>
      </c>
      <c r="J512" s="33">
        <f>J509/J511</f>
        <v/>
      </c>
      <c r="K512" s="171" t="n"/>
      <c r="L512" s="166" t="n"/>
    </row>
    <row r="513" ht="17.45" customHeight="1" s="2">
      <c r="A513" s="191" t="inlineStr">
        <is>
          <t>Wage % to Gross total</t>
        </is>
      </c>
      <c r="B513" s="210">
        <f>(B516*B517)/B509</f>
        <v/>
      </c>
      <c r="C513" s="9">
        <f>(C516*C517)/C509</f>
        <v/>
      </c>
      <c r="D513" s="39">
        <f>(D516*D517)/D509</f>
        <v/>
      </c>
      <c r="E513" s="40">
        <f>(E516*E517)/E509</f>
        <v/>
      </c>
      <c r="F513" s="28">
        <f>(F516*F517)/F509</f>
        <v/>
      </c>
      <c r="G513" s="39">
        <f>(G516*G517)/G509</f>
        <v/>
      </c>
      <c r="H513" s="210">
        <f>(H516*H517)/H509</f>
        <v/>
      </c>
      <c r="I513" s="9">
        <f>(I516*I517)/I509</f>
        <v/>
      </c>
      <c r="J513" s="33">
        <f>(J516*J517)/J509</f>
        <v/>
      </c>
      <c r="K513" s="171" t="n"/>
      <c r="L513" s="166" t="n"/>
    </row>
    <row r="514" ht="17.45" customHeight="1" s="2">
      <c r="A514" s="191" t="inlineStr">
        <is>
          <t>Wage % to Nett Total</t>
        </is>
      </c>
      <c r="B514" s="210">
        <f>(B516*B517)/B510</f>
        <v/>
      </c>
      <c r="C514" s="9">
        <f>(C516*C517)/C510</f>
        <v/>
      </c>
      <c r="D514" s="39">
        <f>(D516*D517)/D510</f>
        <v/>
      </c>
      <c r="E514" s="40">
        <f>(E516*E517)/E510</f>
        <v/>
      </c>
      <c r="F514" s="28">
        <f>(F516*F517)/F510</f>
        <v/>
      </c>
      <c r="G514" s="39">
        <f>(G516*G517)/G510</f>
        <v/>
      </c>
      <c r="H514" s="210">
        <f>(H516*H517)/H510</f>
        <v/>
      </c>
      <c r="I514" s="9">
        <f>(I516*I517)/I510</f>
        <v/>
      </c>
      <c r="J514" s="33">
        <f>(J516*J517)/J510</f>
        <v/>
      </c>
      <c r="K514" s="171" t="n"/>
      <c r="L514" s="166" t="n"/>
    </row>
    <row r="515" ht="17.45" customHeight="1" s="2">
      <c r="A515" s="188" t="inlineStr">
        <is>
          <t>Productivity</t>
        </is>
      </c>
      <c r="B515" s="22">
        <f>B511/B517</f>
        <v/>
      </c>
      <c r="C515" s="9">
        <f>C511/C517</f>
        <v/>
      </c>
      <c r="D515" s="39">
        <f>D511/D517</f>
        <v/>
      </c>
      <c r="E515" s="40">
        <f>E511/E517</f>
        <v/>
      </c>
      <c r="F515" s="28">
        <f>F511/F517</f>
        <v/>
      </c>
      <c r="G515" s="32">
        <f>G511/G517</f>
        <v/>
      </c>
      <c r="H515" s="22">
        <f>H511/H517</f>
        <v/>
      </c>
      <c r="I515" s="9">
        <f>I511/I517</f>
        <v/>
      </c>
      <c r="J515" s="33">
        <f>J511/J517</f>
        <v/>
      </c>
      <c r="K515" s="171" t="n"/>
      <c r="L515" s="166" t="n"/>
    </row>
    <row r="516" ht="17.45" customHeight="1" s="2">
      <c r="A516" s="188" t="inlineStr">
        <is>
          <t>Average Hourly Rate</t>
        </is>
      </c>
      <c r="B516" s="10" t="n">
        <v>35.06</v>
      </c>
      <c r="C516" s="189" t="n">
        <v>34</v>
      </c>
      <c r="D516" s="32" t="n">
        <v>37.5</v>
      </c>
      <c r="E516" s="263" t="n">
        <v>30</v>
      </c>
      <c r="F516" s="189" t="n">
        <v>32</v>
      </c>
      <c r="G516" s="32" t="n">
        <v>33.35</v>
      </c>
      <c r="H516" s="10" t="n">
        <v>31.17</v>
      </c>
      <c r="I516" s="189" t="n">
        <v>32</v>
      </c>
      <c r="J516" s="33" t="n">
        <v>32.6</v>
      </c>
      <c r="K516" s="171" t="n"/>
      <c r="L516" s="166" t="n"/>
    </row>
    <row r="517" ht="17.45" customHeight="1" s="2">
      <c r="A517" s="188" t="inlineStr">
        <is>
          <t>Total hours for productivity</t>
        </is>
      </c>
      <c r="B517" s="10" t="n">
        <v>1908</v>
      </c>
      <c r="C517" s="189" t="n">
        <v>1719</v>
      </c>
      <c r="D517" s="32" t="n">
        <v>1700.75</v>
      </c>
      <c r="E517" s="263" t="n">
        <v>1868.5</v>
      </c>
      <c r="F517" s="189" t="n">
        <v>1613</v>
      </c>
      <c r="G517" s="32" t="n">
        <v>1524.5</v>
      </c>
      <c r="H517" s="10" t="n">
        <v>1595.5</v>
      </c>
      <c r="I517" s="189" t="n">
        <v>1532</v>
      </c>
      <c r="J517" s="33" t="n">
        <v>1503.75</v>
      </c>
      <c r="K517" s="171" t="n"/>
      <c r="L517" s="166" t="n"/>
    </row>
    <row r="518" ht="17.45" customHeight="1" s="2">
      <c r="A518" s="188" t="inlineStr">
        <is>
          <t>Training Hours used</t>
        </is>
      </c>
      <c r="B518" s="10" t="n">
        <v>89</v>
      </c>
      <c r="C518" s="189" t="n"/>
      <c r="D518" s="32" t="n">
        <v>37.5</v>
      </c>
      <c r="E518" s="263" t="n">
        <v>281.5</v>
      </c>
      <c r="F518" s="189" t="n"/>
      <c r="G518" s="32" t="n">
        <v>50</v>
      </c>
      <c r="H518" s="10" t="n">
        <v>80</v>
      </c>
      <c r="I518" s="189" t="n"/>
      <c r="J518" s="39" t="n">
        <v>112.5</v>
      </c>
      <c r="K518" s="186" t="n"/>
      <c r="L518" s="166" t="n"/>
    </row>
    <row r="519" ht="18" customHeight="1" s="2" thickBot="1">
      <c r="A519" s="193" t="inlineStr">
        <is>
          <t>Number of hours used to cover sick leave</t>
        </is>
      </c>
      <c r="B519" s="15" t="n">
        <v>36.5</v>
      </c>
      <c r="C519" s="14" t="n"/>
      <c r="D519" s="34" t="n">
        <v>61</v>
      </c>
      <c r="E519" s="264" t="n"/>
      <c r="F519" s="194" t="n"/>
      <c r="G519" s="34" t="n">
        <v>57</v>
      </c>
      <c r="H519" s="15" t="n"/>
      <c r="I519" s="194" t="n"/>
      <c r="J519" s="233" t="n">
        <v>26</v>
      </c>
      <c r="K519" s="186" t="n"/>
      <c r="L519" s="166" t="n"/>
    </row>
    <row r="520" ht="15.95" customHeight="1" s="2" thickBot="1">
      <c r="A520" s="195" t="inlineStr">
        <is>
          <t>Minimum HOURS</t>
        </is>
      </c>
      <c r="B520" s="196" t="inlineStr">
        <is>
          <t xml:space="preserve">Kitchen </t>
        </is>
      </c>
      <c r="C520" s="16" t="n">
        <v>648</v>
      </c>
      <c r="D520" s="35" t="n">
        <v>681</v>
      </c>
      <c r="E520" s="196" t="inlineStr">
        <is>
          <t xml:space="preserve">Kitchen </t>
        </is>
      </c>
      <c r="F520" s="16" t="n"/>
      <c r="G520" s="36" t="n"/>
      <c r="H520" s="196" t="inlineStr">
        <is>
          <t xml:space="preserve">Kitchen </t>
        </is>
      </c>
      <c r="I520" s="16" t="n"/>
      <c r="J520" s="35" t="n"/>
      <c r="K520" s="180" t="n"/>
      <c r="L520" s="166" t="n"/>
    </row>
    <row r="521" ht="15.95" customHeight="1" s="2" thickBot="1">
      <c r="A521" s="197" t="n"/>
      <c r="B521" s="198" t="inlineStr">
        <is>
          <t xml:space="preserve">Floor </t>
        </is>
      </c>
      <c r="C521" s="18" t="n">
        <v>882</v>
      </c>
      <c r="D521" s="35" t="n">
        <v>950</v>
      </c>
      <c r="E521" s="198" t="inlineStr">
        <is>
          <t xml:space="preserve">Floor </t>
        </is>
      </c>
      <c r="F521" s="18" t="n"/>
      <c r="G521" s="234" t="n"/>
      <c r="H521" s="198" t="inlineStr">
        <is>
          <t xml:space="preserve">Floor </t>
        </is>
      </c>
      <c r="I521" s="18" t="n"/>
      <c r="J521" s="35" t="n"/>
      <c r="K521" s="180" t="n"/>
      <c r="L521" s="166" t="n"/>
    </row>
    <row r="522" ht="15.95" customHeight="1" s="2" thickBot="1">
      <c r="A522" s="197" t="n"/>
      <c r="B522" s="199" t="inlineStr">
        <is>
          <t>TOTAL</t>
        </is>
      </c>
      <c r="C522" s="42">
        <f>SUM(C520:C521)</f>
        <v/>
      </c>
      <c r="D522" s="35">
        <f>SUM(D520:D521)</f>
        <v/>
      </c>
      <c r="E522" s="199" t="inlineStr">
        <is>
          <t>TOTAL</t>
        </is>
      </c>
      <c r="F522" s="42">
        <f>SUM(F520:F521)</f>
        <v/>
      </c>
      <c r="G522" s="35">
        <f>SUM(G520:G521)</f>
        <v/>
      </c>
      <c r="H522" s="199" t="inlineStr">
        <is>
          <t>TOTAL</t>
        </is>
      </c>
      <c r="I522" s="42">
        <f>SUM(I520:I521)</f>
        <v/>
      </c>
      <c r="J522" s="35">
        <f>SUM(J520:J521)</f>
        <v/>
      </c>
      <c r="K522" s="180" t="n"/>
      <c r="L522" s="166" t="n"/>
    </row>
    <row r="523" ht="15.6" customHeight="1" s="2">
      <c r="A523" s="166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166" t="n"/>
      <c r="L523" s="166" t="n"/>
    </row>
    <row r="524" ht="17.45" customHeight="1" s="2">
      <c r="A524" s="166" t="n"/>
      <c r="B524" s="166" t="n"/>
      <c r="C524" s="202" t="inlineStr">
        <is>
          <t xml:space="preserve">Sanjay ( Induction + Dishy + Pizza T1 - T 2 ) </t>
        </is>
      </c>
      <c r="D524" s="202" t="n">
        <v>15</v>
      </c>
      <c r="E524" s="202" t="inlineStr">
        <is>
          <t>Bhumika ( Roster T3 )`</t>
        </is>
      </c>
      <c r="F524" s="202" t="n">
        <v>7.5</v>
      </c>
      <c r="G524" s="166" t="n"/>
      <c r="H524" s="166" t="n"/>
      <c r="I524" s="202" t="inlineStr">
        <is>
          <t>Ahsan ( Stocking T1-T3)</t>
        </is>
      </c>
      <c r="J524" s="202" t="n">
        <v>15</v>
      </c>
      <c r="K524" s="166" t="n"/>
      <c r="L524" s="166" t="n"/>
    </row>
    <row r="525" ht="17.45" customHeight="1" s="2">
      <c r="A525" s="166" t="n"/>
      <c r="B525" s="166" t="n"/>
      <c r="C525" s="202" t="inlineStr">
        <is>
          <t xml:space="preserve">Dev ( Topping  T1 - T4 ) </t>
        </is>
      </c>
      <c r="D525" s="202" t="n">
        <v>22.5</v>
      </c>
      <c r="E525" s="202" t="inlineStr">
        <is>
          <t>Nikita( Host T1 - T 3)</t>
        </is>
      </c>
      <c r="F525" s="202" t="n">
        <v>17.5</v>
      </c>
      <c r="G525" s="166" t="n"/>
      <c r="H525" s="166" t="n"/>
      <c r="I525" s="202" t="inlineStr">
        <is>
          <t>Dev ( Breakfast T1-T5)</t>
        </is>
      </c>
      <c r="J525" s="202" t="n">
        <v>37.5</v>
      </c>
      <c r="K525" s="166" t="n"/>
      <c r="L525" s="166" t="n"/>
    </row>
    <row r="526" ht="17.45" customHeight="1" s="2">
      <c r="A526" s="166" t="n"/>
      <c r="B526" s="166" t="n"/>
      <c r="C526" s="166" t="n"/>
      <c r="D526" s="166" t="n"/>
      <c r="E526" s="202" t="inlineStr">
        <is>
          <t>Sanjay ( Pizza T3- T4 )</t>
        </is>
      </c>
      <c r="F526" s="202" t="n">
        <v>10</v>
      </c>
      <c r="G526" s="166" t="n"/>
      <c r="H526" s="166" t="n"/>
      <c r="I526" s="202" t="inlineStr">
        <is>
          <t>Ashish ( Grill T1-T5 )</t>
        </is>
      </c>
      <c r="J526" s="202" t="n">
        <v>20</v>
      </c>
      <c r="K526" s="166" t="n"/>
      <c r="L526" s="166" t="n"/>
    </row>
    <row r="527" ht="17.45" customHeight="1" s="2">
      <c r="A527" s="166" t="n"/>
      <c r="B527" s="166" t="n"/>
      <c r="C527" s="166" t="n"/>
      <c r="D527" s="166" t="n"/>
      <c r="E527" s="202" t="inlineStr">
        <is>
          <t>Mohit ( Kitchen Shift Runner Training )</t>
        </is>
      </c>
      <c r="F527" s="202" t="n">
        <v>15</v>
      </c>
      <c r="G527" s="166" t="n"/>
      <c r="H527" s="166" t="n"/>
      <c r="I527" s="202" t="inlineStr">
        <is>
          <t>Sanjay ( Prep T1-T3)</t>
        </is>
      </c>
      <c r="J527" s="202" t="n">
        <v>25</v>
      </c>
      <c r="K527" s="166" t="n"/>
      <c r="L527" s="166" t="n"/>
    </row>
    <row r="528" ht="17.45" customHeight="1" s="2">
      <c r="A528" s="166" t="n"/>
      <c r="B528" s="166" t="n"/>
      <c r="C528" s="166" t="n"/>
      <c r="D528" s="166" t="n"/>
      <c r="E528" s="166" t="n"/>
      <c r="F528" s="166" t="n"/>
      <c r="G528" s="166" t="n"/>
      <c r="H528" s="166" t="n"/>
      <c r="I528" s="202" t="inlineStr">
        <is>
          <t>Bishal ( Bar T1-T3)</t>
        </is>
      </c>
      <c r="J528" s="202" t="n">
        <v>15</v>
      </c>
      <c r="K528" s="166" t="n"/>
      <c r="L528" s="166" t="n"/>
    </row>
    <row r="529" ht="15" customHeight="1" s="2">
      <c r="A529" s="166" t="n"/>
      <c r="B529" s="166" t="n"/>
      <c r="C529" s="166" t="n"/>
      <c r="D529" s="166" t="n"/>
      <c r="E529" s="166" t="n"/>
      <c r="F529" s="166" t="n"/>
      <c r="G529" s="166" t="n"/>
      <c r="H529" s="166" t="n"/>
      <c r="I529" s="166" t="n"/>
      <c r="J529" s="166" t="n"/>
      <c r="K529" s="166" t="n"/>
      <c r="L529" s="166" t="n"/>
    </row>
    <row r="530" ht="15" customHeight="1" s="2">
      <c r="A530" s="166" t="n"/>
      <c r="B530" s="166" t="n"/>
      <c r="C530" s="166" t="n"/>
      <c r="D530" s="166" t="n"/>
      <c r="E530" s="166" t="n"/>
      <c r="F530" s="166" t="n"/>
      <c r="G530" s="166" t="n"/>
      <c r="H530" s="166" t="n"/>
      <c r="I530" s="166" t="n"/>
      <c r="J530" s="166" t="n"/>
      <c r="K530" s="166" t="n"/>
      <c r="L530" s="166" t="n"/>
    </row>
    <row r="531" ht="15" customHeight="1" s="2">
      <c r="A531" s="166" t="n"/>
      <c r="B531" s="166" t="n"/>
      <c r="C531" s="166" t="n"/>
      <c r="D531" s="166" t="n"/>
      <c r="E531" s="166" t="n"/>
      <c r="F531" s="166" t="n"/>
      <c r="G531" s="166" t="n"/>
      <c r="H531" s="166" t="n"/>
      <c r="I531" s="166" t="n"/>
      <c r="J531" s="166" t="n"/>
      <c r="K531" s="166" t="n"/>
      <c r="L531" s="166" t="n"/>
    </row>
    <row r="532" ht="15" customHeight="1" s="2">
      <c r="A532" s="166" t="n"/>
      <c r="B532" s="168" t="n"/>
      <c r="C532" s="168" t="n"/>
      <c r="D532" s="166" t="n"/>
      <c r="E532" s="168" t="n"/>
      <c r="F532" s="168" t="n"/>
      <c r="G532" s="166" t="n"/>
      <c r="H532" s="168" t="n"/>
      <c r="I532" s="168" t="n"/>
      <c r="J532" s="166" t="n"/>
      <c r="K532" s="166" t="n"/>
      <c r="L532" s="166" t="n"/>
    </row>
    <row r="533" ht="18" customHeight="1" s="2" thickBot="1">
      <c r="A533" s="238" t="n"/>
      <c r="B533" s="222" t="n">
        <v>42786</v>
      </c>
      <c r="C533" s="235" t="n">
        <v>43150</v>
      </c>
      <c r="D533" s="236" t="n"/>
      <c r="E533" s="222" t="n">
        <v>42793</v>
      </c>
      <c r="F533" s="237" t="n">
        <v>43157</v>
      </c>
      <c r="G533" s="236" t="n"/>
      <c r="H533" s="222" t="n">
        <v>42800</v>
      </c>
      <c r="I533" s="237" t="n">
        <v>43164</v>
      </c>
      <c r="J533" s="223" t="n"/>
      <c r="K533" s="166" t="n"/>
      <c r="L533" s="166" t="n"/>
    </row>
    <row r="534" ht="17.85" customHeight="1" s="2" thickBot="1">
      <c r="A534" s="176" t="n"/>
      <c r="B534" s="177" t="inlineStr">
        <is>
          <t>Last Year</t>
        </is>
      </c>
      <c r="C534" s="178" t="inlineStr">
        <is>
          <t>Projected</t>
        </is>
      </c>
      <c r="D534" s="230" t="inlineStr">
        <is>
          <t>Actual</t>
        </is>
      </c>
      <c r="E534" s="177" t="inlineStr">
        <is>
          <t>Last Year</t>
        </is>
      </c>
      <c r="F534" s="178" t="inlineStr">
        <is>
          <t>Projected</t>
        </is>
      </c>
      <c r="G534" s="230" t="inlineStr">
        <is>
          <t>Actual</t>
        </is>
      </c>
      <c r="H534" s="177" t="inlineStr">
        <is>
          <t>Last Year</t>
        </is>
      </c>
      <c r="I534" s="178" t="inlineStr">
        <is>
          <t>Projected</t>
        </is>
      </c>
      <c r="J534" s="230" t="inlineStr">
        <is>
          <t>Actual</t>
        </is>
      </c>
      <c r="K534" s="180" t="n"/>
      <c r="L534" s="166" t="n"/>
    </row>
    <row r="535" ht="18" customHeight="1" s="2">
      <c r="A535" s="181" t="inlineStr">
        <is>
          <t>GROSS TOTAL</t>
        </is>
      </c>
      <c r="B535" s="184" t="n">
        <v>165865.09</v>
      </c>
      <c r="C535" s="184" t="n">
        <v>184317</v>
      </c>
      <c r="D535" s="184" t="n">
        <v>214179.7</v>
      </c>
      <c r="E535" s="184" t="n">
        <v>157332.84</v>
      </c>
      <c r="F535" s="184" t="n">
        <v>172037</v>
      </c>
      <c r="G535" s="184" t="n">
        <v>191347.46</v>
      </c>
      <c r="H535" s="184" t="n">
        <v>155071</v>
      </c>
      <c r="I535" s="184" t="n">
        <v>182756</v>
      </c>
      <c r="J535" s="185" t="n">
        <v>145853.47</v>
      </c>
      <c r="K535" s="186" t="n"/>
      <c r="L535" s="166" t="n"/>
    </row>
    <row r="536" ht="17.45" customHeight="1" s="2">
      <c r="A536" s="187" t="inlineStr">
        <is>
          <t>NETT  TOTAL</t>
        </is>
      </c>
      <c r="B536" s="22">
        <f>B535/1.1</f>
        <v/>
      </c>
      <c r="C536" s="9">
        <f>C535/1.1</f>
        <v/>
      </c>
      <c r="D536" s="32">
        <f>D535/1.1</f>
        <v/>
      </c>
      <c r="E536" s="22">
        <f>E535/1.1</f>
        <v/>
      </c>
      <c r="F536" s="9">
        <f>F535/1.1</f>
        <v/>
      </c>
      <c r="G536" s="32">
        <f>G535/1.1</f>
        <v/>
      </c>
      <c r="H536" s="22">
        <f>H535/1.1</f>
        <v/>
      </c>
      <c r="I536" s="9">
        <f>I535/1.1</f>
        <v/>
      </c>
      <c r="J536" s="39">
        <f>J535/1.1</f>
        <v/>
      </c>
      <c r="K536" s="186" t="n"/>
      <c r="L536" s="166" t="n"/>
    </row>
    <row r="537" ht="17.45" customHeight="1" s="2">
      <c r="A537" s="188" t="inlineStr">
        <is>
          <t>Customers</t>
        </is>
      </c>
      <c r="B537" s="10" t="n">
        <v>7827</v>
      </c>
      <c r="C537" s="10" t="n">
        <v>8575</v>
      </c>
      <c r="D537" s="10" t="n">
        <v>9741</v>
      </c>
      <c r="E537" s="10" t="n">
        <v>7729</v>
      </c>
      <c r="F537" s="10" t="n">
        <v>8165</v>
      </c>
      <c r="G537" s="10" t="n">
        <v>9000</v>
      </c>
      <c r="H537" s="10" t="n">
        <v>7244</v>
      </c>
      <c r="I537" s="10" t="n">
        <v>8340</v>
      </c>
      <c r="J537" s="11" t="n">
        <v>7111</v>
      </c>
      <c r="K537" s="171" t="n"/>
      <c r="L537" s="166" t="n"/>
    </row>
    <row r="538" ht="17.45" customHeight="1" s="2">
      <c r="A538" s="188" t="inlineStr">
        <is>
          <t>Average Customer Spend</t>
        </is>
      </c>
      <c r="B538" s="22">
        <f>B535/B537</f>
        <v/>
      </c>
      <c r="C538" s="9">
        <f>C535/C537</f>
        <v/>
      </c>
      <c r="D538" s="32">
        <f>D535/D537</f>
        <v/>
      </c>
      <c r="E538" s="22">
        <f>E535/E537</f>
        <v/>
      </c>
      <c r="F538" s="9">
        <f>F535/F537</f>
        <v/>
      </c>
      <c r="G538" s="32">
        <f>G535/G537</f>
        <v/>
      </c>
      <c r="H538" s="22">
        <f>H535/H537</f>
        <v/>
      </c>
      <c r="I538" s="9">
        <f>I535/I537</f>
        <v/>
      </c>
      <c r="J538" s="33">
        <f>J535/J537</f>
        <v/>
      </c>
      <c r="K538" s="171" t="n"/>
      <c r="L538" s="166" t="n"/>
    </row>
    <row r="539" ht="17.45" customHeight="1" s="2">
      <c r="A539" s="191" t="inlineStr">
        <is>
          <t>Wage % to Gross total</t>
        </is>
      </c>
      <c r="B539" s="210">
        <f>(B542*B543)/B535</f>
        <v/>
      </c>
      <c r="C539" s="9">
        <f>(C542*C543)/C535</f>
        <v/>
      </c>
      <c r="D539" s="39">
        <f>(D542*D543)/D535</f>
        <v/>
      </c>
      <c r="E539" s="210">
        <f>(E542*E543)/E535</f>
        <v/>
      </c>
      <c r="F539" s="9">
        <f>(F542*F543)/F535</f>
        <v/>
      </c>
      <c r="G539" s="39">
        <f>(G542*G543)/G535</f>
        <v/>
      </c>
      <c r="H539" s="210">
        <f>(H542*H543)/H535</f>
        <v/>
      </c>
      <c r="I539" s="9">
        <f>(I542*I543)/I535</f>
        <v/>
      </c>
      <c r="J539" s="33">
        <f>(J542*J543)/J535</f>
        <v/>
      </c>
      <c r="K539" s="171" t="n"/>
      <c r="L539" s="166" t="n"/>
    </row>
    <row r="540" ht="17.45" customHeight="1" s="2">
      <c r="A540" s="191" t="inlineStr">
        <is>
          <t>Wage % to Nett Total</t>
        </is>
      </c>
      <c r="B540" s="210">
        <f>(B542*B543)/B536</f>
        <v/>
      </c>
      <c r="C540" s="9">
        <f>(C542*C543)/C536</f>
        <v/>
      </c>
      <c r="D540" s="39">
        <f>(D542*D543)/D536</f>
        <v/>
      </c>
      <c r="E540" s="210">
        <f>(E542*E543)/E536</f>
        <v/>
      </c>
      <c r="F540" s="9">
        <f>(F542*F543)/F536</f>
        <v/>
      </c>
      <c r="G540" s="39">
        <f>(G542*G543)/G536</f>
        <v/>
      </c>
      <c r="H540" s="210">
        <f>(H542*H543)/H536</f>
        <v/>
      </c>
      <c r="I540" s="9">
        <f>(I542*I543)/I536</f>
        <v/>
      </c>
      <c r="J540" s="33">
        <f>(J542*J543)/J536</f>
        <v/>
      </c>
      <c r="K540" s="171" t="n"/>
      <c r="L540" s="166" t="n"/>
    </row>
    <row r="541" ht="17.45" customHeight="1" s="2">
      <c r="A541" s="188" t="inlineStr">
        <is>
          <t>Productivity</t>
        </is>
      </c>
      <c r="B541" s="22">
        <f>B537/B543</f>
        <v/>
      </c>
      <c r="C541" s="9">
        <f>C537/C543</f>
        <v/>
      </c>
      <c r="D541" s="32">
        <f>D537/D543</f>
        <v/>
      </c>
      <c r="E541" s="22">
        <f>E537/E543</f>
        <v/>
      </c>
      <c r="F541" s="9">
        <f>F537/F543</f>
        <v/>
      </c>
      <c r="G541" s="32">
        <f>G537/G543</f>
        <v/>
      </c>
      <c r="H541" s="22">
        <f>H537/H543</f>
        <v/>
      </c>
      <c r="I541" s="9">
        <f>I537/I543</f>
        <v/>
      </c>
      <c r="J541" s="33">
        <f>J537/J543</f>
        <v/>
      </c>
      <c r="K541" s="171" t="n"/>
      <c r="L541" s="166" t="n"/>
    </row>
    <row r="542" ht="17.45" customHeight="1" s="2">
      <c r="A542" s="188" t="inlineStr">
        <is>
          <t>Average Hourly Rate</t>
        </is>
      </c>
      <c r="B542" s="10" t="n">
        <v>31.85</v>
      </c>
      <c r="C542" s="189" t="n">
        <v>32</v>
      </c>
      <c r="D542" s="32" t="n">
        <v>32.99</v>
      </c>
      <c r="E542" s="10" t="n">
        <v>32.37</v>
      </c>
      <c r="F542" s="189" t="n">
        <v>32</v>
      </c>
      <c r="G542" s="32" t="n">
        <v>33.01</v>
      </c>
      <c r="H542" s="10" t="n">
        <v>31.42</v>
      </c>
      <c r="I542" s="189" t="n">
        <v>32</v>
      </c>
      <c r="J542" s="33" t="n">
        <v>33.71</v>
      </c>
      <c r="K542" s="171" t="n"/>
      <c r="L542" s="166" t="n"/>
    </row>
    <row r="543" ht="17.45" customHeight="1" s="2">
      <c r="A543" s="188" t="inlineStr">
        <is>
          <t>Total hours for productivity</t>
        </is>
      </c>
      <c r="B543" s="10" t="n">
        <v>1565.25</v>
      </c>
      <c r="C543" s="189" t="n">
        <v>1661</v>
      </c>
      <c r="D543" s="32" t="n">
        <v>1761.25</v>
      </c>
      <c r="E543" s="10" t="n">
        <v>1487.25</v>
      </c>
      <c r="F543" s="189" t="n">
        <v>1603</v>
      </c>
      <c r="G543" s="32" t="n">
        <v>1624.75</v>
      </c>
      <c r="H543" s="10" t="n">
        <v>1451.75</v>
      </c>
      <c r="I543" s="189" t="n">
        <v>1664</v>
      </c>
      <c r="J543" s="33" t="n">
        <v>1564.25</v>
      </c>
      <c r="K543" s="171" t="n"/>
      <c r="L543" s="166" t="n"/>
    </row>
    <row r="544" ht="17.45" customHeight="1" s="2">
      <c r="A544" s="188" t="inlineStr">
        <is>
          <t>Training Hours used</t>
        </is>
      </c>
      <c r="B544" s="10" t="n">
        <v>89.5</v>
      </c>
      <c r="C544" s="189" t="n">
        <v>107.5</v>
      </c>
      <c r="D544" s="32" t="n">
        <v>70.5</v>
      </c>
      <c r="E544" s="10" t="n"/>
      <c r="F544" s="189" t="n">
        <v>141.5</v>
      </c>
      <c r="G544" s="32" t="n">
        <v>112.5</v>
      </c>
      <c r="H544" s="10" t="n">
        <v>33</v>
      </c>
      <c r="I544" s="189" t="n"/>
      <c r="J544" s="39" t="n">
        <v>72.5</v>
      </c>
      <c r="K544" s="186" t="n"/>
      <c r="L544" s="166" t="n"/>
    </row>
    <row r="545" ht="18" customHeight="1" s="2" thickBot="1">
      <c r="A545" s="193" t="inlineStr">
        <is>
          <t>Number of hours used to cover sick leave</t>
        </is>
      </c>
      <c r="B545" s="15" t="n"/>
      <c r="C545" s="14" t="n"/>
      <c r="D545" s="34" t="n"/>
      <c r="E545" s="15" t="n">
        <v>65</v>
      </c>
      <c r="F545" s="194" t="n"/>
      <c r="G545" s="34" t="n">
        <v>29</v>
      </c>
      <c r="H545" s="15" t="n">
        <v>31.5</v>
      </c>
      <c r="I545" s="194" t="n"/>
      <c r="J545" s="233" t="n">
        <v>37.5</v>
      </c>
      <c r="K545" s="186" t="n"/>
      <c r="L545" s="166" t="n"/>
    </row>
    <row r="546" ht="15.95" customHeight="1" s="2" thickBot="1">
      <c r="A546" s="195" t="inlineStr">
        <is>
          <t>Minimum HOURS</t>
        </is>
      </c>
      <c r="B546" s="196" t="inlineStr">
        <is>
          <t xml:space="preserve">Kitchen </t>
        </is>
      </c>
      <c r="C546" s="16" t="n">
        <v>648</v>
      </c>
      <c r="D546" s="35" t="n">
        <v>681</v>
      </c>
      <c r="E546" s="196" t="inlineStr">
        <is>
          <t xml:space="preserve">Kitchen </t>
        </is>
      </c>
      <c r="F546" s="16" t="n"/>
      <c r="G546" s="36" t="n"/>
      <c r="H546" s="196" t="inlineStr">
        <is>
          <t xml:space="preserve">Kitchen </t>
        </is>
      </c>
      <c r="I546" s="16" t="n"/>
      <c r="J546" s="35" t="n"/>
      <c r="K546" s="180" t="n"/>
      <c r="L546" s="166" t="n"/>
    </row>
    <row r="547" ht="15.95" customHeight="1" s="2" thickBot="1">
      <c r="A547" s="197" t="n"/>
      <c r="B547" s="198" t="inlineStr">
        <is>
          <t xml:space="preserve">Floor </t>
        </is>
      </c>
      <c r="C547" s="18" t="n">
        <v>882</v>
      </c>
      <c r="D547" s="35" t="n">
        <v>950</v>
      </c>
      <c r="E547" s="198" t="inlineStr">
        <is>
          <t xml:space="preserve">Floor </t>
        </is>
      </c>
      <c r="F547" s="18" t="n"/>
      <c r="G547" s="234" t="n"/>
      <c r="H547" s="198" t="inlineStr">
        <is>
          <t xml:space="preserve">Floor </t>
        </is>
      </c>
      <c r="I547" s="18" t="n"/>
      <c r="J547" s="35" t="n"/>
      <c r="K547" s="180" t="n"/>
      <c r="L547" s="166" t="n"/>
    </row>
    <row r="548" ht="15.95" customHeight="1" s="2" thickBot="1">
      <c r="A548" s="197" t="n"/>
      <c r="B548" s="199" t="inlineStr">
        <is>
          <t>TOTAL</t>
        </is>
      </c>
      <c r="C548" s="42">
        <f>SUM(C546:C547)</f>
        <v/>
      </c>
      <c r="D548" s="35">
        <f>SUM(D546:D547)</f>
        <v/>
      </c>
      <c r="E548" s="199" t="inlineStr">
        <is>
          <t>TOTAL</t>
        </is>
      </c>
      <c r="F548" s="42">
        <f>SUM(F546:F547)</f>
        <v/>
      </c>
      <c r="G548" s="35">
        <f>SUM(G546:G547)</f>
        <v/>
      </c>
      <c r="H548" s="199" t="inlineStr">
        <is>
          <t>TOTAL</t>
        </is>
      </c>
      <c r="I548" s="42">
        <f>SUM(I546:I547)</f>
        <v/>
      </c>
      <c r="J548" s="35">
        <f>SUM(J546:J547)</f>
        <v/>
      </c>
      <c r="K548" s="180" t="n"/>
      <c r="L548" s="166" t="n"/>
    </row>
    <row r="549" ht="15.6" customHeight="1" s="2">
      <c r="A549" s="166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166" t="n"/>
      <c r="L549" s="166" t="n"/>
    </row>
    <row r="550" ht="17.45" customHeight="1" s="2">
      <c r="A550" s="166" t="n"/>
      <c r="B550" s="166" t="n"/>
      <c r="C550" s="202" t="inlineStr">
        <is>
          <t>Shohag ( IND + Pizza T1-T3 )</t>
        </is>
      </c>
      <c r="D550" s="202" t="n">
        <v>18</v>
      </c>
      <c r="E550" s="166" t="n"/>
      <c r="F550" s="202" t="inlineStr">
        <is>
          <t>Sushil ( Topping T1- T5 )</t>
        </is>
      </c>
      <c r="G550" s="202" t="n">
        <v>20</v>
      </c>
      <c r="H550" s="166" t="n"/>
      <c r="I550" s="166" t="n"/>
      <c r="J550" s="166" t="n"/>
      <c r="K550" s="166" t="n"/>
      <c r="L550" s="166" t="n"/>
    </row>
    <row r="551" ht="17.45" customHeight="1" s="2">
      <c r="A551" s="166" t="n"/>
      <c r="B551" s="166" t="n"/>
      <c r="C551" s="202" t="inlineStr">
        <is>
          <t>Basel ( IND + Stocking T1-T3 )</t>
        </is>
      </c>
      <c r="D551" s="202" t="n">
        <v>16.5</v>
      </c>
      <c r="E551" s="166" t="n"/>
      <c r="F551" s="202" t="inlineStr">
        <is>
          <t>Peter ( Breakfast T1 - T5 )</t>
        </is>
      </c>
      <c r="G551" s="202" t="n">
        <v>38</v>
      </c>
      <c r="H551" s="166" t="n"/>
      <c r="I551" s="166" t="n"/>
      <c r="J551" s="166" t="n"/>
      <c r="K551" s="166" t="n"/>
      <c r="L551" s="166" t="n"/>
    </row>
    <row r="552" ht="17.45" customHeight="1" s="2">
      <c r="A552" s="166" t="n"/>
      <c r="B552" s="166" t="n"/>
      <c r="C552" s="202" t="inlineStr">
        <is>
          <t>Tilak ( IND )</t>
        </is>
      </c>
      <c r="D552" s="202" t="n">
        <v>3</v>
      </c>
      <c r="E552" s="166" t="n"/>
      <c r="F552" s="202" t="inlineStr">
        <is>
          <t>Khan ( Grill Follow Up )</t>
        </is>
      </c>
      <c r="G552" s="202" t="n">
        <v>20</v>
      </c>
      <c r="H552" s="166" t="n"/>
      <c r="I552" s="166" t="n"/>
      <c r="J552" s="166" t="n"/>
      <c r="K552" s="166" t="n"/>
      <c r="L552" s="166" t="n"/>
    </row>
    <row r="553" ht="17.45" customHeight="1" s="2">
      <c r="A553" s="166" t="n"/>
      <c r="B553" s="166" t="n"/>
      <c r="C553" s="202" t="inlineStr">
        <is>
          <t>Khan ( IND + Grill T1-T3 )</t>
        </is>
      </c>
      <c r="D553" s="202" t="n">
        <v>16</v>
      </c>
      <c r="E553" s="166" t="n"/>
      <c r="F553" s="202" t="inlineStr">
        <is>
          <t>Basel ( Stocking Follow Up )</t>
        </is>
      </c>
      <c r="G553" s="202" t="n">
        <v>20</v>
      </c>
      <c r="H553" s="166" t="n"/>
      <c r="I553" s="166" t="n"/>
      <c r="J553" s="166" t="n"/>
      <c r="K553" s="166" t="n"/>
      <c r="L553" s="166" t="n"/>
    </row>
    <row r="554" ht="17.45" customHeight="1" s="2">
      <c r="A554" s="166" t="n"/>
      <c r="B554" s="166" t="n"/>
      <c r="C554" s="202" t="inlineStr">
        <is>
          <t>Sanjay ( Prep T4-T5)</t>
        </is>
      </c>
      <c r="D554" s="202" t="n">
        <v>17</v>
      </c>
      <c r="E554" s="166" t="n"/>
      <c r="F554" s="202" t="inlineStr">
        <is>
          <t>Shohag ( Pizza Follow up )</t>
        </is>
      </c>
      <c r="G554" s="202" t="n">
        <v>14.5</v>
      </c>
      <c r="H554" s="166" t="n"/>
      <c r="I554" s="166" t="n"/>
      <c r="J554" s="166" t="n"/>
      <c r="K554" s="166" t="n"/>
      <c r="L554" s="166" t="n"/>
    </row>
    <row r="555" ht="15" customHeight="1" s="2">
      <c r="A555" s="166" t="n"/>
      <c r="B555" s="166" t="n"/>
      <c r="C555" s="166" t="n"/>
      <c r="D555" s="166" t="n"/>
      <c r="E555" s="166" t="n"/>
      <c r="F555" s="166" t="n"/>
      <c r="G555" s="166" t="n"/>
      <c r="H555" s="166" t="n"/>
      <c r="I555" s="166" t="n"/>
      <c r="J555" s="166" t="n"/>
      <c r="K555" s="166" t="n"/>
      <c r="L555" s="166" t="n"/>
    </row>
    <row r="556" ht="15" customHeight="1" s="2">
      <c r="A556" s="166" t="n"/>
      <c r="B556" s="168" t="n"/>
      <c r="C556" s="168" t="n"/>
      <c r="D556" s="166" t="n"/>
      <c r="E556" s="168" t="n"/>
      <c r="F556" s="168" t="n"/>
      <c r="G556" s="166" t="n"/>
      <c r="H556" s="168" t="n"/>
      <c r="I556" s="168" t="n"/>
      <c r="J556" s="166" t="n"/>
      <c r="K556" s="166" t="n"/>
      <c r="L556" s="166" t="n"/>
    </row>
    <row r="557" ht="18" customHeight="1" s="2" thickBot="1">
      <c r="A557" s="238" t="n"/>
      <c r="B557" s="222" t="n">
        <v>42807</v>
      </c>
      <c r="C557" s="235" t="n">
        <v>43171</v>
      </c>
      <c r="D557" s="236" t="n"/>
      <c r="E557" s="222" t="n">
        <v>42814</v>
      </c>
      <c r="F557" s="237" t="n">
        <v>43178</v>
      </c>
      <c r="G557" s="236" t="n"/>
      <c r="H557" s="222" t="n">
        <v>42821</v>
      </c>
      <c r="I557" s="237" t="n">
        <v>43185</v>
      </c>
      <c r="J557" s="223" t="n"/>
      <c r="K557" s="166" t="n"/>
      <c r="L557" s="166" t="n"/>
    </row>
    <row r="558" ht="17.85" customHeight="1" s="2" thickBot="1">
      <c r="A558" s="176" t="n"/>
      <c r="B558" s="177" t="inlineStr">
        <is>
          <t>Last Year</t>
        </is>
      </c>
      <c r="C558" s="178" t="inlineStr">
        <is>
          <t>Projected</t>
        </is>
      </c>
      <c r="D558" s="230" t="inlineStr">
        <is>
          <t>Actual</t>
        </is>
      </c>
      <c r="E558" s="177" t="inlineStr">
        <is>
          <t>Last Year</t>
        </is>
      </c>
      <c r="F558" s="178" t="inlineStr">
        <is>
          <t>Projected</t>
        </is>
      </c>
      <c r="G558" s="230" t="inlineStr">
        <is>
          <t>Actual</t>
        </is>
      </c>
      <c r="H558" s="177" t="inlineStr">
        <is>
          <t>Last Year</t>
        </is>
      </c>
      <c r="I558" s="178" t="inlineStr">
        <is>
          <t>Projected</t>
        </is>
      </c>
      <c r="J558" s="230" t="inlineStr">
        <is>
          <t>Actual</t>
        </is>
      </c>
      <c r="K558" s="180" t="n"/>
      <c r="L558" s="166" t="n"/>
    </row>
    <row r="559" ht="18" customHeight="1" s="2">
      <c r="A559" s="181" t="inlineStr">
        <is>
          <t>GROSS TOTAL</t>
        </is>
      </c>
      <c r="B559" s="184" t="n">
        <v>161699.17</v>
      </c>
      <c r="C559" s="184" t="n">
        <v>176637</v>
      </c>
      <c r="D559" s="184" t="n">
        <v>146890.49</v>
      </c>
      <c r="E559" s="184" t="n">
        <v>150677.07</v>
      </c>
      <c r="F559" s="184" t="n">
        <v>156097</v>
      </c>
      <c r="G559" s="184" t="n">
        <v>158473.1</v>
      </c>
      <c r="H559" s="184" t="n">
        <v>144904.64</v>
      </c>
      <c r="I559" s="184" t="n">
        <v>145141</v>
      </c>
      <c r="J559" s="185" t="n">
        <v>141351.82</v>
      </c>
      <c r="K559" s="186" t="n"/>
      <c r="L559" s="166" t="n"/>
    </row>
    <row r="560" ht="17.45" customHeight="1" s="2">
      <c r="A560" s="187" t="inlineStr">
        <is>
          <t>NETT  TOTAL</t>
        </is>
      </c>
      <c r="B560" s="22">
        <f>B559/1.1</f>
        <v/>
      </c>
      <c r="C560" s="9">
        <f>C559/1.1</f>
        <v/>
      </c>
      <c r="D560" s="32">
        <f>D559/1.1</f>
        <v/>
      </c>
      <c r="E560" s="22">
        <f>E559/1.1</f>
        <v/>
      </c>
      <c r="F560" s="9">
        <f>F559/1.1</f>
        <v/>
      </c>
      <c r="G560" s="32">
        <f>G559/1.1</f>
        <v/>
      </c>
      <c r="H560" s="22">
        <f>H559/1.1</f>
        <v/>
      </c>
      <c r="I560" s="9">
        <f>I559/1.1</f>
        <v/>
      </c>
      <c r="J560" s="39">
        <f>J559/1.1</f>
        <v/>
      </c>
      <c r="K560" s="186" t="n"/>
      <c r="L560" s="166" t="n"/>
    </row>
    <row r="561" ht="17.45" customHeight="1" s="2">
      <c r="A561" s="188" t="inlineStr">
        <is>
          <t>Customers</t>
        </is>
      </c>
      <c r="B561" s="10" t="n">
        <v>7696</v>
      </c>
      <c r="C561" s="10" t="n">
        <v>8140</v>
      </c>
      <c r="D561" s="10" t="n">
        <v>7138</v>
      </c>
      <c r="E561" s="10" t="n">
        <v>7277</v>
      </c>
      <c r="F561" s="10" t="n">
        <v>7510</v>
      </c>
      <c r="G561" s="10" t="n">
        <v>7653</v>
      </c>
      <c r="H561" s="10" t="n">
        <v>6952</v>
      </c>
      <c r="I561" s="10" t="n">
        <v>7020</v>
      </c>
      <c r="J561" s="11" t="n">
        <v>6872</v>
      </c>
      <c r="K561" s="171" t="n"/>
      <c r="L561" s="166" t="n"/>
    </row>
    <row r="562" ht="17.45" customHeight="1" s="2">
      <c r="A562" s="188" t="inlineStr">
        <is>
          <t>Average Customer Spend</t>
        </is>
      </c>
      <c r="B562" s="22">
        <f>B559/B561</f>
        <v/>
      </c>
      <c r="C562" s="9">
        <f>C559/C561</f>
        <v/>
      </c>
      <c r="D562" s="32">
        <f>D559/D561</f>
        <v/>
      </c>
      <c r="E562" s="22">
        <f>E559/E561</f>
        <v/>
      </c>
      <c r="F562" s="9">
        <f>F559/F561</f>
        <v/>
      </c>
      <c r="G562" s="32">
        <f>G559/G561</f>
        <v/>
      </c>
      <c r="H562" s="22">
        <f>H559/H561</f>
        <v/>
      </c>
      <c r="I562" s="9">
        <f>I559/I561</f>
        <v/>
      </c>
      <c r="J562" s="33">
        <f>J559/J561</f>
        <v/>
      </c>
      <c r="K562" s="171" t="n"/>
      <c r="L562" s="166" t="n"/>
    </row>
    <row r="563" ht="17.45" customHeight="1" s="2">
      <c r="A563" s="191" t="inlineStr">
        <is>
          <t>Wage % to Gross total</t>
        </is>
      </c>
      <c r="B563" s="210">
        <f>(B566*B567)/B559</f>
        <v/>
      </c>
      <c r="C563" s="9">
        <f>(C566*C567)/C559</f>
        <v/>
      </c>
      <c r="D563" s="39">
        <f>(D566*D567)/D559</f>
        <v/>
      </c>
      <c r="E563" s="210">
        <f>(E566*E567)/E559</f>
        <v/>
      </c>
      <c r="F563" s="9">
        <f>(F566*F567)/F559</f>
        <v/>
      </c>
      <c r="G563" s="39">
        <f>(G566*G567)/G559</f>
        <v/>
      </c>
      <c r="H563" s="210">
        <f>(H566*H567)/H559</f>
        <v/>
      </c>
      <c r="I563" s="9">
        <f>(I566*I567)/I559</f>
        <v/>
      </c>
      <c r="J563" s="33">
        <f>(J566*J567)/J559</f>
        <v/>
      </c>
      <c r="K563" s="171" t="n"/>
      <c r="L563" s="166" t="n"/>
    </row>
    <row r="564" ht="17.45" customHeight="1" s="2">
      <c r="A564" s="191" t="inlineStr">
        <is>
          <t>Wage % to Nett Total</t>
        </is>
      </c>
      <c r="B564" s="210">
        <f>(B566*B567)/B560</f>
        <v/>
      </c>
      <c r="C564" s="9">
        <f>(C566*C567)/C560</f>
        <v/>
      </c>
      <c r="D564" s="39">
        <f>(D566*D567)/D560</f>
        <v/>
      </c>
      <c r="E564" s="210">
        <f>(E566*E567)/E560</f>
        <v/>
      </c>
      <c r="F564" s="9">
        <f>(F566*F567)/F560</f>
        <v/>
      </c>
      <c r="G564" s="39">
        <f>(G566*G567)/G560</f>
        <v/>
      </c>
      <c r="H564" s="210">
        <f>(H566*H567)/H560</f>
        <v/>
      </c>
      <c r="I564" s="9">
        <f>(I566*I567)/I560</f>
        <v/>
      </c>
      <c r="J564" s="33">
        <f>(J566*J567)/J560</f>
        <v/>
      </c>
      <c r="K564" s="171" t="n"/>
      <c r="L564" s="166" t="n"/>
    </row>
    <row r="565" ht="17.45" customHeight="1" s="2">
      <c r="A565" s="188" t="inlineStr">
        <is>
          <t>Productivity</t>
        </is>
      </c>
      <c r="B565" s="22">
        <f>B561/B567</f>
        <v/>
      </c>
      <c r="C565" s="9">
        <f>C561/C567</f>
        <v/>
      </c>
      <c r="D565" s="32">
        <f>D561/D567</f>
        <v/>
      </c>
      <c r="E565" s="22">
        <f>E561/E567</f>
        <v/>
      </c>
      <c r="F565" s="9">
        <f>F561/F567</f>
        <v/>
      </c>
      <c r="G565" s="32">
        <f>G561/G567</f>
        <v/>
      </c>
      <c r="H565" s="22">
        <f>H561/H567</f>
        <v/>
      </c>
      <c r="I565" s="9">
        <f>I561/I567</f>
        <v/>
      </c>
      <c r="J565" s="33">
        <f>J561/J567</f>
        <v/>
      </c>
      <c r="K565" s="171" t="n"/>
      <c r="L565" s="166" t="n"/>
    </row>
    <row r="566" ht="17.45" customHeight="1" s="2">
      <c r="A566" s="188" t="inlineStr">
        <is>
          <t>Average Hourly Rate</t>
        </is>
      </c>
      <c r="B566" s="10" t="n">
        <v>32.47</v>
      </c>
      <c r="C566" s="189" t="n">
        <v>32</v>
      </c>
      <c r="D566" s="32" t="n">
        <v>33.59</v>
      </c>
      <c r="E566" s="10" t="n">
        <v>31.58</v>
      </c>
      <c r="F566" s="189" t="n">
        <v>32</v>
      </c>
      <c r="G566" s="32" t="n">
        <v>33.86</v>
      </c>
      <c r="H566" s="10" t="n">
        <v>31.91</v>
      </c>
      <c r="I566" s="189" t="n">
        <v>32</v>
      </c>
      <c r="J566" s="33" t="n">
        <v>35.47</v>
      </c>
      <c r="K566" s="171" t="n"/>
      <c r="L566" s="166" t="n"/>
    </row>
    <row r="567" ht="17.45" customHeight="1" s="2">
      <c r="A567" s="188" t="inlineStr">
        <is>
          <t>Total hours for productivity</t>
        </is>
      </c>
      <c r="B567" s="10" t="n">
        <v>1406.25</v>
      </c>
      <c r="C567" s="189" t="n">
        <v>1515.5</v>
      </c>
      <c r="D567" s="32" t="n">
        <v>1458.25</v>
      </c>
      <c r="E567" s="10" t="n">
        <v>1465</v>
      </c>
      <c r="F567" s="189" t="n">
        <v>1468.5</v>
      </c>
      <c r="G567" s="32" t="n">
        <v>1491</v>
      </c>
      <c r="H567" s="10" t="n">
        <v>1310.25</v>
      </c>
      <c r="I567" s="189" t="n">
        <v>1399.5</v>
      </c>
      <c r="J567" s="33" t="n">
        <v>1464</v>
      </c>
      <c r="K567" s="171" t="n"/>
      <c r="L567" s="166" t="n"/>
    </row>
    <row r="568" ht="17.45" customHeight="1" s="2">
      <c r="A568" s="188" t="inlineStr">
        <is>
          <t>Training Hours used</t>
        </is>
      </c>
      <c r="B568" s="10" t="n"/>
      <c r="C568" s="189" t="n">
        <v>62.5</v>
      </c>
      <c r="D568" s="32" t="n">
        <v>88.5</v>
      </c>
      <c r="E568" s="10" t="n">
        <v>75</v>
      </c>
      <c r="F568" s="189" t="n">
        <v>60</v>
      </c>
      <c r="G568" s="32" t="n">
        <v>75</v>
      </c>
      <c r="H568" s="10" t="n">
        <v>5</v>
      </c>
      <c r="I568" s="189" t="n">
        <v>104</v>
      </c>
      <c r="J568" s="39" t="n">
        <v>103.25</v>
      </c>
      <c r="K568" s="186" t="n"/>
      <c r="L568" s="166" t="n"/>
    </row>
    <row r="569" ht="18" customHeight="1" s="2" thickBot="1">
      <c r="A569" s="193" t="inlineStr">
        <is>
          <t>Number of hours used to cover sick leave</t>
        </is>
      </c>
      <c r="B569" s="15" t="n"/>
      <c r="C569" s="14" t="n"/>
      <c r="D569" s="34" t="n">
        <v>20</v>
      </c>
      <c r="E569" s="15" t="n"/>
      <c r="F569" s="194" t="n"/>
      <c r="G569" s="34" t="n">
        <v>30.5</v>
      </c>
      <c r="H569" s="15" t="n">
        <v>27</v>
      </c>
      <c r="I569" s="194" t="n"/>
      <c r="J569" s="233" t="n"/>
      <c r="K569" s="186" t="n"/>
      <c r="L569" s="166" t="n"/>
    </row>
    <row r="570" ht="15.95" customHeight="1" s="2" thickBot="1">
      <c r="A570" s="195" t="inlineStr">
        <is>
          <t>Minimum HOURS</t>
        </is>
      </c>
      <c r="B570" s="196" t="inlineStr">
        <is>
          <t xml:space="preserve">Kitchen </t>
        </is>
      </c>
      <c r="C570" s="16" t="n">
        <v>595</v>
      </c>
      <c r="D570" s="35" t="n"/>
      <c r="E570" s="196" t="inlineStr">
        <is>
          <t xml:space="preserve">Kitchen </t>
        </is>
      </c>
      <c r="F570" s="16" t="n"/>
      <c r="G570" s="36" t="n"/>
      <c r="H570" s="196" t="inlineStr">
        <is>
          <t xml:space="preserve">Kitchen </t>
        </is>
      </c>
      <c r="I570" s="16" t="n"/>
      <c r="J570" s="35" t="n"/>
      <c r="K570" s="180" t="n"/>
      <c r="L570" s="166" t="n"/>
    </row>
    <row r="571" ht="15.95" customHeight="1" s="2" thickBot="1">
      <c r="A571" s="197" t="n"/>
      <c r="B571" s="198" t="inlineStr">
        <is>
          <t xml:space="preserve">Floor </t>
        </is>
      </c>
      <c r="C571" s="18" t="n">
        <v>808</v>
      </c>
      <c r="D571" s="35" t="n"/>
      <c r="E571" s="198" t="inlineStr">
        <is>
          <t xml:space="preserve">Floor </t>
        </is>
      </c>
      <c r="F571" s="18" t="n"/>
      <c r="G571" s="234" t="n"/>
      <c r="H571" s="198" t="inlineStr">
        <is>
          <t xml:space="preserve">Floor </t>
        </is>
      </c>
      <c r="I571" s="18" t="n"/>
      <c r="J571" s="35" t="n"/>
      <c r="K571" s="180" t="n"/>
      <c r="L571" s="166" t="n"/>
    </row>
    <row r="572" ht="15.95" customHeight="1" s="2" thickBot="1">
      <c r="A572" s="197" t="n"/>
      <c r="B572" s="199" t="inlineStr">
        <is>
          <t>TOTAL</t>
        </is>
      </c>
      <c r="C572" s="42">
        <f>SUM(C570:C571)</f>
        <v/>
      </c>
      <c r="D572" s="35">
        <f>SUM(D570:D571)</f>
        <v/>
      </c>
      <c r="E572" s="199" t="inlineStr">
        <is>
          <t>TOTAL</t>
        </is>
      </c>
      <c r="F572" s="42">
        <f>SUM(F570:F571)</f>
        <v/>
      </c>
      <c r="G572" s="35">
        <f>SUM(G570:G571)</f>
        <v/>
      </c>
      <c r="H572" s="199" t="inlineStr">
        <is>
          <t>TOTAL</t>
        </is>
      </c>
      <c r="I572" s="42">
        <f>SUM(I570:I571)</f>
        <v/>
      </c>
      <c r="J572" s="35">
        <f>SUM(J570:J571)</f>
        <v/>
      </c>
      <c r="K572" s="180" t="n"/>
      <c r="L572" s="166" t="n"/>
    </row>
    <row r="573" ht="15.6" customHeight="1" s="2">
      <c r="A573" s="166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166" t="n"/>
      <c r="L573" s="166" t="n"/>
    </row>
    <row r="574" ht="17.45" customHeight="1" s="2">
      <c r="A574" s="166" t="n"/>
      <c r="B574" s="166" t="n"/>
      <c r="C574" s="202" t="inlineStr">
        <is>
          <t>Khan ( Pizza T1-T2 )</t>
        </is>
      </c>
      <c r="D574" s="202" t="n">
        <v>20</v>
      </c>
      <c r="E574" s="166" t="n"/>
      <c r="F574" s="202" t="inlineStr">
        <is>
          <t>Merry ( Host T1- T4)</t>
        </is>
      </c>
      <c r="G574" s="202" t="n">
        <v>20</v>
      </c>
      <c r="H574" s="166" t="n"/>
      <c r="I574" s="202" t="inlineStr">
        <is>
          <t>Jenny ( Grill Follow Up Training )</t>
        </is>
      </c>
      <c r="J574" s="202" t="n">
        <v>14.5</v>
      </c>
      <c r="K574" s="166" t="n"/>
      <c r="L574" s="166" t="n"/>
    </row>
    <row r="575" ht="17.45" customHeight="1" s="2">
      <c r="A575" s="166" t="n"/>
      <c r="B575" s="166" t="n"/>
      <c r="C575" s="202" t="inlineStr">
        <is>
          <t>Sushil ( Milko T1-T2)</t>
        </is>
      </c>
      <c r="D575" s="202" t="n">
        <v>15</v>
      </c>
      <c r="E575" s="166" t="n"/>
      <c r="F575" s="202" t="inlineStr">
        <is>
          <t>Joyce ( INDUCTION )</t>
        </is>
      </c>
      <c r="G575" s="202" t="n">
        <v>5</v>
      </c>
      <c r="H575" s="166" t="n"/>
      <c r="I575" s="202" t="inlineStr">
        <is>
          <t>Shishir ( Grill Follow Up Training )</t>
        </is>
      </c>
      <c r="J575" s="202" t="n">
        <v>15</v>
      </c>
      <c r="K575" s="166" t="n"/>
      <c r="L575" s="166" t="n"/>
    </row>
    <row r="576" ht="17.45" customHeight="1" s="2">
      <c r="A576" s="166" t="n"/>
      <c r="B576" s="166" t="n"/>
      <c r="C576" s="202" t="inlineStr">
        <is>
          <t>Animesh ( Grill Follow Up Training )</t>
        </is>
      </c>
      <c r="D576" s="202" t="n">
        <v>12.5</v>
      </c>
      <c r="E576" s="166" t="n"/>
      <c r="F576" s="202" t="inlineStr">
        <is>
          <t>Amy ( INDUCTION )</t>
        </is>
      </c>
      <c r="G576" s="202" t="n">
        <v>5</v>
      </c>
      <c r="H576" s="166" t="n"/>
      <c r="I576" s="202" t="inlineStr">
        <is>
          <t>Amy ( T1 - T 5 )</t>
        </is>
      </c>
      <c r="J576" s="202" t="n">
        <v>25</v>
      </c>
      <c r="K576" s="166" t="n"/>
      <c r="L576" s="166" t="n"/>
    </row>
    <row r="577" ht="17.45" customHeight="1" s="2">
      <c r="A577" s="166" t="n"/>
      <c r="B577" s="166" t="n"/>
      <c r="C577" s="202" t="inlineStr">
        <is>
          <t>Ashish ( Grill Follow Up Training )</t>
        </is>
      </c>
      <c r="D577" s="202" t="n">
        <v>23.5</v>
      </c>
      <c r="E577" s="166" t="n"/>
      <c r="F577" s="202" t="inlineStr">
        <is>
          <t>Arpit ( INDUCTION )</t>
        </is>
      </c>
      <c r="G577" s="202" t="n">
        <v>5</v>
      </c>
      <c r="H577" s="166" t="n"/>
      <c r="I577" s="202" t="inlineStr">
        <is>
          <t>Arpit ( T1 - T 5 )</t>
        </is>
      </c>
      <c r="J577" s="202" t="n">
        <v>24</v>
      </c>
      <c r="K577" s="166" t="n"/>
      <c r="L577" s="166" t="n"/>
    </row>
    <row r="578" ht="17.45" customHeight="1" s="2">
      <c r="A578" s="166" t="n"/>
      <c r="B578" s="166" t="n"/>
      <c r="C578" s="202" t="inlineStr">
        <is>
          <t>Bipeena Host ( T1-T2)</t>
        </is>
      </c>
      <c r="D578" s="202" t="n">
        <v>10</v>
      </c>
      <c r="E578" s="166" t="n"/>
      <c r="F578" s="202" t="inlineStr">
        <is>
          <t>Jenny ( Grill T1-T4 )</t>
        </is>
      </c>
      <c r="G578" s="202" t="n">
        <v>20</v>
      </c>
      <c r="H578" s="166" t="n"/>
      <c r="I578" s="202" t="inlineStr">
        <is>
          <t>Joyce Pham ( T1 - T 5 )</t>
        </is>
      </c>
      <c r="J578" s="202" t="n">
        <v>24.75</v>
      </c>
      <c r="K578" s="166" t="n"/>
      <c r="L578" s="166" t="n"/>
    </row>
    <row r="579" ht="17.45" customHeight="1" s="2">
      <c r="A579" s="166" t="n"/>
      <c r="B579" s="166" t="n"/>
      <c r="C579" s="202" t="inlineStr">
        <is>
          <t>Fire Training</t>
        </is>
      </c>
      <c r="D579" s="202" t="n">
        <v>7.5</v>
      </c>
      <c r="E579" s="166" t="n"/>
      <c r="F579" s="202" t="inlineStr">
        <is>
          <t>Shishir ( Grill T1-T4 )</t>
        </is>
      </c>
      <c r="G579" s="202" t="n">
        <v>20</v>
      </c>
      <c r="H579" s="166" t="n"/>
      <c r="I579" s="166" t="n"/>
      <c r="J579" s="166" t="n"/>
      <c r="K579" s="166" t="n"/>
      <c r="L579" s="166" t="n"/>
    </row>
    <row r="580" ht="15" customHeight="1" s="2">
      <c r="A580" s="166" t="n"/>
      <c r="B580" s="166" t="n"/>
      <c r="C580" s="166" t="n"/>
      <c r="D580" s="166" t="n"/>
      <c r="E580" s="166" t="n"/>
      <c r="F580" s="166" t="n"/>
      <c r="G580" s="166" t="n"/>
      <c r="H580" s="166" t="n"/>
      <c r="I580" s="166" t="n"/>
      <c r="J580" s="166" t="n"/>
      <c r="K580" s="166" t="n"/>
      <c r="L580" s="166" t="n"/>
    </row>
    <row r="581" ht="15" customHeight="1" s="2">
      <c r="A581" s="166" t="n"/>
      <c r="B581" s="166" t="n"/>
      <c r="C581" s="166" t="n"/>
      <c r="D581" s="166" t="n"/>
      <c r="E581" s="166" t="n"/>
      <c r="F581" s="166" t="n"/>
      <c r="G581" s="166" t="n"/>
      <c r="H581" s="166" t="n"/>
      <c r="I581" s="166" t="n"/>
      <c r="J581" s="166" t="n"/>
      <c r="K581" s="166" t="n"/>
      <c r="L581" s="166" t="n"/>
    </row>
    <row r="582" ht="15" customHeight="1" s="2">
      <c r="A582" s="166" t="n"/>
      <c r="B582" s="166" t="n"/>
      <c r="C582" s="166" t="n"/>
      <c r="D582" s="166" t="n"/>
      <c r="E582" s="166" t="n"/>
      <c r="F582" s="166" t="n"/>
      <c r="G582" s="166" t="n"/>
      <c r="H582" s="166" t="n"/>
      <c r="I582" s="166" t="n"/>
      <c r="J582" s="166" t="n"/>
      <c r="K582" s="166" t="n"/>
      <c r="L582" s="166" t="n"/>
    </row>
    <row r="583" ht="15" customHeight="1" s="2">
      <c r="A583" s="166" t="n"/>
      <c r="B583" s="166" t="n"/>
      <c r="C583" s="166" t="n"/>
      <c r="D583" s="166" t="n"/>
      <c r="E583" s="166" t="n"/>
      <c r="F583" s="166" t="n"/>
      <c r="G583" s="166" t="n"/>
      <c r="H583" s="166" t="n"/>
      <c r="I583" s="166" t="n"/>
      <c r="J583" s="166" t="n"/>
      <c r="K583" s="166" t="n"/>
      <c r="L583" s="166" t="n"/>
    </row>
    <row r="584" ht="15" customHeight="1" s="2">
      <c r="A584" s="166" t="n"/>
      <c r="B584" s="166" t="n"/>
      <c r="C584" s="166" t="n"/>
      <c r="D584" s="166" t="n"/>
      <c r="E584" s="166" t="n"/>
      <c r="F584" s="166" t="n"/>
      <c r="G584" s="166" t="n"/>
      <c r="H584" s="166" t="n"/>
      <c r="I584" s="166" t="n"/>
      <c r="J584" s="166" t="n"/>
      <c r="K584" s="166" t="n"/>
      <c r="L584" s="166" t="n"/>
    </row>
    <row r="585" ht="15" customHeight="1" s="2">
      <c r="A585" s="166" t="n"/>
      <c r="B585" s="168" t="n"/>
      <c r="C585" s="168" t="n"/>
      <c r="D585" s="166" t="n"/>
      <c r="E585" s="168" t="n"/>
      <c r="F585" s="168" t="n"/>
      <c r="G585" s="166" t="n"/>
      <c r="H585" s="168" t="n"/>
      <c r="I585" s="168" t="n"/>
      <c r="J585" s="166" t="n"/>
      <c r="K585" s="166" t="n"/>
      <c r="L585" s="166" t="n"/>
    </row>
    <row r="586" ht="18" customHeight="1" s="2" thickBot="1">
      <c r="A586" s="238" t="n"/>
      <c r="B586" s="222" t="n">
        <v>42828</v>
      </c>
      <c r="C586" s="235" t="n">
        <v>43192</v>
      </c>
      <c r="D586" s="236" t="n"/>
      <c r="E586" s="222" t="n">
        <v>42835</v>
      </c>
      <c r="F586" s="237" t="n">
        <v>43199</v>
      </c>
      <c r="G586" s="236" t="n"/>
      <c r="H586" s="222" t="n">
        <v>42842</v>
      </c>
      <c r="I586" s="237" t="n">
        <v>43206</v>
      </c>
      <c r="J586" s="223" t="n"/>
      <c r="K586" s="166" t="n"/>
      <c r="L586" s="166" t="n"/>
    </row>
    <row r="587" ht="17.85" customHeight="1" s="2" thickBot="1">
      <c r="A587" s="176" t="n"/>
      <c r="B587" s="177" t="inlineStr">
        <is>
          <t>Last Year</t>
        </is>
      </c>
      <c r="C587" s="178" t="inlineStr">
        <is>
          <t>Projected</t>
        </is>
      </c>
      <c r="D587" s="230" t="inlineStr">
        <is>
          <t>Actual</t>
        </is>
      </c>
      <c r="E587" s="177" t="inlineStr">
        <is>
          <t>Last Year</t>
        </is>
      </c>
      <c r="F587" s="178" t="inlineStr">
        <is>
          <t>Projected</t>
        </is>
      </c>
      <c r="G587" s="230" t="inlineStr">
        <is>
          <t>Actual</t>
        </is>
      </c>
      <c r="H587" s="177" t="inlineStr">
        <is>
          <t>Last Year</t>
        </is>
      </c>
      <c r="I587" s="178" t="inlineStr">
        <is>
          <t>Projected</t>
        </is>
      </c>
      <c r="J587" s="230" t="inlineStr">
        <is>
          <t>Actual</t>
        </is>
      </c>
      <c r="K587" s="180" t="n"/>
      <c r="L587" s="166" t="n"/>
    </row>
    <row r="588" ht="18" customHeight="1" s="2">
      <c r="A588" s="181" t="inlineStr">
        <is>
          <t>GROSS TOTAL</t>
        </is>
      </c>
      <c r="B588" s="184" t="n">
        <v>148101.94</v>
      </c>
      <c r="C588" s="184" t="n">
        <v>245356</v>
      </c>
      <c r="D588" s="184" t="n">
        <v>224647.12</v>
      </c>
      <c r="E588" s="184" t="n">
        <v>165430.89</v>
      </c>
      <c r="F588" s="184" t="n">
        <v>155928</v>
      </c>
      <c r="G588" s="184" t="n">
        <v>165011.26</v>
      </c>
      <c r="H588" s="184" t="n">
        <v>240219.76</v>
      </c>
      <c r="I588" s="184" t="n">
        <v>161578</v>
      </c>
      <c r="J588" s="185" t="n">
        <v>152717.97</v>
      </c>
      <c r="K588" s="186" t="n"/>
      <c r="L588" s="166" t="n"/>
    </row>
    <row r="589" ht="17.45" customHeight="1" s="2">
      <c r="A589" s="187" t="inlineStr">
        <is>
          <t>NETT  TOTAL</t>
        </is>
      </c>
      <c r="B589" s="22">
        <f>B588/1.1</f>
        <v/>
      </c>
      <c r="C589" s="9">
        <f>C588/1.1</f>
        <v/>
      </c>
      <c r="D589" s="32">
        <f>D588/1.1</f>
        <v/>
      </c>
      <c r="E589" s="22">
        <f>E588/1.1</f>
        <v/>
      </c>
      <c r="F589" s="9">
        <f>F588/1.1</f>
        <v/>
      </c>
      <c r="G589" s="32">
        <f>G588/1.1</f>
        <v/>
      </c>
      <c r="H589" s="22">
        <f>H588/1.1</f>
        <v/>
      </c>
      <c r="I589" s="9">
        <f>I588/1.1</f>
        <v/>
      </c>
      <c r="J589" s="39">
        <f>J588/1.1</f>
        <v/>
      </c>
      <c r="K589" s="186" t="n"/>
      <c r="L589" s="166" t="n"/>
    </row>
    <row r="590" ht="17.45" customHeight="1" s="2">
      <c r="A590" s="188" t="inlineStr">
        <is>
          <t>Customers</t>
        </is>
      </c>
      <c r="B590" s="10" t="n">
        <v>6918</v>
      </c>
      <c r="C590" s="10" t="n">
        <v>10680</v>
      </c>
      <c r="D590" s="10" t="n">
        <v>9649</v>
      </c>
      <c r="E590" s="10" t="n">
        <v>7571</v>
      </c>
      <c r="F590" s="10" t="n">
        <v>7395</v>
      </c>
      <c r="G590" s="10" t="n">
        <v>7722</v>
      </c>
      <c r="H590" s="10" t="n">
        <v>10778</v>
      </c>
      <c r="I590" s="10" t="n">
        <v>7745</v>
      </c>
      <c r="J590" s="11" t="n">
        <v>7290</v>
      </c>
      <c r="K590" s="171" t="n"/>
      <c r="L590" s="166" t="n"/>
    </row>
    <row r="591" ht="17.45" customHeight="1" s="2">
      <c r="A591" s="188" t="inlineStr">
        <is>
          <t>Average Customer Spend</t>
        </is>
      </c>
      <c r="B591" s="22">
        <f>B588/B590</f>
        <v/>
      </c>
      <c r="C591" s="9">
        <f>C588/C590</f>
        <v/>
      </c>
      <c r="D591" s="32">
        <f>D588/D590</f>
        <v/>
      </c>
      <c r="E591" s="22">
        <f>E588/E590</f>
        <v/>
      </c>
      <c r="F591" s="9">
        <f>F588/F590</f>
        <v/>
      </c>
      <c r="G591" s="32">
        <f>G588/G590</f>
        <v/>
      </c>
      <c r="H591" s="22">
        <f>H588/H590</f>
        <v/>
      </c>
      <c r="I591" s="9">
        <f>I588/I590</f>
        <v/>
      </c>
      <c r="J591" s="33">
        <f>J588/J590</f>
        <v/>
      </c>
      <c r="K591" s="171" t="n"/>
      <c r="L591" s="166" t="n"/>
    </row>
    <row r="592" ht="17.45" customHeight="1" s="2">
      <c r="A592" s="191" t="inlineStr">
        <is>
          <t>Wage % to Gross total</t>
        </is>
      </c>
      <c r="B592" s="210">
        <f>(B595*B596)/B588</f>
        <v/>
      </c>
      <c r="C592" s="9">
        <f>(C595*C596)/C588</f>
        <v/>
      </c>
      <c r="D592" s="39">
        <f>(D595*D596)/D588</f>
        <v/>
      </c>
      <c r="E592" s="210">
        <f>(E595*E596)/E588</f>
        <v/>
      </c>
      <c r="F592" s="9">
        <f>(F595*F596)/F588</f>
        <v/>
      </c>
      <c r="G592" s="39">
        <f>(G595*G596)/G588</f>
        <v/>
      </c>
      <c r="H592" s="210">
        <f>(H595*H596)/H588</f>
        <v/>
      </c>
      <c r="I592" s="9">
        <f>(I595*I596)/I588</f>
        <v/>
      </c>
      <c r="J592" s="33">
        <f>(J595*J596)/J588</f>
        <v/>
      </c>
      <c r="K592" s="171" t="n"/>
      <c r="L592" s="166" t="n"/>
    </row>
    <row r="593" ht="17.45" customHeight="1" s="2">
      <c r="A593" s="191" t="inlineStr">
        <is>
          <t>Wage % to Nett Total</t>
        </is>
      </c>
      <c r="B593" s="210">
        <f>(B595*B596)/B589</f>
        <v/>
      </c>
      <c r="C593" s="9">
        <f>(C595*C596)/C589</f>
        <v/>
      </c>
      <c r="D593" s="39">
        <f>(D595*D596)/D589</f>
        <v/>
      </c>
      <c r="E593" s="210">
        <f>(E595*E596)/E589</f>
        <v/>
      </c>
      <c r="F593" s="9">
        <f>(F595*F596)/F589</f>
        <v/>
      </c>
      <c r="G593" s="39">
        <f>(G595*G596)/G589</f>
        <v/>
      </c>
      <c r="H593" s="210">
        <f>(H595*H596)/H589</f>
        <v/>
      </c>
      <c r="I593" s="9">
        <f>(I595*I596)/I589</f>
        <v/>
      </c>
      <c r="J593" s="33">
        <f>(J595*J596)/J589</f>
        <v/>
      </c>
      <c r="K593" s="171" t="n"/>
      <c r="L593" s="166" t="n"/>
    </row>
    <row r="594" ht="17.45" customHeight="1" s="2">
      <c r="A594" s="188" t="inlineStr">
        <is>
          <t>Productivity</t>
        </is>
      </c>
      <c r="B594" s="22">
        <f>B590/B596</f>
        <v/>
      </c>
      <c r="C594" s="9">
        <f>C590/C596</f>
        <v/>
      </c>
      <c r="D594" s="32">
        <f>D590/D596</f>
        <v/>
      </c>
      <c r="E594" s="22">
        <f>E590/E596</f>
        <v/>
      </c>
      <c r="F594" s="9">
        <f>F590/F596</f>
        <v/>
      </c>
      <c r="G594" s="32">
        <f>G590/G596</f>
        <v/>
      </c>
      <c r="H594" s="22">
        <f>H590/H596</f>
        <v/>
      </c>
      <c r="I594" s="9">
        <f>I590/I596</f>
        <v/>
      </c>
      <c r="J594" s="33">
        <f>J590/J596</f>
        <v/>
      </c>
      <c r="K594" s="171" t="n"/>
      <c r="L594" s="166" t="n"/>
    </row>
    <row r="595" ht="17.45" customHeight="1" s="2">
      <c r="A595" s="188" t="inlineStr">
        <is>
          <t>Average Hourly Rate</t>
        </is>
      </c>
      <c r="B595" s="10" t="n">
        <v>31.31</v>
      </c>
      <c r="C595" s="189" t="n">
        <v>45</v>
      </c>
      <c r="D595" s="32" t="n">
        <v>44.72</v>
      </c>
      <c r="E595" s="10" t="n">
        <v>31.97</v>
      </c>
      <c r="F595" s="189" t="n">
        <v>32</v>
      </c>
      <c r="G595" s="32" t="n">
        <v>34.42</v>
      </c>
      <c r="H595" s="10" t="n">
        <v>47.06</v>
      </c>
      <c r="I595" s="189" t="n">
        <v>32</v>
      </c>
      <c r="J595" s="33" t="n">
        <v>33.15</v>
      </c>
      <c r="K595" s="171" t="n"/>
      <c r="L595" s="166" t="n"/>
    </row>
    <row r="596" ht="17.45" customHeight="1" s="2">
      <c r="A596" s="188" t="inlineStr">
        <is>
          <t>Total hours for productivity</t>
        </is>
      </c>
      <c r="B596" s="10" t="n">
        <v>1367</v>
      </c>
      <c r="C596" s="189" t="n">
        <v>1754.5</v>
      </c>
      <c r="D596" s="32" t="n">
        <v>1840.5</v>
      </c>
      <c r="E596" s="10" t="n">
        <v>1470.5</v>
      </c>
      <c r="F596" s="189" t="n">
        <v>1442</v>
      </c>
      <c r="G596" s="32" t="n">
        <v>1484.5</v>
      </c>
      <c r="H596" s="10" t="n">
        <v>1809.75</v>
      </c>
      <c r="I596" s="189" t="n">
        <v>1514</v>
      </c>
      <c r="J596" s="33" t="n">
        <v>1589.25</v>
      </c>
      <c r="K596" s="171" t="n"/>
      <c r="L596" s="166" t="n"/>
    </row>
    <row r="597" ht="17.45" customHeight="1" s="2">
      <c r="A597" s="188" t="inlineStr">
        <is>
          <t>Training Hours used</t>
        </is>
      </c>
      <c r="B597" s="10" t="n">
        <v>49</v>
      </c>
      <c r="C597" s="189" t="n">
        <v>0</v>
      </c>
      <c r="D597" s="32" t="n"/>
      <c r="E597" s="10" t="n"/>
      <c r="F597" s="189" t="n">
        <v>50</v>
      </c>
      <c r="G597" s="32" t="n">
        <v>39.5</v>
      </c>
      <c r="H597" s="10" t="n">
        <v>0</v>
      </c>
      <c r="I597" s="189" t="n">
        <v>15</v>
      </c>
      <c r="J597" s="39" t="n">
        <v>15</v>
      </c>
      <c r="K597" s="186" t="n"/>
      <c r="L597" s="166" t="n"/>
    </row>
    <row r="598" ht="18" customHeight="1" s="2" thickBot="1">
      <c r="A598" s="193" t="inlineStr">
        <is>
          <t>Number of hours used to cover sick leave</t>
        </is>
      </c>
      <c r="B598" s="15" t="n">
        <v>17.5</v>
      </c>
      <c r="C598" s="14" t="n"/>
      <c r="D598" s="34" t="n"/>
      <c r="E598" s="15" t="n"/>
      <c r="F598" s="194" t="n"/>
      <c r="G598" s="34" t="n"/>
      <c r="H598" s="15" t="n"/>
      <c r="I598" s="194" t="n"/>
      <c r="J598" s="233" t="n"/>
      <c r="K598" s="186" t="n"/>
      <c r="L598" s="166" t="n"/>
    </row>
    <row r="599" ht="15.95" customHeight="1" s="2" thickBot="1">
      <c r="A599" s="195" t="inlineStr">
        <is>
          <t>Minimum HOURS</t>
        </is>
      </c>
      <c r="B599" s="196" t="inlineStr">
        <is>
          <t xml:space="preserve">Kitchen </t>
        </is>
      </c>
      <c r="C599" s="16" t="n">
        <v>914.5</v>
      </c>
      <c r="D599" s="35" t="n"/>
      <c r="E599" s="196" t="inlineStr">
        <is>
          <t xml:space="preserve">Kitchen </t>
        </is>
      </c>
      <c r="F599" s="16" t="n"/>
      <c r="G599" s="36" t="n"/>
      <c r="H599" s="196" t="inlineStr">
        <is>
          <t xml:space="preserve">Kitchen </t>
        </is>
      </c>
      <c r="I599" s="16" t="n"/>
      <c r="J599" s="35" t="n"/>
      <c r="K599" s="180" t="n"/>
      <c r="L599" s="166" t="n"/>
    </row>
    <row r="600" ht="15.95" customHeight="1" s="2" thickBot="1">
      <c r="A600" s="197" t="n"/>
      <c r="B600" s="198" t="inlineStr">
        <is>
          <t xml:space="preserve">Floor </t>
        </is>
      </c>
      <c r="C600" s="18" t="n">
        <v>828</v>
      </c>
      <c r="D600" s="35" t="n"/>
      <c r="E600" s="198" t="inlineStr">
        <is>
          <t xml:space="preserve">Floor </t>
        </is>
      </c>
      <c r="F600" s="18" t="n"/>
      <c r="G600" s="234" t="n"/>
      <c r="H600" s="198" t="inlineStr">
        <is>
          <t xml:space="preserve">Floor </t>
        </is>
      </c>
      <c r="I600" s="18" t="n"/>
      <c r="J600" s="35" t="n"/>
      <c r="K600" s="180" t="n"/>
      <c r="L600" s="166" t="n"/>
    </row>
    <row r="601" ht="15.95" customHeight="1" s="2" thickBot="1">
      <c r="A601" s="197" t="n"/>
      <c r="B601" s="199" t="inlineStr">
        <is>
          <t>TOTAL</t>
        </is>
      </c>
      <c r="C601" s="42">
        <f>SUM(C599:C600)</f>
        <v/>
      </c>
      <c r="D601" s="35">
        <f>SUM(D599:D600)</f>
        <v/>
      </c>
      <c r="E601" s="199" t="inlineStr">
        <is>
          <t>TOTAL</t>
        </is>
      </c>
      <c r="F601" s="42">
        <f>SUM(F599:F600)</f>
        <v/>
      </c>
      <c r="G601" s="35">
        <f>SUM(G599:G600)</f>
        <v/>
      </c>
      <c r="H601" s="199" t="inlineStr">
        <is>
          <t>TOTAL</t>
        </is>
      </c>
      <c r="I601" s="42">
        <f>SUM(I599:I600)</f>
        <v/>
      </c>
      <c r="J601" s="35">
        <f>SUM(J599:J600)</f>
        <v/>
      </c>
      <c r="K601" s="180" t="n"/>
      <c r="L601" s="166" t="n"/>
    </row>
    <row r="602" ht="15.6" customHeight="1" s="2">
      <c r="A602" s="166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166" t="n"/>
      <c r="L602" s="166" t="n"/>
    </row>
    <row r="603" ht="17.45" customHeight="1" s="2">
      <c r="A603" s="166" t="n"/>
      <c r="B603" s="166" t="n"/>
      <c r="C603" s="166" t="n"/>
      <c r="D603" s="166" t="n"/>
      <c r="E603" s="166" t="n"/>
      <c r="F603" s="202" t="inlineStr">
        <is>
          <t>Joyce ( Host T1 - T2 )</t>
        </is>
      </c>
      <c r="G603" s="202" t="n">
        <v>10</v>
      </c>
      <c r="H603" s="166" t="n"/>
      <c r="I603" s="202" t="inlineStr">
        <is>
          <t>Andy ( Pizza T1 - T 3 )</t>
        </is>
      </c>
      <c r="J603" s="202" t="n">
        <v>15</v>
      </c>
      <c r="K603" s="166" t="n"/>
      <c r="L603" s="166" t="n"/>
    </row>
    <row r="604" ht="17.45" customHeight="1" s="2">
      <c r="A604" s="166" t="n"/>
      <c r="B604" s="166" t="n"/>
      <c r="C604" s="166" t="n"/>
      <c r="D604" s="166" t="n"/>
      <c r="E604" s="166" t="n"/>
      <c r="F604" s="202" t="inlineStr">
        <is>
          <t>Renata ( COT1 - COT2 )</t>
        </is>
      </c>
      <c r="G604" s="202" t="n">
        <v>9.5</v>
      </c>
      <c r="H604" s="166" t="n"/>
      <c r="I604" s="166" t="n"/>
      <c r="J604" s="166" t="n"/>
      <c r="K604" s="166" t="n"/>
      <c r="L604" s="166" t="n"/>
    </row>
    <row r="605" ht="17.45" customHeight="1" s="2">
      <c r="A605" s="166" t="n"/>
      <c r="B605" s="166" t="n"/>
      <c r="C605" s="166" t="n"/>
      <c r="D605" s="166" t="n"/>
      <c r="E605" s="166" t="n"/>
      <c r="F605" s="202" t="inlineStr">
        <is>
          <t>Claire ( IND + T1-T4 )</t>
        </is>
      </c>
      <c r="G605" s="202" t="n">
        <v>20</v>
      </c>
      <c r="H605" s="166" t="n"/>
      <c r="I605" s="166" t="n"/>
      <c r="J605" s="166" t="n"/>
      <c r="K605" s="166" t="n"/>
      <c r="L605" s="166" t="n"/>
    </row>
    <row r="606" ht="15" customHeight="1" s="2">
      <c r="A606" s="166" t="n"/>
      <c r="B606" s="166" t="n"/>
      <c r="C606" s="166" t="n"/>
      <c r="D606" s="166" t="n"/>
      <c r="E606" s="166" t="n"/>
      <c r="F606" s="166" t="n"/>
      <c r="G606" s="166" t="n"/>
      <c r="H606" s="166" t="n"/>
      <c r="I606" s="166" t="n"/>
      <c r="J606" s="166" t="n"/>
      <c r="K606" s="166" t="n"/>
      <c r="L606" s="166" t="n"/>
    </row>
    <row r="607" ht="15" customHeight="1" s="2">
      <c r="A607" s="166" t="n"/>
      <c r="B607" s="166" t="n"/>
      <c r="C607" s="166" t="n"/>
      <c r="D607" s="166" t="n"/>
      <c r="E607" s="166" t="n"/>
      <c r="F607" s="166" t="n"/>
      <c r="G607" s="166" t="n"/>
      <c r="H607" s="166" t="n"/>
      <c r="I607" s="166" t="n"/>
      <c r="J607" s="166" t="n"/>
      <c r="K607" s="166" t="n"/>
      <c r="L607" s="166" t="n"/>
    </row>
    <row r="608" ht="15" customHeight="1" s="2">
      <c r="A608" s="166" t="n"/>
      <c r="B608" s="166" t="n"/>
      <c r="C608" s="166" t="n"/>
      <c r="D608" s="166" t="n"/>
      <c r="E608" s="166" t="n"/>
      <c r="F608" s="166" t="n"/>
      <c r="G608" s="166" t="n"/>
      <c r="H608" s="166" t="n"/>
      <c r="I608" s="166" t="n"/>
      <c r="J608" s="166" t="n"/>
      <c r="K608" s="166" t="n"/>
      <c r="L608" s="166" t="n"/>
    </row>
    <row r="609" ht="15" customHeight="1" s="2">
      <c r="A609" s="166" t="n"/>
      <c r="B609" s="168" t="n"/>
      <c r="C609" s="168" t="n"/>
      <c r="D609" s="166" t="n"/>
      <c r="E609" s="168" t="n"/>
      <c r="F609" s="168" t="n"/>
      <c r="G609" s="166" t="n"/>
      <c r="H609" s="168" t="n"/>
      <c r="I609" s="168" t="n"/>
      <c r="J609" s="166" t="n"/>
      <c r="K609" s="166" t="n"/>
      <c r="L609" s="166" t="n"/>
    </row>
    <row r="610" ht="18" customHeight="1" s="2" thickBot="1">
      <c r="A610" s="238" t="n"/>
      <c r="B610" s="222" t="n">
        <v>42849</v>
      </c>
      <c r="C610" s="235" t="n">
        <v>43213</v>
      </c>
      <c r="D610" s="236" t="n"/>
      <c r="E610" s="222" t="n">
        <v>42856</v>
      </c>
      <c r="F610" s="237" t="n">
        <v>43220</v>
      </c>
      <c r="G610" s="236" t="n"/>
      <c r="H610" s="222" t="n">
        <v>42863</v>
      </c>
      <c r="I610" s="237" t="n">
        <v>43227</v>
      </c>
      <c r="J610" s="223" t="n"/>
      <c r="K610" s="166" t="n"/>
      <c r="L610" s="166" t="n"/>
    </row>
    <row r="611" ht="17.85" customHeight="1" s="2" thickBot="1">
      <c r="A611" s="176" t="n"/>
      <c r="B611" s="177" t="inlineStr">
        <is>
          <t>Last Year</t>
        </is>
      </c>
      <c r="C611" s="178" t="inlineStr">
        <is>
          <t>Projected</t>
        </is>
      </c>
      <c r="D611" s="230" t="inlineStr">
        <is>
          <t>Actual</t>
        </is>
      </c>
      <c r="E611" s="177" t="inlineStr">
        <is>
          <t>Last Year</t>
        </is>
      </c>
      <c r="F611" s="178" t="inlineStr">
        <is>
          <t>Projected</t>
        </is>
      </c>
      <c r="G611" s="230" t="inlineStr">
        <is>
          <t>Actual</t>
        </is>
      </c>
      <c r="H611" s="177" t="inlineStr">
        <is>
          <t>Last Year</t>
        </is>
      </c>
      <c r="I611" s="178" t="inlineStr">
        <is>
          <t>Projected</t>
        </is>
      </c>
      <c r="J611" s="230" t="inlineStr">
        <is>
          <t>Actual</t>
        </is>
      </c>
      <c r="K611" s="180" t="n"/>
      <c r="L611" s="166" t="n"/>
    </row>
    <row r="612" ht="18" customHeight="1" s="2">
      <c r="A612" s="181" t="inlineStr">
        <is>
          <t>GROSS TOTAL</t>
        </is>
      </c>
      <c r="B612" s="184" t="n">
        <v>178334.9</v>
      </c>
      <c r="C612" s="184" t="n">
        <v>178885</v>
      </c>
      <c r="D612" s="184" t="n">
        <v>168334.63</v>
      </c>
      <c r="E612" s="184" t="n">
        <v>163293.52</v>
      </c>
      <c r="F612" s="184" t="n">
        <v>194807</v>
      </c>
      <c r="G612" s="184" t="n">
        <v>169461.73</v>
      </c>
      <c r="H612" s="184" t="n">
        <v>153539.05</v>
      </c>
      <c r="I612" s="184" t="n">
        <v>151678</v>
      </c>
      <c r="J612" s="185" t="n">
        <v>147118.01</v>
      </c>
      <c r="K612" s="186" t="n"/>
      <c r="L612" s="166" t="n"/>
    </row>
    <row r="613" ht="17.45" customHeight="1" s="2">
      <c r="A613" s="187" t="inlineStr">
        <is>
          <t>NETT  TOTAL</t>
        </is>
      </c>
      <c r="B613" s="22">
        <f>B612/1.1</f>
        <v/>
      </c>
      <c r="C613" s="9">
        <f>C612/1.1</f>
        <v/>
      </c>
      <c r="D613" s="32">
        <f>D612/1.1</f>
        <v/>
      </c>
      <c r="E613" s="22">
        <f>E612/1.1</f>
        <v/>
      </c>
      <c r="F613" s="9">
        <f>F612/1.1</f>
        <v/>
      </c>
      <c r="G613" s="32">
        <f>G612/1.1</f>
        <v/>
      </c>
      <c r="H613" s="22">
        <f>H612/1.1</f>
        <v/>
      </c>
      <c r="I613" s="9">
        <f>I612/1.1</f>
        <v/>
      </c>
      <c r="J613" s="39">
        <f>J612/1.1</f>
        <v/>
      </c>
      <c r="K613" s="186" t="n"/>
      <c r="L613" s="166" t="n"/>
    </row>
    <row r="614" ht="17.45" customHeight="1" s="2">
      <c r="A614" s="188" t="inlineStr">
        <is>
          <t>Customers</t>
        </is>
      </c>
      <c r="B614" s="10" t="n">
        <v>8241</v>
      </c>
      <c r="C614" s="10" t="n">
        <v>8515</v>
      </c>
      <c r="D614" s="10" t="n">
        <v>8388</v>
      </c>
      <c r="E614" s="10" t="n">
        <v>7494</v>
      </c>
      <c r="F614" s="10" t="n">
        <v>9170</v>
      </c>
      <c r="G614" s="10" t="n">
        <v>8160</v>
      </c>
      <c r="H614" s="10" t="n">
        <v>7439</v>
      </c>
      <c r="I614" s="10" t="n">
        <v>7370</v>
      </c>
      <c r="J614" s="11" t="n">
        <v>7010</v>
      </c>
      <c r="K614" s="171" t="n"/>
      <c r="L614" s="166" t="n"/>
    </row>
    <row r="615" ht="17.45" customHeight="1" s="2">
      <c r="A615" s="188" t="inlineStr">
        <is>
          <t>Average Customer Spend</t>
        </is>
      </c>
      <c r="B615" s="22">
        <f>B612/B614</f>
        <v/>
      </c>
      <c r="C615" s="9">
        <f>C612/C614</f>
        <v/>
      </c>
      <c r="D615" s="32">
        <f>D612/D614</f>
        <v/>
      </c>
      <c r="E615" s="22">
        <f>E612/E614</f>
        <v/>
      </c>
      <c r="F615" s="9">
        <f>F612/F614</f>
        <v/>
      </c>
      <c r="G615" s="32">
        <f>G612/G614</f>
        <v/>
      </c>
      <c r="H615" s="22">
        <f>H612/H614</f>
        <v/>
      </c>
      <c r="I615" s="9">
        <f>I612/I614</f>
        <v/>
      </c>
      <c r="J615" s="33">
        <f>J612/J614</f>
        <v/>
      </c>
      <c r="K615" s="171" t="n"/>
      <c r="L615" s="166" t="n"/>
    </row>
    <row r="616" ht="17.45" customHeight="1" s="2">
      <c r="A616" s="191" t="inlineStr">
        <is>
          <t>Wage % to Gross total</t>
        </is>
      </c>
      <c r="B616" s="210">
        <f>(B619*B620)/B612</f>
        <v/>
      </c>
      <c r="C616" s="9">
        <f>(C619*C620)/C612</f>
        <v/>
      </c>
      <c r="D616" s="39">
        <f>(D619*D620)/D612</f>
        <v/>
      </c>
      <c r="E616" s="210">
        <f>(E619*E620)/E612</f>
        <v/>
      </c>
      <c r="F616" s="9">
        <f>(F619*F620)/F612</f>
        <v/>
      </c>
      <c r="G616" s="39">
        <f>(G619*G620)/G612</f>
        <v/>
      </c>
      <c r="H616" s="210">
        <f>(H619*H620)/H612</f>
        <v/>
      </c>
      <c r="I616" s="9">
        <f>(I619*I620)/I612</f>
        <v/>
      </c>
      <c r="J616" s="33">
        <f>(J619*J620)/J612</f>
        <v/>
      </c>
      <c r="K616" s="171" t="n"/>
      <c r="L616" s="166" t="n"/>
    </row>
    <row r="617" ht="17.45" customHeight="1" s="2">
      <c r="A617" s="191" t="inlineStr">
        <is>
          <t>Wage % to Nett Total</t>
        </is>
      </c>
      <c r="B617" s="210">
        <f>(B619*B620)/B613</f>
        <v/>
      </c>
      <c r="C617" s="9">
        <f>(C619*C620)/C613</f>
        <v/>
      </c>
      <c r="D617" s="39">
        <f>(D619*D620)/D613</f>
        <v/>
      </c>
      <c r="E617" s="210">
        <f>(E619*E620)/E613</f>
        <v/>
      </c>
      <c r="F617" s="9">
        <f>(F619*F620)/F613</f>
        <v/>
      </c>
      <c r="G617" s="39">
        <f>(G619*G620)/G613</f>
        <v/>
      </c>
      <c r="H617" s="210">
        <f>(H619*H620)/H613</f>
        <v/>
      </c>
      <c r="I617" s="9">
        <f>(I619*I620)/I613</f>
        <v/>
      </c>
      <c r="J617" s="33">
        <f>(J619*J620)/J613</f>
        <v/>
      </c>
      <c r="K617" s="171" t="n"/>
      <c r="L617" s="166" t="n"/>
    </row>
    <row r="618" ht="17.45" customHeight="1" s="2">
      <c r="A618" s="188" t="inlineStr">
        <is>
          <t>Productivity</t>
        </is>
      </c>
      <c r="B618" s="22">
        <f>B614/B620</f>
        <v/>
      </c>
      <c r="C618" s="9">
        <f>C614/C620</f>
        <v/>
      </c>
      <c r="D618" s="32">
        <f>D614/D620</f>
        <v/>
      </c>
      <c r="E618" s="22">
        <f>E614/E620</f>
        <v/>
      </c>
      <c r="F618" s="9">
        <f>F614/F620</f>
        <v/>
      </c>
      <c r="G618" s="32">
        <f>G614/G620</f>
        <v/>
      </c>
      <c r="H618" s="22">
        <f>H614/H620</f>
        <v/>
      </c>
      <c r="I618" s="9">
        <f>I614/I620</f>
        <v/>
      </c>
      <c r="J618" s="33">
        <f>J614/J620</f>
        <v/>
      </c>
      <c r="K618" s="171" t="n"/>
      <c r="L618" s="166" t="n"/>
    </row>
    <row r="619" ht="17.45" customHeight="1" s="2">
      <c r="A619" s="188" t="inlineStr">
        <is>
          <t>Average Hourly Rate</t>
        </is>
      </c>
      <c r="B619" s="10" t="n">
        <v>32.34</v>
      </c>
      <c r="C619" s="189" t="n">
        <v>32</v>
      </c>
      <c r="D619" s="32" t="n">
        <v>33.94</v>
      </c>
      <c r="E619" s="10" t="n">
        <v>36.91</v>
      </c>
      <c r="F619" s="189" t="n">
        <v>34</v>
      </c>
      <c r="G619" s="32" t="n">
        <v>38.63</v>
      </c>
      <c r="H619" s="10" t="n">
        <v>32.31</v>
      </c>
      <c r="I619" s="189" t="n">
        <v>32</v>
      </c>
      <c r="J619" s="33" t="n">
        <v>35.01</v>
      </c>
      <c r="K619" s="171" t="n"/>
      <c r="L619" s="166" t="n"/>
    </row>
    <row r="620" ht="17.45" customHeight="1" s="2">
      <c r="A620" s="188" t="inlineStr">
        <is>
          <t>Total hours for productivity</t>
        </is>
      </c>
      <c r="B620" s="10" t="n">
        <v>1591.5</v>
      </c>
      <c r="C620" s="189" t="n">
        <v>1648.5</v>
      </c>
      <c r="D620" s="32" t="n">
        <v>1632.5</v>
      </c>
      <c r="E620" s="10" t="n">
        <v>1611.25</v>
      </c>
      <c r="F620" s="189" t="n">
        <v>1727</v>
      </c>
      <c r="G620" s="32" t="n">
        <v>1675.25</v>
      </c>
      <c r="H620" s="10" t="n">
        <v>1461.5</v>
      </c>
      <c r="I620" s="189" t="n">
        <v>1476</v>
      </c>
      <c r="J620" s="33" t="n">
        <v>1526.75</v>
      </c>
      <c r="K620" s="171" t="n"/>
      <c r="L620" s="166" t="n"/>
    </row>
    <row r="621" ht="17.45" customHeight="1" s="2">
      <c r="A621" s="188" t="inlineStr">
        <is>
          <t>Training Hours used</t>
        </is>
      </c>
      <c r="B621" s="10" t="n"/>
      <c r="C621" s="189" t="n"/>
      <c r="D621" s="32" t="n">
        <v>17.5</v>
      </c>
      <c r="E621" s="10" t="n">
        <v>0</v>
      </c>
      <c r="F621" s="189" t="n">
        <v>32.5</v>
      </c>
      <c r="G621" s="32" t="n">
        <v>32.5</v>
      </c>
      <c r="H621" s="10" t="n">
        <v>96</v>
      </c>
      <c r="I621" s="189" t="n">
        <v>25</v>
      </c>
      <c r="J621" s="39" t="n">
        <v>115</v>
      </c>
      <c r="K621" s="186" t="n"/>
      <c r="L621" s="166" t="n"/>
    </row>
    <row r="622" ht="18" customHeight="1" s="2" thickBot="1">
      <c r="A622" s="193" t="inlineStr">
        <is>
          <t>Number of hours used to cover sick leave</t>
        </is>
      </c>
      <c r="B622" s="15" t="n"/>
      <c r="C622" s="14" t="n"/>
      <c r="D622" s="34" t="n"/>
      <c r="E622" s="15" t="n">
        <v>118</v>
      </c>
      <c r="F622" s="194" t="n"/>
      <c r="G622" s="34" t="n"/>
      <c r="H622" s="15" t="n"/>
      <c r="I622" s="194" t="n"/>
      <c r="J622" s="233" t="n"/>
      <c r="K622" s="186" t="n"/>
      <c r="L622" s="166" t="n"/>
    </row>
    <row r="623" ht="15.95" customHeight="1" s="2" thickBot="1">
      <c r="A623" s="195" t="inlineStr">
        <is>
          <t>Minimum HOURS</t>
        </is>
      </c>
      <c r="B623" s="196" t="inlineStr">
        <is>
          <t xml:space="preserve">Kitchen </t>
        </is>
      </c>
      <c r="C623" s="16" t="n">
        <v>914.5</v>
      </c>
      <c r="D623" s="35" t="n">
        <v>558.5</v>
      </c>
      <c r="E623" s="196" t="inlineStr">
        <is>
          <t xml:space="preserve">Kitchen </t>
        </is>
      </c>
      <c r="F623" s="16" t="n">
        <v>568.5</v>
      </c>
      <c r="G623" s="36" t="n"/>
      <c r="H623" s="196" t="inlineStr">
        <is>
          <t xml:space="preserve">Kitchen </t>
        </is>
      </c>
      <c r="I623" s="16" t="n"/>
      <c r="J623" s="35" t="n"/>
      <c r="K623" s="180" t="n"/>
      <c r="L623" s="166" t="n"/>
    </row>
    <row r="624" ht="15.95" customHeight="1" s="2" thickBot="1">
      <c r="A624" s="197" t="n"/>
      <c r="B624" s="198" t="inlineStr">
        <is>
          <t xml:space="preserve">Floor </t>
        </is>
      </c>
      <c r="C624" s="18" t="n">
        <v>828</v>
      </c>
      <c r="D624" s="35" t="n">
        <v>865</v>
      </c>
      <c r="E624" s="198" t="inlineStr">
        <is>
          <t xml:space="preserve">Floor </t>
        </is>
      </c>
      <c r="F624" s="18" t="n">
        <v>860</v>
      </c>
      <c r="G624" s="234" t="n"/>
      <c r="H624" s="198" t="inlineStr">
        <is>
          <t xml:space="preserve">Floor </t>
        </is>
      </c>
      <c r="I624" s="18" t="n"/>
      <c r="J624" s="35" t="n"/>
      <c r="K624" s="180" t="n"/>
      <c r="L624" s="166" t="n"/>
    </row>
    <row r="625" ht="15.95" customHeight="1" s="2" thickBot="1">
      <c r="A625" s="197" t="n"/>
      <c r="B625" s="199" t="inlineStr">
        <is>
          <t>TOTAL</t>
        </is>
      </c>
      <c r="C625" s="42">
        <f>SUM(C623:C624)</f>
        <v/>
      </c>
      <c r="D625" s="35">
        <f>SUM(D623:D624)</f>
        <v/>
      </c>
      <c r="E625" s="199" t="inlineStr">
        <is>
          <t>TOTAL</t>
        </is>
      </c>
      <c r="F625" s="42">
        <f>SUM(F623:F624)</f>
        <v/>
      </c>
      <c r="G625" s="35">
        <f>SUM(G623:G624)</f>
        <v/>
      </c>
      <c r="H625" s="199" t="inlineStr">
        <is>
          <t>TOTAL</t>
        </is>
      </c>
      <c r="I625" s="42">
        <f>SUM(I623:I624)</f>
        <v/>
      </c>
      <c r="J625" s="35">
        <f>SUM(J623:J624)</f>
        <v/>
      </c>
      <c r="K625" s="180" t="n"/>
      <c r="L625" s="166" t="n"/>
    </row>
    <row r="626" ht="15.6" customHeight="1" s="2">
      <c r="A626" s="166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166" t="n"/>
      <c r="L626" s="166" t="n"/>
    </row>
    <row r="627" ht="17.45" customHeight="1" s="2">
      <c r="A627" s="166" t="n"/>
      <c r="B627" s="166" t="n"/>
      <c r="C627" s="202" t="inlineStr">
        <is>
          <t>Joyce ( Bar T1-T3 )</t>
        </is>
      </c>
      <c r="D627" s="202" t="n">
        <v>17.5</v>
      </c>
      <c r="E627" s="202" t="inlineStr">
        <is>
          <t>Luiz ( Host T1-T3 )</t>
        </is>
      </c>
      <c r="F627" s="202" t="n">
        <v>15</v>
      </c>
      <c r="G627" s="166" t="n"/>
      <c r="H627" s="166" t="n"/>
      <c r="I627" s="202" t="inlineStr">
        <is>
          <t>Nikita ( COT T1 - T3 )</t>
        </is>
      </c>
      <c r="J627" s="202" t="n">
        <v>15</v>
      </c>
      <c r="K627" s="166" t="n"/>
      <c r="L627" s="166" t="n"/>
    </row>
    <row r="628" ht="17.45" customHeight="1" s="2">
      <c r="A628" s="166" t="n"/>
      <c r="B628" s="166" t="n"/>
      <c r="C628" s="166" t="n"/>
      <c r="D628" s="166" t="n"/>
      <c r="E628" s="202" t="inlineStr">
        <is>
          <t>Arpit ( Host T1 - T3 )</t>
        </is>
      </c>
      <c r="F628" s="202" t="n">
        <v>17.5</v>
      </c>
      <c r="G628" s="166" t="n"/>
      <c r="H628" s="166" t="n"/>
      <c r="I628" s="202" t="inlineStr">
        <is>
          <t>John ( IND + Grill T1- T3 )</t>
        </is>
      </c>
      <c r="J628" s="202" t="n">
        <v>23</v>
      </c>
      <c r="K628" s="166" t="n"/>
      <c r="L628" s="166" t="n"/>
    </row>
    <row r="629" ht="17.45" customHeight="1" s="2">
      <c r="A629" s="166" t="n"/>
      <c r="B629" s="166" t="n"/>
      <c r="C629" s="166" t="n"/>
      <c r="D629" s="166" t="n"/>
      <c r="E629" s="166" t="n"/>
      <c r="F629" s="166" t="n"/>
      <c r="G629" s="166" t="n"/>
      <c r="H629" s="166" t="n"/>
      <c r="I629" s="202" t="inlineStr">
        <is>
          <t>Michelle ( IND + Grill T1 - T3 )</t>
        </is>
      </c>
      <c r="J629" s="202" t="n">
        <v>23</v>
      </c>
      <c r="K629" s="166" t="n"/>
      <c r="L629" s="166" t="n"/>
    </row>
    <row r="630" ht="17.45" customHeight="1" s="2">
      <c r="A630" s="166" t="n"/>
      <c r="B630" s="166" t="n"/>
      <c r="C630" s="166" t="n"/>
      <c r="D630" s="166" t="n"/>
      <c r="E630" s="166" t="n"/>
      <c r="F630" s="166" t="n"/>
      <c r="G630" s="166" t="n"/>
      <c r="H630" s="166" t="n"/>
      <c r="I630" s="202" t="inlineStr">
        <is>
          <t>Soumitra ( IND + Scocking T1-T3 )</t>
        </is>
      </c>
      <c r="J630" s="202" t="n">
        <v>18</v>
      </c>
      <c r="K630" s="166" t="n"/>
      <c r="L630" s="166" t="n"/>
    </row>
    <row r="631" ht="17.45" customHeight="1" s="2">
      <c r="A631" s="166" t="n"/>
      <c r="B631" s="166" t="n"/>
      <c r="C631" s="166" t="n"/>
      <c r="D631" s="166" t="n"/>
      <c r="E631" s="166" t="n"/>
      <c r="F631" s="166" t="n"/>
      <c r="G631" s="166" t="n"/>
      <c r="H631" s="166" t="n"/>
      <c r="I631" s="202" t="inlineStr">
        <is>
          <t>Trung Nguyen ( IND + Grill T1-T3 )</t>
        </is>
      </c>
      <c r="J631" s="202" t="n">
        <v>18</v>
      </c>
      <c r="K631" s="166" t="n"/>
      <c r="L631" s="166" t="n"/>
    </row>
    <row r="632" ht="17.45" customHeight="1" s="2">
      <c r="A632" s="166" t="n"/>
      <c r="B632" s="166" t="n"/>
      <c r="C632" s="166" t="n"/>
      <c r="D632" s="166" t="n"/>
      <c r="E632" s="166" t="n"/>
      <c r="F632" s="166" t="n"/>
      <c r="G632" s="166" t="n"/>
      <c r="H632" s="166" t="n"/>
      <c r="I632" s="202" t="inlineStr">
        <is>
          <t>Pukar ( IND + Pizza T1-T3 )</t>
        </is>
      </c>
      <c r="J632" s="202" t="n">
        <v>18</v>
      </c>
      <c r="K632" s="166" t="n"/>
      <c r="L632" s="166" t="n"/>
    </row>
    <row r="633" ht="15" customHeight="1" s="2">
      <c r="A633" s="166" t="n"/>
      <c r="B633" s="166" t="n"/>
      <c r="C633" s="166" t="n"/>
      <c r="D633" s="166" t="n"/>
      <c r="E633" s="166" t="n"/>
      <c r="F633" s="166" t="n"/>
      <c r="G633" s="166" t="n"/>
      <c r="H633" s="166" t="n"/>
      <c r="I633" s="166" t="n"/>
      <c r="J633" s="166" t="n"/>
      <c r="K633" s="166" t="n"/>
      <c r="L633" s="166" t="n"/>
    </row>
    <row r="634" ht="15" customHeight="1" s="2">
      <c r="A634" s="166" t="n"/>
      <c r="B634" s="166" t="n"/>
      <c r="C634" s="166" t="n"/>
      <c r="D634" s="166" t="n"/>
      <c r="E634" s="166" t="n"/>
      <c r="F634" s="166" t="n"/>
      <c r="G634" s="166" t="n"/>
      <c r="H634" s="166" t="n"/>
      <c r="I634" s="166" t="n"/>
      <c r="J634" s="166" t="n"/>
      <c r="K634" s="166" t="n"/>
      <c r="L634" s="166" t="n"/>
    </row>
    <row r="635" ht="15" customHeight="1" s="2">
      <c r="A635" s="166" t="n"/>
      <c r="B635" s="166" t="n"/>
      <c r="C635" s="166" t="n"/>
      <c r="D635" s="166" t="n"/>
      <c r="E635" s="166" t="n"/>
      <c r="F635" s="166" t="n"/>
      <c r="G635" s="166" t="n"/>
      <c r="H635" s="166" t="n"/>
      <c r="I635" s="166" t="n"/>
      <c r="J635" s="166" t="n"/>
      <c r="K635" s="166" t="n"/>
      <c r="L635" s="166" t="n"/>
    </row>
    <row r="636" ht="15" customHeight="1" s="2">
      <c r="A636" s="166" t="n"/>
      <c r="B636" s="166" t="n"/>
      <c r="C636" s="166" t="n"/>
      <c r="D636" s="166" t="n"/>
      <c r="E636" s="166" t="n"/>
      <c r="F636" s="166" t="n"/>
      <c r="G636" s="166" t="n"/>
      <c r="H636" s="166" t="n"/>
      <c r="I636" s="166" t="n"/>
      <c r="J636" s="166" t="n"/>
      <c r="K636" s="166" t="n"/>
      <c r="L636" s="166" t="n"/>
    </row>
    <row r="637" ht="15" customHeight="1" s="2">
      <c r="A637" s="166" t="n"/>
      <c r="B637" s="168" t="n"/>
      <c r="C637" s="168" t="n"/>
      <c r="D637" s="166" t="n"/>
      <c r="E637" s="168" t="n"/>
      <c r="F637" s="168" t="n"/>
      <c r="G637" s="166" t="n"/>
      <c r="H637" s="168" t="n"/>
      <c r="I637" s="168" t="n"/>
      <c r="J637" s="166" t="n"/>
      <c r="K637" s="166" t="n"/>
      <c r="L637" s="166" t="n"/>
    </row>
    <row r="638" ht="18" customHeight="1" s="2" thickBot="1">
      <c r="A638" s="238" t="n"/>
      <c r="B638" s="222" t="n">
        <v>42870</v>
      </c>
      <c r="C638" s="235" t="n">
        <v>43234</v>
      </c>
      <c r="D638" s="236" t="n"/>
      <c r="E638" s="222" t="n">
        <v>42877</v>
      </c>
      <c r="F638" s="237" t="n">
        <v>43241</v>
      </c>
      <c r="G638" s="236" t="n"/>
      <c r="H638" s="222" t="n">
        <v>42884</v>
      </c>
      <c r="I638" s="237" t="n">
        <v>43248</v>
      </c>
      <c r="J638" s="223" t="n"/>
      <c r="K638" s="166" t="n"/>
      <c r="L638" s="166" t="n"/>
    </row>
    <row r="639" ht="17.85" customHeight="1" s="2" thickBot="1">
      <c r="A639" s="176" t="n"/>
      <c r="B639" s="177" t="inlineStr">
        <is>
          <t>Last Year</t>
        </is>
      </c>
      <c r="C639" s="178" t="inlineStr">
        <is>
          <t>Projected</t>
        </is>
      </c>
      <c r="D639" s="230" t="inlineStr">
        <is>
          <t>Actual</t>
        </is>
      </c>
      <c r="E639" s="177" t="inlineStr">
        <is>
          <t>Last Year</t>
        </is>
      </c>
      <c r="F639" s="178" t="inlineStr">
        <is>
          <t>Projected</t>
        </is>
      </c>
      <c r="G639" s="230" t="inlineStr">
        <is>
          <t>Actual</t>
        </is>
      </c>
      <c r="H639" s="177" t="inlineStr">
        <is>
          <t>Last Year</t>
        </is>
      </c>
      <c r="I639" s="178" t="inlineStr">
        <is>
          <t>Projected</t>
        </is>
      </c>
      <c r="J639" s="230" t="inlineStr">
        <is>
          <t>Actual</t>
        </is>
      </c>
      <c r="K639" s="180" t="n"/>
      <c r="L639" s="166" t="n"/>
    </row>
    <row r="640" ht="18" customHeight="1" s="2">
      <c r="A640" s="181" t="inlineStr">
        <is>
          <t>GROSS TOTAL</t>
        </is>
      </c>
      <c r="B640" s="184" t="n">
        <v>141398</v>
      </c>
      <c r="C640" s="184" t="n">
        <v>145552</v>
      </c>
      <c r="D640" s="184" t="n">
        <v>124312.03</v>
      </c>
      <c r="E640" s="184" t="n">
        <v>132686.75</v>
      </c>
      <c r="F640" s="184" t="n">
        <v>139780</v>
      </c>
      <c r="G640" s="184" t="n">
        <v>133882.7</v>
      </c>
      <c r="H640" s="184" t="n">
        <v>178937.72</v>
      </c>
      <c r="I640" s="184" t="n">
        <v>174864</v>
      </c>
      <c r="J640" s="185" t="n">
        <v>173465.18</v>
      </c>
      <c r="K640" s="186" t="n"/>
      <c r="L640" s="166" t="n"/>
    </row>
    <row r="641" ht="17.45" customHeight="1" s="2">
      <c r="A641" s="187" t="inlineStr">
        <is>
          <t>NETT  TOTAL</t>
        </is>
      </c>
      <c r="B641" s="22">
        <f>B640/1.1</f>
        <v/>
      </c>
      <c r="C641" s="9">
        <f>C640/1.1</f>
        <v/>
      </c>
      <c r="D641" s="32">
        <f>D640/1.1</f>
        <v/>
      </c>
      <c r="E641" s="22">
        <f>E640/1.1</f>
        <v/>
      </c>
      <c r="F641" s="9">
        <f>F640/1.1</f>
        <v/>
      </c>
      <c r="G641" s="32">
        <f>G640/1.1</f>
        <v/>
      </c>
      <c r="H641" s="22">
        <f>H640/1.1</f>
        <v/>
      </c>
      <c r="I641" s="9">
        <f>I640/1.1</f>
        <v/>
      </c>
      <c r="J641" s="39">
        <f>J640/1.1</f>
        <v/>
      </c>
      <c r="K641" s="186" t="n"/>
      <c r="L641" s="166" t="n"/>
    </row>
    <row r="642" ht="17.45" customHeight="1" s="2">
      <c r="A642" s="188" t="inlineStr">
        <is>
          <t>Customers</t>
        </is>
      </c>
      <c r="B642" s="10" t="n">
        <v>6788</v>
      </c>
      <c r="C642" s="10" t="n">
        <v>7120</v>
      </c>
      <c r="D642" s="10" t="n">
        <v>6086</v>
      </c>
      <c r="E642" s="10" t="n">
        <v>6487</v>
      </c>
      <c r="F642" s="10" t="n">
        <v>6910</v>
      </c>
      <c r="G642" s="10" t="n">
        <v>6404</v>
      </c>
      <c r="H642" s="10" t="n">
        <v>8545</v>
      </c>
      <c r="I642" s="10" t="n">
        <v>8525</v>
      </c>
      <c r="J642" s="11" t="n">
        <v>8435</v>
      </c>
      <c r="K642" s="171" t="n"/>
      <c r="L642" s="166" t="n"/>
    </row>
    <row r="643" ht="17.45" customHeight="1" s="2">
      <c r="A643" s="188" t="inlineStr">
        <is>
          <t>Average Customer Spend</t>
        </is>
      </c>
      <c r="B643" s="22">
        <f>B640/B642</f>
        <v/>
      </c>
      <c r="C643" s="9">
        <f>C640/C642</f>
        <v/>
      </c>
      <c r="D643" s="32">
        <f>D640/D642</f>
        <v/>
      </c>
      <c r="E643" s="22">
        <f>E640/E642</f>
        <v/>
      </c>
      <c r="F643" s="9">
        <f>F640/F642</f>
        <v/>
      </c>
      <c r="G643" s="32">
        <f>G640/G642</f>
        <v/>
      </c>
      <c r="H643" s="22">
        <f>H640/H642</f>
        <v/>
      </c>
      <c r="I643" s="9">
        <f>I640/I642</f>
        <v/>
      </c>
      <c r="J643" s="33">
        <f>J640/J642</f>
        <v/>
      </c>
      <c r="K643" s="171" t="n"/>
      <c r="L643" s="166" t="n"/>
    </row>
    <row r="644" ht="17.45" customHeight="1" s="2">
      <c r="A644" s="191" t="inlineStr">
        <is>
          <t>Wage % to Gross total</t>
        </is>
      </c>
      <c r="B644" s="210">
        <f>(B647*B648)/B640</f>
        <v/>
      </c>
      <c r="C644" s="9">
        <f>(C647*C648)/C640</f>
        <v/>
      </c>
      <c r="D644" s="39">
        <f>(D647*D648)/D640</f>
        <v/>
      </c>
      <c r="E644" s="210">
        <f>(E647*E648)/E640</f>
        <v/>
      </c>
      <c r="F644" s="9">
        <f>(F647*F648)/F640</f>
        <v/>
      </c>
      <c r="G644" s="39">
        <f>(G647*G648)/G640</f>
        <v/>
      </c>
      <c r="H644" s="210">
        <f>(H647*H648)/H640</f>
        <v/>
      </c>
      <c r="I644" s="9">
        <f>(I647*I648)/I640</f>
        <v/>
      </c>
      <c r="J644" s="33">
        <f>(J647*J648)/J640</f>
        <v/>
      </c>
      <c r="K644" s="171" t="n"/>
      <c r="L644" s="166" t="n"/>
    </row>
    <row r="645" ht="17.45" customHeight="1" s="2">
      <c r="A645" s="191" t="inlineStr">
        <is>
          <t>Wage % to Nett Total</t>
        </is>
      </c>
      <c r="B645" s="210">
        <f>(B647*B648)/B641</f>
        <v/>
      </c>
      <c r="C645" s="9">
        <f>(C647*C648)/C641</f>
        <v/>
      </c>
      <c r="D645" s="39">
        <f>(D647*D648)/D641</f>
        <v/>
      </c>
      <c r="E645" s="210">
        <f>(E647*E648)/E641</f>
        <v/>
      </c>
      <c r="F645" s="9">
        <f>(F647*F648)/F641</f>
        <v/>
      </c>
      <c r="G645" s="39">
        <f>(G647*G648)/G641</f>
        <v/>
      </c>
      <c r="H645" s="210">
        <f>(H647*H648)/H641</f>
        <v/>
      </c>
      <c r="I645" s="9">
        <f>(I647*I648)/I641</f>
        <v/>
      </c>
      <c r="J645" s="33">
        <f>(J647*J648)/J641</f>
        <v/>
      </c>
      <c r="K645" s="171" t="n"/>
      <c r="L645" s="166" t="n"/>
    </row>
    <row r="646" ht="17.45" customHeight="1" s="2">
      <c r="A646" s="188" t="inlineStr">
        <is>
          <t>Productivity</t>
        </is>
      </c>
      <c r="B646" s="22">
        <f>B642/B648</f>
        <v/>
      </c>
      <c r="C646" s="9">
        <f>C642/C648</f>
        <v/>
      </c>
      <c r="D646" s="32">
        <f>D642/D648</f>
        <v/>
      </c>
      <c r="E646" s="22">
        <f>E642/E648</f>
        <v/>
      </c>
      <c r="F646" s="9">
        <f>F642/F648</f>
        <v/>
      </c>
      <c r="G646" s="32">
        <f>G642/G648</f>
        <v/>
      </c>
      <c r="H646" s="22">
        <f>H642/H648</f>
        <v/>
      </c>
      <c r="I646" s="9">
        <f>I642/I648</f>
        <v/>
      </c>
      <c r="J646" s="33">
        <f>J642/J648</f>
        <v/>
      </c>
      <c r="K646" s="171" t="n"/>
      <c r="L646" s="166" t="n"/>
    </row>
    <row r="647" ht="17.45" customHeight="1" s="2">
      <c r="A647" s="188" t="inlineStr">
        <is>
          <t>Average Hourly Rate</t>
        </is>
      </c>
      <c r="B647" s="10" t="n">
        <v>32.47</v>
      </c>
      <c r="C647" s="189" t="n">
        <v>32</v>
      </c>
      <c r="D647" s="32" t="n">
        <v>35.57</v>
      </c>
      <c r="E647" s="10" t="n">
        <v>31.84</v>
      </c>
      <c r="F647" s="189" t="n">
        <v>32</v>
      </c>
      <c r="G647" s="32" t="n">
        <v>34.51</v>
      </c>
      <c r="H647" s="10" t="n">
        <v>31.13</v>
      </c>
      <c r="I647" s="189" t="n">
        <v>32</v>
      </c>
      <c r="J647" s="33" t="n">
        <v>33.74</v>
      </c>
      <c r="K647" s="171" t="n"/>
      <c r="L647" s="166" t="n"/>
    </row>
    <row r="648" ht="17.45" customHeight="1" s="2">
      <c r="A648" s="188" t="inlineStr">
        <is>
          <t>Total hours for productivity</t>
        </is>
      </c>
      <c r="B648" s="10" t="n">
        <v>1393</v>
      </c>
      <c r="C648" s="189" t="n">
        <v>1463.5</v>
      </c>
      <c r="D648" s="32" t="n">
        <v>1459.75</v>
      </c>
      <c r="E648" s="10" t="n">
        <v>1433.5</v>
      </c>
      <c r="F648" s="189" t="n">
        <v>1438</v>
      </c>
      <c r="G648" s="32" t="n">
        <v>1413.75</v>
      </c>
      <c r="H648" s="10" t="n">
        <v>1648.5</v>
      </c>
      <c r="I648" s="189" t="n">
        <v>1641</v>
      </c>
      <c r="J648" s="33" t="n">
        <v>1619.75</v>
      </c>
      <c r="K648" s="171" t="n"/>
      <c r="L648" s="166" t="n"/>
    </row>
    <row r="649" ht="17.45" customHeight="1" s="2">
      <c r="A649" s="188" t="inlineStr">
        <is>
          <t>Training Hours used</t>
        </is>
      </c>
      <c r="B649" s="10" t="n">
        <v>73</v>
      </c>
      <c r="C649" s="189" t="n">
        <v>55</v>
      </c>
      <c r="D649" s="32" t="n">
        <v>55</v>
      </c>
      <c r="E649" s="10" t="n">
        <v>0</v>
      </c>
      <c r="F649" s="189" t="n">
        <v>20</v>
      </c>
      <c r="G649" s="32" t="n"/>
      <c r="H649" s="10" t="n"/>
      <c r="I649" s="189" t="n"/>
      <c r="J649" s="39" t="n">
        <v>46</v>
      </c>
      <c r="K649" s="186" t="n"/>
      <c r="L649" s="166" t="n"/>
    </row>
    <row r="650" ht="18" customHeight="1" s="2" thickBot="1">
      <c r="A650" s="193" t="inlineStr">
        <is>
          <t>Number of hours used to cover sick leave</t>
        </is>
      </c>
      <c r="B650" s="15" t="n">
        <v>40</v>
      </c>
      <c r="C650" s="14" t="n"/>
      <c r="D650" s="34" t="n">
        <v>89</v>
      </c>
      <c r="E650" s="15" t="n">
        <v>57</v>
      </c>
      <c r="F650" s="194" t="n"/>
      <c r="G650" s="34" t="n"/>
      <c r="H650" s="15" t="n"/>
      <c r="I650" s="194" t="n"/>
      <c r="J650" s="233" t="n"/>
      <c r="K650" s="186" t="n"/>
      <c r="L650" s="166" t="n"/>
    </row>
    <row r="651" ht="15.95" customHeight="1" s="2" thickBot="1">
      <c r="A651" s="195" t="inlineStr">
        <is>
          <t>Minimum HOURS</t>
        </is>
      </c>
      <c r="B651" s="196" t="inlineStr">
        <is>
          <t xml:space="preserve">Kitchen </t>
        </is>
      </c>
      <c r="C651" s="16" t="n"/>
      <c r="D651" s="35" t="n">
        <v>558.5</v>
      </c>
      <c r="E651" s="196" t="inlineStr">
        <is>
          <t xml:space="preserve">Kitchen </t>
        </is>
      </c>
      <c r="F651" s="16" t="n">
        <v>585</v>
      </c>
      <c r="G651" s="36" t="n"/>
      <c r="H651" s="196" t="inlineStr">
        <is>
          <t xml:space="preserve">Kitchen </t>
        </is>
      </c>
      <c r="I651" s="16" t="n"/>
      <c r="J651" s="35" t="n"/>
      <c r="K651" s="180" t="n"/>
      <c r="L651" s="166" t="n"/>
    </row>
    <row r="652" ht="15.95" customHeight="1" s="2" thickBot="1">
      <c r="A652" s="197" t="n"/>
      <c r="B652" s="198" t="inlineStr">
        <is>
          <t xml:space="preserve">Floor </t>
        </is>
      </c>
      <c r="C652" s="18" t="n"/>
      <c r="D652" s="35" t="n">
        <v>865</v>
      </c>
      <c r="E652" s="198" t="inlineStr">
        <is>
          <t xml:space="preserve">Floor </t>
        </is>
      </c>
      <c r="F652" s="18" t="n">
        <v>805</v>
      </c>
      <c r="G652" s="234" t="n"/>
      <c r="H652" s="198" t="inlineStr">
        <is>
          <t xml:space="preserve">Floor </t>
        </is>
      </c>
      <c r="I652" s="18" t="n"/>
      <c r="J652" s="35" t="n"/>
      <c r="K652" s="180" t="n"/>
      <c r="L652" s="166" t="n"/>
    </row>
    <row r="653" ht="15.95" customHeight="1" s="2" thickBot="1">
      <c r="A653" s="197" t="n"/>
      <c r="B653" s="199" t="inlineStr">
        <is>
          <t>TOTAL</t>
        </is>
      </c>
      <c r="C653" s="42">
        <f>SUM(C651:C652)</f>
        <v/>
      </c>
      <c r="D653" s="35">
        <f>SUM(D651:D652)</f>
        <v/>
      </c>
      <c r="E653" s="199" t="inlineStr">
        <is>
          <t>TOTAL</t>
        </is>
      </c>
      <c r="F653" s="42">
        <f>SUM(F651:F652)</f>
        <v/>
      </c>
      <c r="G653" s="35">
        <f>SUM(G651:G652)</f>
        <v/>
      </c>
      <c r="H653" s="199" t="inlineStr">
        <is>
          <t>TOTAL</t>
        </is>
      </c>
      <c r="I653" s="42">
        <f>SUM(I651:I652)</f>
        <v/>
      </c>
      <c r="J653" s="35">
        <f>SUM(J651:J652)</f>
        <v/>
      </c>
      <c r="K653" s="180" t="n"/>
      <c r="L653" s="166" t="n"/>
    </row>
    <row r="654" ht="15.6" customHeight="1" s="2">
      <c r="A654" s="166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166" t="n"/>
      <c r="L654" s="166" t="n"/>
    </row>
    <row r="655" ht="17.45" customHeight="1" s="2">
      <c r="A655" s="166" t="n"/>
      <c r="B655" s="166" t="n"/>
      <c r="C655" s="202" t="inlineStr">
        <is>
          <t>Claire ( Host T1 - T3 )</t>
        </is>
      </c>
      <c r="D655" s="202" t="n">
        <v>15</v>
      </c>
      <c r="E655" s="166" t="n"/>
      <c r="F655" s="202" t="inlineStr">
        <is>
          <t>Shishir ( Breakfast T1 )</t>
        </is>
      </c>
      <c r="G655" s="202" t="n">
        <v>5</v>
      </c>
      <c r="H655" s="166" t="n"/>
      <c r="I655" s="202" t="inlineStr">
        <is>
          <t>Shishir ( Breakfast T2-T4 )</t>
        </is>
      </c>
      <c r="J655" s="202" t="n">
        <v>15</v>
      </c>
      <c r="K655" s="166" t="n"/>
      <c r="L655" s="166" t="n"/>
    </row>
    <row r="656" ht="17.45" customHeight="1" s="2">
      <c r="A656" s="166" t="n"/>
      <c r="B656" s="166" t="n"/>
      <c r="C656" s="202" t="inlineStr">
        <is>
          <t>Rajesh ( ChangeOver T1 - T3 )</t>
        </is>
      </c>
      <c r="D656" s="202" t="n">
        <v>15</v>
      </c>
      <c r="E656" s="166" t="n"/>
      <c r="F656" s="202" t="inlineStr">
        <is>
          <t>Sushang ( IND )</t>
        </is>
      </c>
      <c r="G656" s="202" t="n">
        <v>3</v>
      </c>
      <c r="H656" s="166" t="n"/>
      <c r="I656" s="202" t="inlineStr">
        <is>
          <t>Sushang ( Prep T1 - T 2 )</t>
        </is>
      </c>
      <c r="J656" s="202" t="n">
        <v>16</v>
      </c>
      <c r="K656" s="166" t="n"/>
      <c r="L656" s="166" t="n"/>
    </row>
    <row r="657" ht="17.45" customHeight="1" s="2">
      <c r="A657" s="166" t="n"/>
      <c r="B657" s="166" t="n"/>
      <c r="C657" s="202" t="inlineStr">
        <is>
          <t>Animesh ( Breakfast T3-T4 )</t>
        </is>
      </c>
      <c r="D657" s="202" t="n">
        <v>10</v>
      </c>
      <c r="E657" s="166" t="n"/>
      <c r="F657" s="202" t="inlineStr">
        <is>
          <t>Claire Bar ( T1-T3 )</t>
        </is>
      </c>
      <c r="G657" s="202" t="n">
        <v>15</v>
      </c>
      <c r="H657" s="166" t="n"/>
      <c r="I657" s="202" t="inlineStr">
        <is>
          <t>Sushang (Stocking T1 - T2 )</t>
        </is>
      </c>
      <c r="J657" s="202" t="n">
        <v>15</v>
      </c>
      <c r="K657" s="166" t="n"/>
      <c r="L657" s="166" t="n"/>
    </row>
    <row r="658" ht="17.45" customHeight="1" s="2">
      <c r="A658" s="166" t="n"/>
      <c r="B658" s="166" t="n"/>
      <c r="C658" s="202" t="inlineStr">
        <is>
          <t>Subin ( Topping T1-T3 )</t>
        </is>
      </c>
      <c r="D658" s="202" t="n">
        <v>15</v>
      </c>
      <c r="E658" s="166" t="n"/>
      <c r="F658" s="166" t="n"/>
      <c r="G658" s="166" t="n"/>
      <c r="H658" s="166" t="n"/>
      <c r="I658" s="166" t="n"/>
      <c r="J658" s="166" t="n"/>
      <c r="K658" s="166" t="n"/>
      <c r="L658" s="166" t="n"/>
    </row>
    <row r="659" ht="15" customHeight="1" s="2">
      <c r="A659" s="166" t="n"/>
      <c r="B659" s="166" t="n"/>
      <c r="C659" s="166" t="n"/>
      <c r="D659" s="166" t="n"/>
      <c r="E659" s="166" t="n"/>
      <c r="F659" s="166" t="n"/>
      <c r="G659" s="166" t="n"/>
      <c r="H659" s="166" t="n"/>
      <c r="I659" s="166" t="n"/>
      <c r="J659" s="166" t="n"/>
      <c r="K659" s="166" t="n"/>
      <c r="L659" s="166" t="n"/>
    </row>
    <row r="660" ht="15" customHeight="1" s="2">
      <c r="A660" s="166" t="n"/>
      <c r="B660" s="166" t="n"/>
      <c r="C660" s="166" t="n"/>
      <c r="D660" s="166" t="n"/>
      <c r="E660" s="166" t="n"/>
      <c r="F660" s="166" t="n"/>
      <c r="G660" s="166" t="n"/>
      <c r="H660" s="166" t="n"/>
      <c r="I660" s="166" t="n"/>
      <c r="J660" s="166" t="n"/>
      <c r="K660" s="166" t="n"/>
      <c r="L660" s="166" t="n"/>
    </row>
    <row r="661" ht="15" customHeight="1" s="2">
      <c r="A661" s="166" t="n"/>
      <c r="B661" s="168" t="n"/>
      <c r="C661" s="168" t="n"/>
      <c r="D661" s="166" t="n"/>
      <c r="E661" s="168" t="n"/>
      <c r="F661" s="168" t="n"/>
      <c r="G661" s="166" t="n"/>
      <c r="H661" s="168" t="n"/>
      <c r="I661" s="168" t="n"/>
      <c r="J661" s="166" t="n"/>
      <c r="K661" s="166" t="n"/>
      <c r="L661" s="166" t="n"/>
    </row>
    <row r="662" ht="18" customHeight="1" s="2" thickBot="1">
      <c r="A662" s="238" t="n"/>
      <c r="B662" s="222" t="n">
        <v>42891</v>
      </c>
      <c r="C662" s="235" t="n">
        <v>43255</v>
      </c>
      <c r="D662" s="236" t="n"/>
      <c r="E662" s="222" t="n">
        <v>42898</v>
      </c>
      <c r="F662" s="237" t="n">
        <v>43262</v>
      </c>
      <c r="G662" s="236" t="n"/>
      <c r="H662" s="222" t="n">
        <v>42905</v>
      </c>
      <c r="I662" s="237" t="n">
        <v>43269</v>
      </c>
      <c r="J662" s="223" t="n"/>
      <c r="K662" s="166" t="n"/>
      <c r="L662" s="166" t="n"/>
    </row>
    <row r="663" ht="17.85" customHeight="1" s="2" thickBot="1">
      <c r="A663" s="176" t="n"/>
      <c r="B663" s="177" t="inlineStr">
        <is>
          <t>Last Year</t>
        </is>
      </c>
      <c r="C663" s="178" t="inlineStr">
        <is>
          <t>Projected</t>
        </is>
      </c>
      <c r="D663" s="230" t="inlineStr">
        <is>
          <t>Actual</t>
        </is>
      </c>
      <c r="E663" s="177" t="inlineStr">
        <is>
          <t>Last Year</t>
        </is>
      </c>
      <c r="F663" s="178" t="inlineStr">
        <is>
          <t>Projected</t>
        </is>
      </c>
      <c r="G663" s="230" t="inlineStr">
        <is>
          <t>Actual</t>
        </is>
      </c>
      <c r="H663" s="177" t="inlineStr">
        <is>
          <t>Last Year</t>
        </is>
      </c>
      <c r="I663" s="178" t="inlineStr">
        <is>
          <t>Projected</t>
        </is>
      </c>
      <c r="J663" s="230" t="inlineStr">
        <is>
          <t>Actual</t>
        </is>
      </c>
      <c r="K663" s="180" t="n"/>
      <c r="L663" s="166" t="n"/>
    </row>
    <row r="664" ht="18" customHeight="1" s="2">
      <c r="A664" s="181" t="inlineStr">
        <is>
          <t>GROSS TOTAL</t>
        </is>
      </c>
      <c r="B664" s="184" t="n">
        <v>207862.96</v>
      </c>
      <c r="C664" s="184" t="n">
        <v>204286</v>
      </c>
      <c r="D664" s="184" t="n">
        <v>199743.71</v>
      </c>
      <c r="E664" s="184" t="n">
        <v>205860.44</v>
      </c>
      <c r="F664" s="184" t="n">
        <v>224362</v>
      </c>
      <c r="G664" s="184" t="n">
        <v>215220.36</v>
      </c>
      <c r="H664" s="184" t="n">
        <v>183082.33</v>
      </c>
      <c r="I664" s="184" t="n">
        <v>180631</v>
      </c>
      <c r="J664" s="185" t="n">
        <v>196617.99</v>
      </c>
      <c r="K664" s="186" t="n"/>
      <c r="L664" s="166" t="n"/>
    </row>
    <row r="665" ht="17.45" customHeight="1" s="2">
      <c r="A665" s="187" t="inlineStr">
        <is>
          <t>NETT  TOTAL</t>
        </is>
      </c>
      <c r="B665" s="22">
        <f>B664/1.1</f>
        <v/>
      </c>
      <c r="C665" s="9">
        <f>C664/1.1</f>
        <v/>
      </c>
      <c r="D665" s="32">
        <f>D664/1.1</f>
        <v/>
      </c>
      <c r="E665" s="22">
        <f>E664/1.1</f>
        <v/>
      </c>
      <c r="F665" s="9">
        <f>F664/1.1</f>
        <v/>
      </c>
      <c r="G665" s="32">
        <f>G664/1.1</f>
        <v/>
      </c>
      <c r="H665" s="22">
        <f>H664/1.1</f>
        <v/>
      </c>
      <c r="I665" s="9">
        <f>I664/1.1</f>
        <v/>
      </c>
      <c r="J665" s="39">
        <f>J664/1.1</f>
        <v/>
      </c>
      <c r="K665" s="186" t="n"/>
      <c r="L665" s="166" t="n"/>
    </row>
    <row r="666" ht="17.45" customHeight="1" s="2">
      <c r="A666" s="188" t="inlineStr">
        <is>
          <t>Customers</t>
        </is>
      </c>
      <c r="B666" s="10" t="n">
        <v>10069</v>
      </c>
      <c r="C666" s="10" t="n">
        <v>9910</v>
      </c>
      <c r="D666" s="10" t="n">
        <v>9561</v>
      </c>
      <c r="E666" s="10" t="n">
        <v>9945</v>
      </c>
      <c r="F666" s="10" t="n">
        <v>10550</v>
      </c>
      <c r="G666" s="10" t="n">
        <v>10403</v>
      </c>
      <c r="H666" s="10" t="n">
        <v>8922</v>
      </c>
      <c r="I666" s="10" t="n">
        <v>8645</v>
      </c>
      <c r="J666" s="11" t="n">
        <v>9698</v>
      </c>
      <c r="K666" s="171" t="n"/>
      <c r="L666" s="166" t="n"/>
    </row>
    <row r="667" ht="17.45" customHeight="1" s="2">
      <c r="A667" s="188" t="inlineStr">
        <is>
          <t>Average Customer Spend</t>
        </is>
      </c>
      <c r="B667" s="22">
        <f>B664/B666</f>
        <v/>
      </c>
      <c r="C667" s="9">
        <f>C664/C666</f>
        <v/>
      </c>
      <c r="D667" s="32">
        <f>D664/D666</f>
        <v/>
      </c>
      <c r="E667" s="22">
        <f>E664/E666</f>
        <v/>
      </c>
      <c r="F667" s="9">
        <f>F664/F666</f>
        <v/>
      </c>
      <c r="G667" s="32">
        <f>G664/G666</f>
        <v/>
      </c>
      <c r="H667" s="22">
        <f>H664/H666</f>
        <v/>
      </c>
      <c r="I667" s="9">
        <f>I664/I666</f>
        <v/>
      </c>
      <c r="J667" s="33">
        <f>J664/J666</f>
        <v/>
      </c>
      <c r="K667" s="171" t="n"/>
      <c r="L667" s="166" t="n"/>
    </row>
    <row r="668" ht="17.45" customHeight="1" s="2">
      <c r="A668" s="191" t="inlineStr">
        <is>
          <t>Wage % to Gross total</t>
        </is>
      </c>
      <c r="B668" s="210">
        <f>(B671*B672)/B664</f>
        <v/>
      </c>
      <c r="C668" s="9">
        <f>(C671*C672)/C664</f>
        <v/>
      </c>
      <c r="D668" s="39">
        <f>(D671*D672)/D664</f>
        <v/>
      </c>
      <c r="E668" s="210">
        <f>(E671*E672)/E664</f>
        <v/>
      </c>
      <c r="F668" s="9">
        <f>(F671*F672)/F664</f>
        <v/>
      </c>
      <c r="G668" s="39">
        <f>(G671*G672)/G664</f>
        <v/>
      </c>
      <c r="H668" s="210">
        <f>(H671*H672)/H664</f>
        <v/>
      </c>
      <c r="I668" s="9">
        <f>(I671*I672)/I664</f>
        <v/>
      </c>
      <c r="J668" s="33">
        <f>(J671*J672)/J664</f>
        <v/>
      </c>
      <c r="K668" s="171" t="n"/>
      <c r="L668" s="166" t="n"/>
    </row>
    <row r="669" ht="17.45" customHeight="1" s="2">
      <c r="A669" s="191" t="inlineStr">
        <is>
          <t>Wage % to Nett Total</t>
        </is>
      </c>
      <c r="B669" s="210">
        <f>(B671*B672)/B665</f>
        <v/>
      </c>
      <c r="C669" s="9">
        <f>(C671*C672)/C665</f>
        <v/>
      </c>
      <c r="D669" s="39">
        <f>(D671*D672)/D665</f>
        <v/>
      </c>
      <c r="E669" s="210">
        <f>(E671*E672)/E665</f>
        <v/>
      </c>
      <c r="F669" s="9">
        <f>(F671*F672)/F665</f>
        <v/>
      </c>
      <c r="G669" s="39">
        <f>(G671*G672)/G665</f>
        <v/>
      </c>
      <c r="H669" s="210">
        <f>(H671*H672)/H665</f>
        <v/>
      </c>
      <c r="I669" s="9">
        <f>(I671*I672)/I665</f>
        <v/>
      </c>
      <c r="J669" s="33">
        <f>(J671*J672)/J665</f>
        <v/>
      </c>
      <c r="K669" s="171" t="n"/>
      <c r="L669" s="166" t="n"/>
    </row>
    <row r="670" ht="17.45" customHeight="1" s="2">
      <c r="A670" s="188" t="inlineStr">
        <is>
          <t>Productivity</t>
        </is>
      </c>
      <c r="B670" s="22">
        <f>B666/B672</f>
        <v/>
      </c>
      <c r="C670" s="9">
        <f>C666/C672</f>
        <v/>
      </c>
      <c r="D670" s="32">
        <f>D666/D672</f>
        <v/>
      </c>
      <c r="E670" s="22">
        <f>E666/E672</f>
        <v/>
      </c>
      <c r="F670" s="9">
        <f>F666/F672</f>
        <v/>
      </c>
      <c r="G670" s="32">
        <f>G666/G672</f>
        <v/>
      </c>
      <c r="H670" s="22">
        <f>H666/H672</f>
        <v/>
      </c>
      <c r="I670" s="9">
        <f>I666/I672</f>
        <v/>
      </c>
      <c r="J670" s="33">
        <f>J666/J672</f>
        <v/>
      </c>
      <c r="K670" s="171" t="n"/>
      <c r="L670" s="166" t="n"/>
    </row>
    <row r="671" ht="17.45" customHeight="1" s="2">
      <c r="A671" s="188" t="inlineStr">
        <is>
          <t>Average Hourly Rate</t>
        </is>
      </c>
      <c r="B671" s="10" t="n">
        <v>30.68</v>
      </c>
      <c r="C671" s="189" t="n">
        <v>32</v>
      </c>
      <c r="D671" s="32" t="n">
        <v>32.37</v>
      </c>
      <c r="E671" s="10" t="n">
        <v>35.66</v>
      </c>
      <c r="F671" s="189" t="n">
        <v>34</v>
      </c>
      <c r="G671" s="32" t="n">
        <v>36.86</v>
      </c>
      <c r="H671" s="10" t="n">
        <v>31.27</v>
      </c>
      <c r="I671" s="189" t="n">
        <v>32</v>
      </c>
      <c r="J671" s="33" t="n">
        <v>33.32</v>
      </c>
      <c r="K671" s="171" t="n"/>
      <c r="L671" s="166" t="n"/>
    </row>
    <row r="672" ht="17.45" customHeight="1" s="2">
      <c r="A672" s="188" t="inlineStr">
        <is>
          <t>Total hours for productivity</t>
        </is>
      </c>
      <c r="B672" s="10" t="n">
        <v>1842.5</v>
      </c>
      <c r="C672" s="189" t="n">
        <v>1817.5</v>
      </c>
      <c r="D672" s="32" t="n">
        <v>1730.25</v>
      </c>
      <c r="E672" s="10" t="n">
        <v>1869.75</v>
      </c>
      <c r="F672" s="189" t="n">
        <v>1661</v>
      </c>
      <c r="G672" s="32" t="n">
        <v>1767.25</v>
      </c>
      <c r="H672" s="10" t="n">
        <v>1649.25</v>
      </c>
      <c r="I672" s="189" t="n">
        <v>1613.5</v>
      </c>
      <c r="J672" s="33" t="n">
        <v>1651.5</v>
      </c>
      <c r="K672" s="171" t="n"/>
      <c r="L672" s="166" t="n"/>
    </row>
    <row r="673" ht="17.45" customHeight="1" s="2">
      <c r="A673" s="188" t="inlineStr">
        <is>
          <t>Training Hours used</t>
        </is>
      </c>
      <c r="B673" s="10" t="n"/>
      <c r="C673" s="189" t="n">
        <v>33</v>
      </c>
      <c r="D673" s="32" t="n">
        <v>27</v>
      </c>
      <c r="E673" s="10" t="n">
        <v>0</v>
      </c>
      <c r="F673" s="189" t="n"/>
      <c r="G673" s="32" t="n">
        <v>28.5</v>
      </c>
      <c r="H673" s="10" t="n">
        <v>12</v>
      </c>
      <c r="I673" s="189" t="n">
        <v>56.5</v>
      </c>
      <c r="J673" s="39" t="n">
        <v>51</v>
      </c>
      <c r="K673" s="186" t="n"/>
      <c r="L673" s="166" t="n"/>
    </row>
    <row r="674" ht="18" customHeight="1" s="2" thickBot="1">
      <c r="A674" s="193" t="inlineStr">
        <is>
          <t>Number of hours used to cover sick leave</t>
        </is>
      </c>
      <c r="B674" s="15" t="n"/>
      <c r="C674" s="14" t="n"/>
      <c r="D674" s="34" t="n"/>
      <c r="E674" s="15" t="n">
        <v>33.25</v>
      </c>
      <c r="F674" s="194" t="n"/>
      <c r="G674" s="34" t="n"/>
      <c r="H674" s="15" t="n">
        <v>22</v>
      </c>
      <c r="I674" s="194" t="n"/>
      <c r="J674" s="233" t="n"/>
      <c r="K674" s="186" t="n"/>
      <c r="L674" s="166" t="n"/>
    </row>
    <row r="675" ht="15.95" customHeight="1" s="2" thickBot="1">
      <c r="A675" s="195" t="inlineStr">
        <is>
          <t>Minimum HOURS</t>
        </is>
      </c>
      <c r="B675" s="196" t="inlineStr">
        <is>
          <t xml:space="preserve">Kitchen </t>
        </is>
      </c>
      <c r="C675" s="16" t="n"/>
      <c r="D675" s="35" t="n">
        <v>558.5</v>
      </c>
      <c r="E675" s="196" t="inlineStr">
        <is>
          <t xml:space="preserve">Kitchen </t>
        </is>
      </c>
      <c r="F675" s="16" t="n">
        <v>585</v>
      </c>
      <c r="G675" s="36" t="n"/>
      <c r="H675" s="196" t="inlineStr">
        <is>
          <t xml:space="preserve">Kitchen </t>
        </is>
      </c>
      <c r="I675" s="16" t="n"/>
      <c r="J675" s="35" t="n"/>
      <c r="K675" s="180" t="n"/>
      <c r="L675" s="166" t="n"/>
    </row>
    <row r="676" ht="15.95" customHeight="1" s="2" thickBot="1">
      <c r="A676" s="197" t="n"/>
      <c r="B676" s="198" t="inlineStr">
        <is>
          <t xml:space="preserve">Floor </t>
        </is>
      </c>
      <c r="C676" s="18" t="n"/>
      <c r="D676" s="35" t="n">
        <v>865</v>
      </c>
      <c r="E676" s="198" t="inlineStr">
        <is>
          <t xml:space="preserve">Floor </t>
        </is>
      </c>
      <c r="F676" s="18" t="n">
        <v>805</v>
      </c>
      <c r="G676" s="234" t="n"/>
      <c r="H676" s="198" t="inlineStr">
        <is>
          <t xml:space="preserve">Floor </t>
        </is>
      </c>
      <c r="I676" s="18" t="n"/>
      <c r="J676" s="35" t="n"/>
      <c r="K676" s="180" t="n"/>
      <c r="L676" s="166" t="n"/>
    </row>
    <row r="677" ht="15.95" customHeight="1" s="2" thickBot="1">
      <c r="A677" s="197" t="n"/>
      <c r="B677" s="199" t="inlineStr">
        <is>
          <t>TOTAL</t>
        </is>
      </c>
      <c r="C677" s="42">
        <f>SUM(C675:C676)</f>
        <v/>
      </c>
      <c r="D677" s="35">
        <f>SUM(D675:D676)</f>
        <v/>
      </c>
      <c r="E677" s="199" t="inlineStr">
        <is>
          <t>TOTAL</t>
        </is>
      </c>
      <c r="F677" s="42">
        <f>SUM(F675:F676)</f>
        <v/>
      </c>
      <c r="G677" s="35">
        <f>SUM(G675:G676)</f>
        <v/>
      </c>
      <c r="H677" s="199" t="inlineStr">
        <is>
          <t>TOTAL</t>
        </is>
      </c>
      <c r="I677" s="42">
        <f>SUM(I675:I676)</f>
        <v/>
      </c>
      <c r="J677" s="35">
        <f>SUM(J675:J676)</f>
        <v/>
      </c>
      <c r="K677" s="180" t="n"/>
      <c r="L677" s="166" t="n"/>
    </row>
    <row r="678" ht="15.6" customHeight="1" s="2">
      <c r="A678" s="166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166" t="n"/>
      <c r="L678" s="166" t="n"/>
    </row>
    <row r="679" ht="17.45" customHeight="1" s="2">
      <c r="A679" s="166" t="n"/>
      <c r="B679" s="166" t="n"/>
      <c r="C679" s="202" t="inlineStr">
        <is>
          <t xml:space="preserve">Sushang ( Prepping T3-T4 ) </t>
        </is>
      </c>
      <c r="D679" s="202" t="n">
        <v>16</v>
      </c>
      <c r="E679" s="166" t="n"/>
      <c r="F679" s="202" t="inlineStr">
        <is>
          <t>Shushang ( Prep T5 - T6 )</t>
        </is>
      </c>
      <c r="G679" s="202" t="n">
        <v>16.5</v>
      </c>
      <c r="H679" s="166" t="n"/>
      <c r="I679" s="202" t="inlineStr">
        <is>
          <t>Ray ( Kitchen Setup + Cooking T1-T3 )</t>
        </is>
      </c>
      <c r="J679" s="202" t="n">
        <v>22.5</v>
      </c>
      <c r="K679" s="166" t="n"/>
      <c r="L679" s="166" t="n"/>
    </row>
    <row r="680" ht="17.45" customHeight="1" s="2">
      <c r="A680" s="166" t="n"/>
      <c r="B680" s="166" t="n"/>
      <c r="C680" s="202" t="inlineStr">
        <is>
          <t>Sushang ( Stocking T4 )</t>
        </is>
      </c>
      <c r="D680" s="202" t="n">
        <v>5</v>
      </c>
      <c r="E680" s="166" t="n"/>
      <c r="F680" s="202" t="inlineStr">
        <is>
          <t>June ( Creping T1-T2 )</t>
        </is>
      </c>
      <c r="G680" s="202" t="n">
        <v>12</v>
      </c>
      <c r="H680" s="166" t="n"/>
      <c r="I680" s="202" t="inlineStr">
        <is>
          <t>June ( Crepping T3 )</t>
        </is>
      </c>
      <c r="J680" s="202" t="n">
        <v>6</v>
      </c>
      <c r="K680" s="166" t="n"/>
      <c r="L680" s="166" t="n"/>
    </row>
    <row r="681" ht="17.45" customHeight="1" s="2">
      <c r="A681" s="166" t="n"/>
      <c r="B681" s="166" t="n"/>
      <c r="C681" s="202" t="inlineStr">
        <is>
          <t>Soumitra ( Creping T1 )</t>
        </is>
      </c>
      <c r="D681" s="202" t="n">
        <v>6</v>
      </c>
      <c r="E681" s="166" t="n"/>
      <c r="F681" s="166" t="n"/>
      <c r="G681" s="166" t="n"/>
      <c r="H681" s="166" t="n"/>
      <c r="I681" s="202" t="inlineStr">
        <is>
          <t>Ashish ( Topping T1-T3 )</t>
        </is>
      </c>
      <c r="J681" s="202" t="n">
        <v>17.5</v>
      </c>
      <c r="K681" s="166" t="n"/>
      <c r="L681" s="166" t="n"/>
    </row>
    <row r="682" ht="17.45" customHeight="1" s="2">
      <c r="A682" s="166" t="n"/>
      <c r="B682" s="166" t="n"/>
      <c r="C682" s="166" t="n"/>
      <c r="D682" s="166" t="n"/>
      <c r="E682" s="166" t="n"/>
      <c r="F682" s="166" t="n"/>
      <c r="G682" s="166" t="n"/>
      <c r="H682" s="166" t="n"/>
      <c r="I682" s="202" t="inlineStr">
        <is>
          <t>Pukar ( Rolling T1 )</t>
        </is>
      </c>
      <c r="J682" s="202" t="n">
        <v>5</v>
      </c>
      <c r="K682" s="166" t="n"/>
      <c r="L682" s="166" t="n"/>
    </row>
    <row r="683" ht="15" customHeight="1" s="2">
      <c r="A683" s="166" t="n"/>
      <c r="B683" s="166" t="n"/>
      <c r="C683" s="166" t="n"/>
      <c r="D683" s="166" t="n"/>
      <c r="E683" s="166" t="n"/>
      <c r="F683" s="166" t="n"/>
      <c r="G683" s="166" t="n"/>
      <c r="H683" s="166" t="n"/>
      <c r="I683" s="166" t="n"/>
      <c r="J683" s="166" t="n"/>
      <c r="K683" s="166" t="n"/>
      <c r="L683" s="166" t="n"/>
    </row>
    <row r="684" ht="15" customHeight="1" s="2">
      <c r="A684" s="166" t="n"/>
      <c r="B684" s="168" t="n"/>
      <c r="C684" s="168" t="n"/>
      <c r="D684" s="166" t="n"/>
      <c r="E684" s="168" t="n"/>
      <c r="F684" s="168" t="n"/>
      <c r="G684" s="166" t="n"/>
      <c r="H684" s="168" t="n"/>
      <c r="I684" s="168" t="n"/>
      <c r="J684" s="166" t="n"/>
      <c r="K684" s="166" t="n"/>
      <c r="L684" s="166" t="n"/>
    </row>
    <row r="685" ht="18" customHeight="1" s="2" thickBot="1">
      <c r="A685" s="238" t="n"/>
      <c r="B685" s="222" t="n">
        <v>42912</v>
      </c>
      <c r="C685" s="235" t="n">
        <v>43276</v>
      </c>
      <c r="D685" s="236" t="n"/>
      <c r="E685" s="222" t="n">
        <v>42920</v>
      </c>
      <c r="F685" s="237" t="n">
        <v>42919</v>
      </c>
      <c r="G685" s="236" t="n"/>
      <c r="H685" s="222" t="n">
        <v>42927</v>
      </c>
      <c r="I685" s="237" t="n">
        <v>43291</v>
      </c>
      <c r="J685" s="223" t="n"/>
      <c r="K685" s="166" t="n"/>
      <c r="L685" s="166" t="n"/>
    </row>
    <row r="686" ht="17.85" customHeight="1" s="2" thickBot="1">
      <c r="A686" s="176" t="n"/>
      <c r="B686" s="177" t="inlineStr">
        <is>
          <t>Last Year</t>
        </is>
      </c>
      <c r="C686" s="178" t="inlineStr">
        <is>
          <t>Projected</t>
        </is>
      </c>
      <c r="D686" s="230" t="inlineStr">
        <is>
          <t>Actual</t>
        </is>
      </c>
      <c r="E686" s="177" t="inlineStr">
        <is>
          <t>Last Year</t>
        </is>
      </c>
      <c r="F686" s="178" t="inlineStr">
        <is>
          <t>Projected</t>
        </is>
      </c>
      <c r="G686" s="230" t="inlineStr">
        <is>
          <t>Actual</t>
        </is>
      </c>
      <c r="H686" s="177" t="inlineStr">
        <is>
          <t>Last Year</t>
        </is>
      </c>
      <c r="I686" s="178" t="inlineStr">
        <is>
          <t>Projected</t>
        </is>
      </c>
      <c r="J686" s="230" t="inlineStr">
        <is>
          <t>Actual</t>
        </is>
      </c>
      <c r="K686" s="180" t="n"/>
      <c r="L686" s="166" t="n"/>
    </row>
    <row r="687" ht="18" customHeight="1" s="2">
      <c r="A687" s="181" t="inlineStr">
        <is>
          <t>GROSS TOTAL</t>
        </is>
      </c>
      <c r="B687" s="184" t="n">
        <v>155662.08</v>
      </c>
      <c r="C687" s="184" t="n">
        <v>152272</v>
      </c>
      <c r="D687" s="184" t="n">
        <v>152162.94</v>
      </c>
      <c r="E687" s="184" t="n">
        <v>189096.5</v>
      </c>
      <c r="F687" s="184" t="n">
        <v>164795</v>
      </c>
      <c r="G687" s="184" t="n">
        <v>153395.09</v>
      </c>
      <c r="H687" s="184" t="n">
        <v>205130.22</v>
      </c>
      <c r="I687" s="184" t="n">
        <v>164965</v>
      </c>
      <c r="J687" s="185" t="n">
        <v>179575.86</v>
      </c>
      <c r="K687" s="186" t="n"/>
      <c r="L687" s="166" t="n"/>
    </row>
    <row r="688" ht="17.45" customHeight="1" s="2">
      <c r="A688" s="187" t="inlineStr">
        <is>
          <t>NETT  TOTAL</t>
        </is>
      </c>
      <c r="B688" s="22">
        <f>B687/1.1</f>
        <v/>
      </c>
      <c r="C688" s="9">
        <f>C687/1.1</f>
        <v/>
      </c>
      <c r="D688" s="32">
        <f>D687/1.1</f>
        <v/>
      </c>
      <c r="E688" s="22">
        <f>E687/1.1</f>
        <v/>
      </c>
      <c r="F688" s="9">
        <f>F687/1.1</f>
        <v/>
      </c>
      <c r="G688" s="32">
        <f>G687/1.1</f>
        <v/>
      </c>
      <c r="H688" s="22">
        <f>H687/1.1</f>
        <v/>
      </c>
      <c r="I688" s="9">
        <f>I687/1.1</f>
        <v/>
      </c>
      <c r="J688" s="39">
        <f>J687/1.1</f>
        <v/>
      </c>
      <c r="K688" s="186" t="n"/>
      <c r="L688" s="166" t="n"/>
    </row>
    <row r="689" ht="17.45" customHeight="1" s="2">
      <c r="A689" s="188" t="inlineStr">
        <is>
          <t>Customers</t>
        </is>
      </c>
      <c r="B689" s="10" t="n">
        <v>7602</v>
      </c>
      <c r="C689" s="10" t="n">
        <v>7370</v>
      </c>
      <c r="D689" s="10" t="n">
        <v>7543</v>
      </c>
      <c r="E689" s="10" t="n">
        <v>9121</v>
      </c>
      <c r="F689" s="10" t="n">
        <v>8155</v>
      </c>
      <c r="G689" s="10" t="n">
        <v>7546</v>
      </c>
      <c r="H689" s="10" t="n">
        <v>10230</v>
      </c>
      <c r="I689" s="10" t="n">
        <v>8155</v>
      </c>
      <c r="J689" s="11" t="n">
        <v>9018</v>
      </c>
      <c r="K689" s="171" t="n"/>
      <c r="L689" s="166" t="n"/>
    </row>
    <row r="690" ht="17.45" customHeight="1" s="2">
      <c r="A690" s="188" t="inlineStr">
        <is>
          <t>Average Customer Spend</t>
        </is>
      </c>
      <c r="B690" s="22">
        <f>B687/B689</f>
        <v/>
      </c>
      <c r="C690" s="9">
        <f>C687/C689</f>
        <v/>
      </c>
      <c r="D690" s="32">
        <f>D687/D689</f>
        <v/>
      </c>
      <c r="E690" s="22">
        <f>E687/E689</f>
        <v/>
      </c>
      <c r="F690" s="9">
        <f>F687/F689</f>
        <v/>
      </c>
      <c r="G690" s="32">
        <f>G687/G689</f>
        <v/>
      </c>
      <c r="H690" s="22">
        <f>H687/H689</f>
        <v/>
      </c>
      <c r="I690" s="9">
        <f>I687/I689</f>
        <v/>
      </c>
      <c r="J690" s="33">
        <f>J687/J689</f>
        <v/>
      </c>
      <c r="K690" s="171" t="n"/>
      <c r="L690" s="166" t="n"/>
    </row>
    <row r="691" ht="17.45" customHeight="1" s="2">
      <c r="A691" s="191" t="inlineStr">
        <is>
          <t>Wage % to Gross total</t>
        </is>
      </c>
      <c r="B691" s="210">
        <f>(B694*B695)/B687</f>
        <v/>
      </c>
      <c r="C691" s="9">
        <f>(C694*C695)/C687</f>
        <v/>
      </c>
      <c r="D691" s="39">
        <f>(D694*D695)/D687</f>
        <v/>
      </c>
      <c r="E691" s="210">
        <f>(E694*E695)/E687</f>
        <v/>
      </c>
      <c r="F691" s="9">
        <f>(F694*F695)/F687</f>
        <v/>
      </c>
      <c r="G691" s="39">
        <f>(G694*G695)/G687</f>
        <v/>
      </c>
      <c r="H691" s="210">
        <f>(H694*H695)/H687</f>
        <v/>
      </c>
      <c r="I691" s="9">
        <f>(I694*I695)/I687</f>
        <v/>
      </c>
      <c r="J691" s="33">
        <f>(J694*J695)/J687</f>
        <v/>
      </c>
      <c r="K691" s="171" t="n"/>
      <c r="L691" s="166" t="n"/>
    </row>
    <row r="692" ht="17.45" customHeight="1" s="2">
      <c r="A692" s="191" t="inlineStr">
        <is>
          <t>Wage % to Nett Total</t>
        </is>
      </c>
      <c r="B692" s="210">
        <f>(B694*B695)/B688</f>
        <v/>
      </c>
      <c r="C692" s="9">
        <f>(C694*C695)/C688</f>
        <v/>
      </c>
      <c r="D692" s="39">
        <f>(D694*D695)/D688</f>
        <v/>
      </c>
      <c r="E692" s="210">
        <f>(E694*E695)/E688</f>
        <v/>
      </c>
      <c r="F692" s="9">
        <f>(F694*F695)/F688</f>
        <v/>
      </c>
      <c r="G692" s="39">
        <f>(G694*G695)/G688</f>
        <v/>
      </c>
      <c r="H692" s="210">
        <f>(H694*H695)/H688</f>
        <v/>
      </c>
      <c r="I692" s="9">
        <f>(I694*I695)/I688</f>
        <v/>
      </c>
      <c r="J692" s="33">
        <f>(J694*J695)/J688</f>
        <v/>
      </c>
      <c r="K692" s="171" t="n"/>
      <c r="L692" s="166" t="n"/>
    </row>
    <row r="693" ht="17.45" customHeight="1" s="2">
      <c r="A693" s="188" t="inlineStr">
        <is>
          <t>Productivity</t>
        </is>
      </c>
      <c r="B693" s="22">
        <f>B689/B695</f>
        <v/>
      </c>
      <c r="C693" s="9">
        <f>C689/C695</f>
        <v/>
      </c>
      <c r="D693" s="32">
        <f>D689/D695</f>
        <v/>
      </c>
      <c r="E693" s="22">
        <f>E689/E695</f>
        <v/>
      </c>
      <c r="F693" s="9">
        <f>F689/F695</f>
        <v/>
      </c>
      <c r="G693" s="32">
        <f>G689/G695</f>
        <v/>
      </c>
      <c r="H693" s="22">
        <f>H689/H695</f>
        <v/>
      </c>
      <c r="I693" s="9">
        <f>I689/I695</f>
        <v/>
      </c>
      <c r="J693" s="33">
        <f>J689/J695</f>
        <v/>
      </c>
      <c r="K693" s="171" t="n"/>
      <c r="L693" s="166" t="n"/>
    </row>
    <row r="694" ht="17.45" customHeight="1" s="2">
      <c r="A694" s="188" t="inlineStr">
        <is>
          <t>Average Hourly Rate</t>
        </is>
      </c>
      <c r="B694" s="10" t="n">
        <v>32.07</v>
      </c>
      <c r="C694" s="189" t="n">
        <v>32</v>
      </c>
      <c r="D694" s="32" t="n">
        <v>35.24</v>
      </c>
      <c r="E694" s="10" t="n">
        <v>30.87</v>
      </c>
      <c r="F694" s="189" t="n">
        <v>32</v>
      </c>
      <c r="G694" s="32" t="n">
        <v>33.32</v>
      </c>
      <c r="H694" s="10" t="n">
        <v>31.98</v>
      </c>
      <c r="I694" s="189" t="n">
        <v>32</v>
      </c>
      <c r="J694" s="33" t="n">
        <v>35.82</v>
      </c>
      <c r="K694" s="171" t="n"/>
      <c r="L694" s="166" t="n"/>
    </row>
    <row r="695" ht="17.45" customHeight="1" s="2">
      <c r="A695" s="188" t="inlineStr">
        <is>
          <t>Total hours for productivity</t>
        </is>
      </c>
      <c r="B695" s="10" t="n">
        <v>1504.25</v>
      </c>
      <c r="C695" s="189" t="n">
        <v>1472</v>
      </c>
      <c r="D695" s="32" t="n">
        <v>1477.75</v>
      </c>
      <c r="E695" s="10" t="n">
        <v>1623.75</v>
      </c>
      <c r="F695" s="189" t="n">
        <v>1489</v>
      </c>
      <c r="G695" s="32" t="n">
        <v>1530.5</v>
      </c>
      <c r="H695" s="10" t="n">
        <v>1760.25</v>
      </c>
      <c r="I695" s="189" t="n">
        <v>1566</v>
      </c>
      <c r="J695" s="33" t="n">
        <v>1671.5</v>
      </c>
      <c r="K695" s="171" t="n"/>
      <c r="L695" s="166" t="n"/>
    </row>
    <row r="696" ht="17.45" customHeight="1" s="2">
      <c r="A696" s="188" t="inlineStr">
        <is>
          <t>Training Hours used</t>
        </is>
      </c>
      <c r="B696" s="10" t="n">
        <v>92.5</v>
      </c>
      <c r="C696" s="189" t="n"/>
      <c r="D696" s="32" t="n">
        <v>30</v>
      </c>
      <c r="E696" s="10" t="n">
        <v>108.5</v>
      </c>
      <c r="F696" s="189" t="n"/>
      <c r="G696" s="32" t="n"/>
      <c r="H696" s="10" t="n">
        <v>16.5</v>
      </c>
      <c r="I696" s="189" t="n"/>
      <c r="J696" s="39" t="n"/>
      <c r="K696" s="186" t="n"/>
      <c r="L696" s="166" t="n"/>
    </row>
    <row r="697" ht="18" customHeight="1" s="2" thickBot="1">
      <c r="A697" s="193" t="inlineStr">
        <is>
          <t>Number of hours used to cover sick leave</t>
        </is>
      </c>
      <c r="B697" s="15" t="n"/>
      <c r="C697" s="14" t="n"/>
      <c r="D697" s="34" t="n"/>
      <c r="E697" s="15" t="n">
        <v>20</v>
      </c>
      <c r="F697" s="194" t="n"/>
      <c r="G697" s="34" t="n"/>
      <c r="H697" s="15" t="n">
        <v>41.5</v>
      </c>
      <c r="I697" s="194" t="n"/>
      <c r="J697" s="233" t="n"/>
      <c r="K697" s="186" t="n"/>
      <c r="L697" s="166" t="n"/>
    </row>
    <row r="698" ht="15.95" customHeight="1" s="2" thickBot="1">
      <c r="A698" s="195" t="inlineStr">
        <is>
          <t>Minimum HOURS</t>
        </is>
      </c>
      <c r="B698" s="196" t="inlineStr">
        <is>
          <t xml:space="preserve">Kitchen </t>
        </is>
      </c>
      <c r="C698" s="16" t="n"/>
      <c r="D698" s="35" t="n"/>
      <c r="E698" s="196" t="inlineStr">
        <is>
          <t xml:space="preserve">Kitchen </t>
        </is>
      </c>
      <c r="F698" s="16" t="n">
        <v>585</v>
      </c>
      <c r="G698" s="36" t="n"/>
      <c r="H698" s="196" t="inlineStr">
        <is>
          <t xml:space="preserve">Kitchen </t>
        </is>
      </c>
      <c r="I698" s="16" t="n"/>
      <c r="J698" s="35" t="n"/>
      <c r="K698" s="180" t="n"/>
      <c r="L698" s="166" t="n"/>
    </row>
    <row r="699" ht="15.95" customHeight="1" s="2" thickBot="1">
      <c r="A699" s="197" t="n"/>
      <c r="B699" s="198" t="inlineStr">
        <is>
          <t xml:space="preserve">Floor </t>
        </is>
      </c>
      <c r="C699" s="18" t="n"/>
      <c r="D699" s="35" t="n"/>
      <c r="E699" s="198" t="inlineStr">
        <is>
          <t xml:space="preserve">Floor </t>
        </is>
      </c>
      <c r="F699" s="18" t="n">
        <v>805</v>
      </c>
      <c r="G699" s="234" t="n"/>
      <c r="H699" s="198" t="inlineStr">
        <is>
          <t xml:space="preserve">Floor </t>
        </is>
      </c>
      <c r="I699" s="18" t="n"/>
      <c r="J699" s="35" t="n"/>
      <c r="K699" s="180" t="n"/>
      <c r="L699" s="166" t="n"/>
    </row>
    <row r="700" ht="15.95" customHeight="1" s="2" thickBot="1">
      <c r="A700" s="197" t="n"/>
      <c r="B700" s="199" t="inlineStr">
        <is>
          <t>TOTAL</t>
        </is>
      </c>
      <c r="C700" s="42">
        <f>SUM(C698:C699)</f>
        <v/>
      </c>
      <c r="D700" s="35">
        <f>SUM(D698:D699)</f>
        <v/>
      </c>
      <c r="E700" s="199" t="inlineStr">
        <is>
          <t>TOTAL</t>
        </is>
      </c>
      <c r="F700" s="42">
        <f>SUM(F698:F699)</f>
        <v/>
      </c>
      <c r="G700" s="35">
        <f>SUM(G698:G699)</f>
        <v/>
      </c>
      <c r="H700" s="199" t="inlineStr">
        <is>
          <t>TOTAL</t>
        </is>
      </c>
      <c r="I700" s="42">
        <f>SUM(I698:I699)</f>
        <v/>
      </c>
      <c r="J700" s="35">
        <f>SUM(J698:J699)</f>
        <v/>
      </c>
      <c r="K700" s="180" t="n"/>
      <c r="L700" s="166" t="n"/>
    </row>
    <row r="701" ht="15.6" customHeight="1" s="2">
      <c r="A701" s="166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166" t="n"/>
      <c r="L701" s="166" t="n"/>
    </row>
    <row r="702" ht="17.45" customHeight="1" s="2">
      <c r="A702" s="166" t="n"/>
      <c r="B702" s="166" t="n"/>
      <c r="C702" s="202" t="inlineStr">
        <is>
          <t>Shishir ( Floor T1 - T3 )</t>
        </is>
      </c>
      <c r="D702" s="202" t="n">
        <v>15</v>
      </c>
      <c r="E702" s="166" t="n"/>
      <c r="F702" s="166" t="n"/>
      <c r="G702" s="166" t="n"/>
      <c r="H702" s="166" t="n"/>
      <c r="I702" s="166" t="n"/>
      <c r="J702" s="166" t="n"/>
      <c r="K702" s="166" t="n"/>
      <c r="L702" s="166" t="n"/>
    </row>
    <row r="703" ht="17.45" customHeight="1" s="2">
      <c r="A703" s="166" t="n"/>
      <c r="B703" s="166" t="n"/>
      <c r="C703" s="202" t="inlineStr">
        <is>
          <t>Arpit ( Bar T1 - T3 )</t>
        </is>
      </c>
      <c r="D703" s="202" t="n">
        <v>15</v>
      </c>
      <c r="E703" s="166" t="n"/>
      <c r="F703" s="166" t="n"/>
      <c r="G703" s="166" t="n"/>
      <c r="H703" s="166" t="n"/>
      <c r="I703" s="166" t="n"/>
      <c r="J703" s="166" t="n"/>
      <c r="K703" s="166" t="n"/>
      <c r="L703" s="166" t="n"/>
    </row>
    <row r="704" ht="15" customHeight="1" s="2">
      <c r="A704" s="166" t="n"/>
      <c r="B704" s="166" t="n"/>
      <c r="C704" s="166" t="n"/>
      <c r="D704" s="166" t="n"/>
      <c r="E704" s="166" t="n"/>
      <c r="F704" s="166" t="n"/>
      <c r="G704" s="166" t="n"/>
      <c r="H704" s="166" t="n"/>
      <c r="I704" s="166" t="n"/>
      <c r="J704" s="166" t="n"/>
      <c r="K704" s="166" t="n"/>
      <c r="L704" s="166" t="n"/>
    </row>
    <row r="705" ht="15" customHeight="1" s="2">
      <c r="A705" s="166" t="n"/>
      <c r="B705" s="166" t="n"/>
      <c r="C705" s="166" t="n"/>
      <c r="D705" s="166" t="n"/>
      <c r="E705" s="166" t="n"/>
      <c r="F705" s="166" t="n"/>
      <c r="G705" s="166" t="n"/>
      <c r="H705" s="166" t="n"/>
      <c r="I705" s="166" t="n"/>
      <c r="J705" s="166" t="n"/>
      <c r="K705" s="166" t="n"/>
      <c r="L705" s="166" t="n"/>
    </row>
    <row r="706" ht="15" customHeight="1" s="2">
      <c r="A706" s="166" t="n"/>
      <c r="B706" s="168" t="n"/>
      <c r="C706" s="168" t="n"/>
      <c r="D706" s="166" t="n"/>
      <c r="E706" s="168" t="n"/>
      <c r="F706" s="168" t="n"/>
      <c r="G706" s="184" t="n">
        <v>164795</v>
      </c>
      <c r="H706" s="168" t="n"/>
      <c r="I706" s="168" t="n"/>
      <c r="J706" s="166" t="n"/>
      <c r="K706" s="166" t="n"/>
      <c r="L706" s="166" t="n"/>
    </row>
    <row r="707" ht="18" customHeight="1" s="2" thickBot="1">
      <c r="A707" s="238" t="n"/>
      <c r="B707" s="222" t="n">
        <v>42933</v>
      </c>
      <c r="C707" s="235" t="n">
        <v>43298</v>
      </c>
      <c r="D707" s="236" t="n"/>
      <c r="E707" s="222" t="n">
        <v>42940</v>
      </c>
      <c r="F707" s="237" t="n">
        <v>43304</v>
      </c>
      <c r="G707" s="9">
        <f>G706/1.1</f>
        <v/>
      </c>
      <c r="H707" s="222" t="n">
        <v>42947</v>
      </c>
      <c r="I707" s="237" t="n">
        <v>43311</v>
      </c>
      <c r="J707" s="223" t="n"/>
      <c r="K707" s="166" t="n"/>
      <c r="L707" s="166" t="n"/>
    </row>
    <row r="708" ht="17.85" customHeight="1" s="2" thickBot="1">
      <c r="A708" s="176" t="n"/>
      <c r="B708" s="177" t="inlineStr">
        <is>
          <t>Last Year</t>
        </is>
      </c>
      <c r="C708" s="178" t="inlineStr">
        <is>
          <t>Projected</t>
        </is>
      </c>
      <c r="D708" s="230" t="inlineStr">
        <is>
          <t>Actual</t>
        </is>
      </c>
      <c r="E708" s="177" t="inlineStr">
        <is>
          <t>Last Year</t>
        </is>
      </c>
      <c r="F708" s="178" t="inlineStr">
        <is>
          <t>Projected</t>
        </is>
      </c>
      <c r="G708" s="10" t="n">
        <v>8155</v>
      </c>
      <c r="H708" s="177" t="inlineStr">
        <is>
          <t>Last Year</t>
        </is>
      </c>
      <c r="I708" s="178" t="inlineStr">
        <is>
          <t>Projected</t>
        </is>
      </c>
      <c r="J708" s="230" t="inlineStr">
        <is>
          <t>Actual</t>
        </is>
      </c>
      <c r="K708" s="180" t="n"/>
      <c r="L708" s="166" t="n"/>
    </row>
    <row r="709" ht="18" customHeight="1" s="2">
      <c r="A709" s="181" t="inlineStr">
        <is>
          <t>GROSS TOTAL</t>
        </is>
      </c>
      <c r="B709" s="184" t="n">
        <v>194160.17</v>
      </c>
      <c r="C709" s="184" t="n">
        <v>185191</v>
      </c>
      <c r="D709" s="184" t="n">
        <v>210570.23</v>
      </c>
      <c r="E709" s="184" t="n">
        <v>156344.11</v>
      </c>
      <c r="F709" s="184" t="n">
        <v>177479</v>
      </c>
      <c r="G709" s="9">
        <f>G706/G708</f>
        <v/>
      </c>
      <c r="H709" s="184" t="n">
        <v>153389.41</v>
      </c>
      <c r="I709" s="184" t="n">
        <v>144868</v>
      </c>
      <c r="J709" s="185" t="n">
        <v>142012</v>
      </c>
      <c r="K709" s="186" t="n"/>
      <c r="L709" s="166" t="n"/>
    </row>
    <row r="710" ht="17.45" customHeight="1" s="2">
      <c r="A710" s="187" t="inlineStr">
        <is>
          <t>NETT  TOTAL</t>
        </is>
      </c>
      <c r="B710" s="22">
        <f>B709/1.1</f>
        <v/>
      </c>
      <c r="C710" s="9">
        <f>C709/1.1</f>
        <v/>
      </c>
      <c r="D710" s="32">
        <f>D709/1.1</f>
        <v/>
      </c>
      <c r="E710" s="22">
        <f>E709/1.1</f>
        <v/>
      </c>
      <c r="F710" s="9">
        <f>F709/1.1</f>
        <v/>
      </c>
      <c r="G710" s="9">
        <f>(G713*G714)/G706</f>
        <v/>
      </c>
      <c r="H710" s="22">
        <f>H709/1.1</f>
        <v/>
      </c>
      <c r="I710" s="9">
        <f>I709/1.1</f>
        <v/>
      </c>
      <c r="J710" s="39">
        <f>J709/1.1</f>
        <v/>
      </c>
      <c r="K710" s="186" t="n"/>
      <c r="L710" s="166" t="n"/>
    </row>
    <row r="711" ht="17.45" customHeight="1" s="2">
      <c r="A711" s="188" t="inlineStr">
        <is>
          <t>Customers</t>
        </is>
      </c>
      <c r="B711" s="10" t="n">
        <v>9463</v>
      </c>
      <c r="C711" s="10" t="n">
        <v>9315</v>
      </c>
      <c r="D711" s="10" t="n">
        <v>10570</v>
      </c>
      <c r="E711" s="10" t="n">
        <v>7329</v>
      </c>
      <c r="F711" s="10" t="n">
        <v>8805</v>
      </c>
      <c r="G711" s="9">
        <f>(G713*G714)/G707</f>
        <v/>
      </c>
      <c r="H711" s="10" t="n">
        <v>7415</v>
      </c>
      <c r="I711" s="10" t="n">
        <v>6990</v>
      </c>
      <c r="J711" s="11" t="n">
        <v>6917</v>
      </c>
      <c r="K711" s="171" t="n"/>
      <c r="L711" s="166" t="n"/>
    </row>
    <row r="712" ht="17.45" customHeight="1" s="2">
      <c r="A712" s="188" t="inlineStr">
        <is>
          <t>Average Customer Spend</t>
        </is>
      </c>
      <c r="B712" s="22">
        <f>B709/B711</f>
        <v/>
      </c>
      <c r="C712" s="9">
        <f>C709/C711</f>
        <v/>
      </c>
      <c r="D712" s="32">
        <f>D709/D711</f>
        <v/>
      </c>
      <c r="E712" s="22">
        <f>E709/E711</f>
        <v/>
      </c>
      <c r="F712" s="9">
        <f>F709/F711</f>
        <v/>
      </c>
      <c r="G712" s="9">
        <f>G708/G714</f>
        <v/>
      </c>
      <c r="H712" s="22">
        <f>H709/H711</f>
        <v/>
      </c>
      <c r="I712" s="9">
        <f>I709/I711</f>
        <v/>
      </c>
      <c r="J712" s="33">
        <f>J709/J711</f>
        <v/>
      </c>
      <c r="K712" s="171" t="n"/>
      <c r="L712" s="166" t="n"/>
    </row>
    <row r="713" ht="17.45" customHeight="1" s="2">
      <c r="A713" s="191" t="inlineStr">
        <is>
          <t>Wage % to Gross total</t>
        </is>
      </c>
      <c r="B713" s="210">
        <f>(B716*B717)/B709</f>
        <v/>
      </c>
      <c r="C713" s="9">
        <f>(C716*C717)/C709</f>
        <v/>
      </c>
      <c r="D713" s="39">
        <f>(D716*D717)/D709</f>
        <v/>
      </c>
      <c r="E713" s="210">
        <f>(E716*E717)/E709</f>
        <v/>
      </c>
      <c r="F713" s="9">
        <f>(F716*F717)/F709</f>
        <v/>
      </c>
      <c r="G713" s="189" t="n">
        <v>32</v>
      </c>
      <c r="H713" s="210">
        <f>(H716*H717)/H709</f>
        <v/>
      </c>
      <c r="I713" s="9">
        <f>(I716*I717)/I709</f>
        <v/>
      </c>
      <c r="J713" s="33">
        <f>(J716*J717)/J709</f>
        <v/>
      </c>
      <c r="K713" s="171" t="n"/>
      <c r="L713" s="166" t="n"/>
    </row>
    <row r="714" ht="17.45" customHeight="1" s="2">
      <c r="A714" s="191" t="inlineStr">
        <is>
          <t>Wage % to Nett Total</t>
        </is>
      </c>
      <c r="B714" s="210">
        <f>(B716*B717)/B710</f>
        <v/>
      </c>
      <c r="C714" s="9">
        <f>(C717*C718)/C710</f>
        <v/>
      </c>
      <c r="D714" s="39">
        <f>(D716*D717)/D710</f>
        <v/>
      </c>
      <c r="E714" s="210">
        <f>(E716*E717)/E710</f>
        <v/>
      </c>
      <c r="F714" s="9">
        <f>(F716*F717)/F710</f>
        <v/>
      </c>
      <c r="G714" s="189" t="n">
        <v>1489</v>
      </c>
      <c r="H714" s="210">
        <f>(H716*H717)/H710</f>
        <v/>
      </c>
      <c r="I714" s="9">
        <f>(I716*I717)/I710</f>
        <v/>
      </c>
      <c r="J714" s="33">
        <f>(J716*J717)/J710</f>
        <v/>
      </c>
      <c r="K714" s="171" t="n"/>
      <c r="L714" s="166" t="n"/>
    </row>
    <row r="715" ht="17.45" customHeight="1" s="2">
      <c r="A715" s="188" t="inlineStr">
        <is>
          <t>Productivity</t>
        </is>
      </c>
      <c r="B715" s="22">
        <f>B711/B717</f>
        <v/>
      </c>
      <c r="C715" s="9">
        <f>(C718*C719)/C711</f>
        <v/>
      </c>
      <c r="D715" s="32">
        <f>D711/D717</f>
        <v/>
      </c>
      <c r="E715" s="22">
        <f>E711/E717</f>
        <v/>
      </c>
      <c r="F715" s="9">
        <f>F711/F717</f>
        <v/>
      </c>
      <c r="G715" s="189" t="n"/>
      <c r="H715" s="22">
        <f>H711/H717</f>
        <v/>
      </c>
      <c r="I715" s="9">
        <f>I711/I717</f>
        <v/>
      </c>
      <c r="J715" s="33">
        <f>J711/J717</f>
        <v/>
      </c>
      <c r="K715" s="171" t="n"/>
      <c r="L715" s="166" t="n"/>
    </row>
    <row r="716" ht="17.45" customHeight="1" s="2" thickBot="1">
      <c r="A716" s="188" t="inlineStr">
        <is>
          <t>Average Hourly Rate</t>
        </is>
      </c>
      <c r="B716" s="10" t="n">
        <v>32.2</v>
      </c>
      <c r="C716" s="189" t="n">
        <v>32</v>
      </c>
      <c r="D716" s="32" t="n">
        <v>35.85</v>
      </c>
      <c r="E716" s="10" t="n">
        <v>32.84</v>
      </c>
      <c r="F716" s="189" t="n">
        <v>32</v>
      </c>
      <c r="G716" s="194" t="n"/>
      <c r="H716" s="10" t="n">
        <v>33.09</v>
      </c>
      <c r="I716" s="189" t="n">
        <v>32</v>
      </c>
      <c r="J716" s="33" t="n">
        <v>35.71</v>
      </c>
      <c r="K716" s="171" t="n"/>
      <c r="L716" s="166" t="n"/>
    </row>
    <row r="717" ht="17.45" customHeight="1" s="2">
      <c r="A717" s="188" t="inlineStr">
        <is>
          <t>Total hours for productivity</t>
        </is>
      </c>
      <c r="B717" s="10" t="n">
        <v>1725.75</v>
      </c>
      <c r="C717" s="189" t="n">
        <v>1734.5</v>
      </c>
      <c r="D717" s="32" t="n">
        <v>1780.25</v>
      </c>
      <c r="E717" s="10" t="n">
        <v>1494.5</v>
      </c>
      <c r="F717" s="189" t="n">
        <v>1672.5</v>
      </c>
      <c r="G717" s="16" t="n">
        <v>585</v>
      </c>
      <c r="H717" s="10" t="n">
        <v>1534.5</v>
      </c>
      <c r="I717" s="189" t="n">
        <v>1440.5</v>
      </c>
      <c r="J717" s="33" t="n">
        <v>1401</v>
      </c>
      <c r="K717" s="171" t="n"/>
      <c r="L717" s="166" t="n"/>
    </row>
    <row r="718" ht="17.45" customHeight="1" s="2" thickBot="1">
      <c r="A718" s="188" t="inlineStr">
        <is>
          <t>Training Hours used</t>
        </is>
      </c>
      <c r="B718" s="10" t="n"/>
      <c r="C718" s="189" t="n">
        <v>10</v>
      </c>
      <c r="D718" s="32" t="n">
        <v>10</v>
      </c>
      <c r="E718" s="10" t="n">
        <v>62.5</v>
      </c>
      <c r="F718" s="189" t="n">
        <v>27.5</v>
      </c>
      <c r="G718" s="18" t="n">
        <v>805</v>
      </c>
      <c r="H718" s="10" t="n">
        <v>177.5</v>
      </c>
      <c r="I718" s="189" t="n"/>
      <c r="J718" s="39" t="n">
        <v>30</v>
      </c>
      <c r="K718" s="186" t="n"/>
      <c r="L718" s="166" t="n"/>
    </row>
    <row r="719" ht="18" customHeight="1" s="2" thickBot="1">
      <c r="A719" s="193" t="inlineStr">
        <is>
          <t>Number of hours used to cover sick leave</t>
        </is>
      </c>
      <c r="B719" s="15" t="n">
        <v>55</v>
      </c>
      <c r="C719" s="14" t="n"/>
      <c r="D719" s="34" t="n"/>
      <c r="E719" s="15" t="n"/>
      <c r="F719" s="194" t="n"/>
      <c r="G719" s="42">
        <f>SUM(G717:G718)</f>
        <v/>
      </c>
      <c r="H719" s="15" t="n"/>
      <c r="I719" s="194" t="n"/>
      <c r="J719" s="233" t="n"/>
      <c r="K719" s="186" t="n"/>
      <c r="L719" s="166" t="n"/>
    </row>
    <row r="720" ht="15.95" customHeight="1" s="2" thickBot="1">
      <c r="A720" s="195" t="inlineStr">
        <is>
          <t>Minimum HOURS</t>
        </is>
      </c>
      <c r="B720" s="196" t="inlineStr">
        <is>
          <t xml:space="preserve">Kitchen </t>
        </is>
      </c>
      <c r="C720" s="16" t="n">
        <v>645</v>
      </c>
      <c r="D720" s="35" t="n"/>
      <c r="E720" s="196" t="inlineStr">
        <is>
          <t xml:space="preserve">Kitchen </t>
        </is>
      </c>
      <c r="F720" s="16" t="n">
        <v>585</v>
      </c>
      <c r="G720" s="36" t="n"/>
      <c r="H720" s="196" t="inlineStr">
        <is>
          <t xml:space="preserve">Kitchen </t>
        </is>
      </c>
      <c r="I720" s="16" t="n">
        <v>585</v>
      </c>
      <c r="J720" s="35" t="n"/>
      <c r="K720" s="180" t="n"/>
      <c r="L720" s="166" t="n"/>
    </row>
    <row r="721" ht="15.95" customHeight="1" s="2" thickBot="1">
      <c r="A721" s="197" t="n"/>
      <c r="B721" s="198" t="inlineStr">
        <is>
          <t xml:space="preserve">Floor </t>
        </is>
      </c>
      <c r="C721" s="18" t="n">
        <v>767</v>
      </c>
      <c r="D721" s="35" t="n"/>
      <c r="E721" s="198" t="inlineStr">
        <is>
          <t xml:space="preserve">Floor </t>
        </is>
      </c>
      <c r="F721" s="18" t="n">
        <v>805</v>
      </c>
      <c r="G721" s="234" t="n"/>
      <c r="H721" s="198" t="inlineStr">
        <is>
          <t xml:space="preserve">Floor </t>
        </is>
      </c>
      <c r="I721" s="18" t="n">
        <v>664</v>
      </c>
      <c r="J721" s="35" t="n"/>
      <c r="K721" s="180" t="n"/>
      <c r="L721" s="166" t="n"/>
    </row>
    <row r="722" ht="15.95" customHeight="1" s="2" thickBot="1">
      <c r="A722" s="197" t="n"/>
      <c r="B722" s="199" t="inlineStr">
        <is>
          <t>TOTAL</t>
        </is>
      </c>
      <c r="C722" s="42">
        <f>SUM(C720:C721)</f>
        <v/>
      </c>
      <c r="D722" s="35">
        <f>SUM(D720:D721)</f>
        <v/>
      </c>
      <c r="E722" s="199" t="inlineStr">
        <is>
          <t>TOTAL</t>
        </is>
      </c>
      <c r="F722" s="42">
        <f>SUM(F720:F721)</f>
        <v/>
      </c>
      <c r="G722" s="35">
        <f>SUM(G720:G721)</f>
        <v/>
      </c>
      <c r="H722" s="199" t="inlineStr">
        <is>
          <t>TOTAL</t>
        </is>
      </c>
      <c r="I722" s="42">
        <f>SUM(I720:I721)</f>
        <v/>
      </c>
      <c r="J722" s="35">
        <f>SUM(J720:J721)</f>
        <v/>
      </c>
      <c r="K722" s="180" t="n"/>
      <c r="L722" s="166" t="n"/>
    </row>
    <row r="723" ht="15.6" customHeight="1" s="2">
      <c r="A723" s="166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166" t="n"/>
      <c r="L723" s="166" t="n"/>
    </row>
    <row r="724" ht="17.45" customHeight="1" s="2">
      <c r="A724" s="166" t="n"/>
      <c r="B724" s="166" t="n"/>
      <c r="C724" s="202" t="inlineStr">
        <is>
          <t>Pukar ( Rolling T2 )</t>
        </is>
      </c>
      <c r="D724" s="202" t="n">
        <v>5</v>
      </c>
      <c r="E724" s="166" t="n"/>
      <c r="F724" s="166" t="n"/>
      <c r="G724" s="166" t="n"/>
      <c r="H724" s="166" t="n"/>
      <c r="I724" s="166" t="n"/>
      <c r="J724" s="166" t="n"/>
      <c r="K724" s="166" t="n"/>
      <c r="L724" s="166" t="n"/>
    </row>
    <row r="725" ht="17.45" customHeight="1" s="2">
      <c r="A725" s="166" t="n"/>
      <c r="B725" s="166" t="n"/>
      <c r="C725" s="202" t="inlineStr">
        <is>
          <t>Jace ( Creping T1)</t>
        </is>
      </c>
      <c r="D725" s="202" t="n">
        <v>5</v>
      </c>
      <c r="E725" s="166" t="n"/>
      <c r="F725" s="166" t="n"/>
      <c r="G725" s="166" t="n"/>
      <c r="H725" s="166" t="n"/>
      <c r="I725" s="166" t="n"/>
      <c r="J725" s="166" t="n"/>
      <c r="K725" s="166" t="n"/>
      <c r="L725" s="166" t="n"/>
    </row>
    <row r="726" ht="15" customHeight="1" s="2">
      <c r="A726" s="166" t="n"/>
      <c r="B726" s="166" t="n"/>
      <c r="C726" s="166" t="n"/>
      <c r="D726" s="166" t="n"/>
      <c r="E726" s="166" t="n"/>
      <c r="F726" s="166" t="n"/>
      <c r="G726" s="166" t="n"/>
      <c r="H726" s="166" t="n"/>
      <c r="I726" s="166" t="n"/>
      <c r="J726" s="166" t="n"/>
      <c r="K726" s="166" t="n"/>
      <c r="L726" s="166" t="n"/>
    </row>
    <row r="727" ht="15" customHeight="1" s="2">
      <c r="A727" s="166" t="n"/>
      <c r="B727" s="168" t="n"/>
      <c r="C727" s="168" t="n"/>
      <c r="D727" s="166" t="n"/>
      <c r="E727" s="168" t="n"/>
      <c r="F727" s="168" t="n"/>
      <c r="G727" s="166" t="n"/>
      <c r="H727" s="168" t="n"/>
      <c r="I727" s="168" t="n"/>
      <c r="J727" s="166" t="n"/>
      <c r="K727" s="166" t="n"/>
      <c r="L727" s="166" t="n"/>
    </row>
    <row r="728" ht="18" customHeight="1" s="2" thickBot="1">
      <c r="A728" s="238" t="n"/>
      <c r="B728" s="222" t="n">
        <v>42954</v>
      </c>
      <c r="C728" s="235" t="n">
        <v>43318</v>
      </c>
      <c r="D728" s="236" t="n"/>
      <c r="E728" s="222" t="n">
        <v>42961</v>
      </c>
      <c r="F728" s="237" t="n">
        <v>43325</v>
      </c>
      <c r="G728" s="236" t="n"/>
      <c r="H728" s="222" t="n">
        <v>42968</v>
      </c>
      <c r="I728" s="237" t="n">
        <v>43332</v>
      </c>
      <c r="J728" s="223" t="n"/>
      <c r="K728" s="166" t="n"/>
      <c r="L728" s="166" t="n"/>
    </row>
    <row r="729" ht="17.85" customHeight="1" s="2" thickBot="1">
      <c r="A729" s="176" t="n"/>
      <c r="B729" s="177" t="inlineStr">
        <is>
          <t>Last Year</t>
        </is>
      </c>
      <c r="C729" s="178" t="inlineStr">
        <is>
          <t>Projected</t>
        </is>
      </c>
      <c r="D729" s="230" t="inlineStr">
        <is>
          <t>Actual</t>
        </is>
      </c>
      <c r="E729" s="177" t="inlineStr">
        <is>
          <t>Last Year</t>
        </is>
      </c>
      <c r="F729" s="178" t="inlineStr">
        <is>
          <t>Projected</t>
        </is>
      </c>
      <c r="G729" s="230" t="inlineStr">
        <is>
          <t>Actual</t>
        </is>
      </c>
      <c r="H729" s="177" t="inlineStr">
        <is>
          <t>Last Year</t>
        </is>
      </c>
      <c r="I729" s="178" t="inlineStr">
        <is>
          <t>Projected</t>
        </is>
      </c>
      <c r="J729" s="230" t="inlineStr">
        <is>
          <t>Actual</t>
        </is>
      </c>
      <c r="K729" s="180" t="n"/>
      <c r="L729" s="166" t="n"/>
    </row>
    <row r="730" ht="18" customHeight="1" s="2">
      <c r="A730" s="181" t="inlineStr">
        <is>
          <t>GROSS TOTAL</t>
        </is>
      </c>
      <c r="B730" s="184" t="n">
        <v>170122.43</v>
      </c>
      <c r="C730" s="184" t="n">
        <v>168121</v>
      </c>
      <c r="D730" s="184" t="n">
        <v>154524</v>
      </c>
      <c r="E730" s="184" t="n">
        <v>185531.97</v>
      </c>
      <c r="F730" s="215" t="n">
        <v>176869</v>
      </c>
      <c r="G730" s="184" t="n">
        <v>177299</v>
      </c>
      <c r="H730" s="184" t="n">
        <v>183533.96</v>
      </c>
      <c r="I730" s="215" t="n">
        <v>160902</v>
      </c>
      <c r="J730" s="185" t="n">
        <v>163551.87</v>
      </c>
      <c r="K730" s="186" t="n"/>
      <c r="L730" s="166" t="n"/>
    </row>
    <row r="731" ht="17.45" customHeight="1" s="2">
      <c r="A731" s="187" t="inlineStr">
        <is>
          <t>NETT  TOTAL</t>
        </is>
      </c>
      <c r="B731" s="22">
        <f>B730/1.1</f>
        <v/>
      </c>
      <c r="C731" s="9">
        <f>C730/1.1</f>
        <v/>
      </c>
      <c r="D731" s="32">
        <f>D730/1.1</f>
        <v/>
      </c>
      <c r="E731" s="10">
        <f>E730/1.1</f>
        <v/>
      </c>
      <c r="F731" s="28">
        <f>F730/1.1</f>
        <v/>
      </c>
      <c r="G731" s="32">
        <f>G730/1.1</f>
        <v/>
      </c>
      <c r="H731" s="22">
        <f>H730/1.1</f>
        <v/>
      </c>
      <c r="I731" s="9">
        <f>I730/1.1</f>
        <v/>
      </c>
      <c r="J731" s="39">
        <f>J730/1.1</f>
        <v/>
      </c>
      <c r="K731" s="186" t="n"/>
      <c r="L731" s="166" t="n"/>
    </row>
    <row r="732" ht="17.45" customHeight="1" s="2">
      <c r="A732" s="188" t="inlineStr">
        <is>
          <t>Customers</t>
        </is>
      </c>
      <c r="B732" s="10" t="n">
        <v>8168</v>
      </c>
      <c r="C732" s="10" t="n">
        <v>7905</v>
      </c>
      <c r="D732" s="10" t="n">
        <v>7526</v>
      </c>
      <c r="E732" s="10" t="n">
        <v>8756</v>
      </c>
      <c r="F732" s="28" t="n">
        <v>8375</v>
      </c>
      <c r="G732" s="10" t="n">
        <v>8804</v>
      </c>
      <c r="H732" s="10" t="n">
        <v>8873</v>
      </c>
      <c r="I732" s="28" t="n">
        <v>7780</v>
      </c>
      <c r="J732" s="11" t="n">
        <v>7893</v>
      </c>
      <c r="K732" s="171" t="n"/>
      <c r="L732" s="166" t="n"/>
    </row>
    <row r="733" ht="17.45" customHeight="1" s="2">
      <c r="A733" s="188" t="inlineStr">
        <is>
          <t>Average Customer Spend</t>
        </is>
      </c>
      <c r="B733" s="22">
        <f>B730/B732</f>
        <v/>
      </c>
      <c r="C733" s="9">
        <f>C730/C732</f>
        <v/>
      </c>
      <c r="D733" s="32">
        <f>D730/D732</f>
        <v/>
      </c>
      <c r="E733" s="10">
        <f>E730/E732</f>
        <v/>
      </c>
      <c r="F733" s="28">
        <f>F730/F732</f>
        <v/>
      </c>
      <c r="G733" s="32">
        <f>G730/G732</f>
        <v/>
      </c>
      <c r="H733" s="22">
        <f>H730/H732</f>
        <v/>
      </c>
      <c r="I733" s="9">
        <f>I730/I732</f>
        <v/>
      </c>
      <c r="J733" s="33">
        <f>J730/J732</f>
        <v/>
      </c>
      <c r="K733" s="171" t="n"/>
      <c r="L733" s="166" t="n"/>
    </row>
    <row r="734" ht="17.45" customHeight="1" s="2">
      <c r="A734" s="191" t="inlineStr">
        <is>
          <t>Wage % to Gross total</t>
        </is>
      </c>
      <c r="B734" s="210">
        <f>(B737*B738)/B730</f>
        <v/>
      </c>
      <c r="C734" s="9">
        <f>(C737*C738)/C730</f>
        <v/>
      </c>
      <c r="D734" s="39">
        <f>(D737*D738)/D730</f>
        <v/>
      </c>
      <c r="E734" s="210">
        <f>(E737*E738)/E730</f>
        <v/>
      </c>
      <c r="F734" s="265">
        <f>(F737*F738)/F730</f>
        <v/>
      </c>
      <c r="G734" s="266">
        <f>(G737*G738)/G730</f>
        <v/>
      </c>
      <c r="H734" s="210">
        <f>(H737*H738)/H730</f>
        <v/>
      </c>
      <c r="I734" s="265">
        <f>(I737*I738)/I730</f>
        <v/>
      </c>
      <c r="J734" s="267">
        <f>(J737*J738)/J730</f>
        <v/>
      </c>
      <c r="K734" s="171" t="n"/>
      <c r="L734" s="166" t="n"/>
    </row>
    <row r="735" ht="17.45" customHeight="1" s="2">
      <c r="A735" s="191" t="inlineStr">
        <is>
          <t>Wage % to Nett Total</t>
        </is>
      </c>
      <c r="B735" s="210">
        <f>(B737*B738)/B731</f>
        <v/>
      </c>
      <c r="C735" s="9">
        <f>(C738*C739)/C731</f>
        <v/>
      </c>
      <c r="D735" s="39">
        <f>(D737*D738)/D731</f>
        <v/>
      </c>
      <c r="E735" s="210">
        <f>(E737*E738)/E731</f>
        <v/>
      </c>
      <c r="F735" s="265">
        <f>(F737*F738)/F731</f>
        <v/>
      </c>
      <c r="G735" s="266">
        <f>(G737*G738)/G731</f>
        <v/>
      </c>
      <c r="H735" s="210">
        <f>(H737*H738)/H731</f>
        <v/>
      </c>
      <c r="I735" s="265">
        <f>(I737*I738)/I731</f>
        <v/>
      </c>
      <c r="J735" s="267">
        <f>(J737*J738)/J731</f>
        <v/>
      </c>
      <c r="K735" s="171" t="n"/>
      <c r="L735" s="166" t="n"/>
    </row>
    <row r="736" ht="17.45" customHeight="1" s="2">
      <c r="A736" s="188" t="inlineStr">
        <is>
          <t>Productivity</t>
        </is>
      </c>
      <c r="B736" s="22">
        <f>B732/B738</f>
        <v/>
      </c>
      <c r="C736" s="9">
        <f>(C739*C740)/C732</f>
        <v/>
      </c>
      <c r="D736" s="32">
        <f>D732/D738</f>
        <v/>
      </c>
      <c r="E736" s="10">
        <f>E732/E738</f>
        <v/>
      </c>
      <c r="F736" s="28">
        <f>F732/F738</f>
        <v/>
      </c>
      <c r="G736" s="32">
        <f>G732/G738</f>
        <v/>
      </c>
      <c r="H736" s="10">
        <f>H732/H738</f>
        <v/>
      </c>
      <c r="I736" s="28">
        <f>I732/I738</f>
        <v/>
      </c>
      <c r="J736" s="33">
        <f>J732/J738</f>
        <v/>
      </c>
      <c r="K736" s="171" t="n"/>
      <c r="L736" s="166" t="n"/>
    </row>
    <row r="737" ht="17.45" customHeight="1" s="2">
      <c r="A737" s="188" t="inlineStr">
        <is>
          <t>Average Hourly Rate</t>
        </is>
      </c>
      <c r="B737" s="10" t="n">
        <v>32.51</v>
      </c>
      <c r="C737" s="189" t="n">
        <v>32</v>
      </c>
      <c r="D737" s="32" t="n">
        <v>34.67</v>
      </c>
      <c r="E737" s="10" t="n">
        <v>32.28</v>
      </c>
      <c r="F737" s="28" t="n">
        <v>32</v>
      </c>
      <c r="G737" s="32" t="n">
        <v>32.97</v>
      </c>
      <c r="H737" s="10" t="n">
        <v>32.31</v>
      </c>
      <c r="I737" s="189" t="n">
        <v>32</v>
      </c>
      <c r="J737" s="33" t="n">
        <v>34.09</v>
      </c>
      <c r="K737" s="171" t="n"/>
      <c r="L737" s="166" t="n"/>
    </row>
    <row r="738" ht="17.45" customHeight="1" s="2">
      <c r="A738" s="188" t="inlineStr">
        <is>
          <t>Total hours for productivity</t>
        </is>
      </c>
      <c r="B738" s="10" t="n">
        <v>1482.5</v>
      </c>
      <c r="C738" s="189" t="n">
        <v>1493</v>
      </c>
      <c r="D738" s="32" t="n">
        <v>1526.25</v>
      </c>
      <c r="E738" s="10" t="n">
        <v>1586.75</v>
      </c>
      <c r="F738" s="28" t="n">
        <v>1546.5</v>
      </c>
      <c r="G738" s="32" t="n">
        <v>1622.75</v>
      </c>
      <c r="H738" s="10" t="n">
        <v>1582.75</v>
      </c>
      <c r="I738" s="189" t="n">
        <v>1510</v>
      </c>
      <c r="J738" s="33" t="n">
        <v>1475.25</v>
      </c>
      <c r="K738" s="171" t="n"/>
      <c r="L738" s="166" t="n"/>
    </row>
    <row r="739" ht="17.45" customHeight="1" s="2">
      <c r="A739" s="188" t="inlineStr">
        <is>
          <t>Training Hours used</t>
        </is>
      </c>
      <c r="B739" s="10" t="n">
        <v>76.5</v>
      </c>
      <c r="C739" s="189" t="n">
        <v>28.5</v>
      </c>
      <c r="D739" s="32" t="n">
        <v>126.5</v>
      </c>
      <c r="E739" s="10" t="n">
        <v>92.5</v>
      </c>
      <c r="F739" s="28" t="n">
        <v>124</v>
      </c>
      <c r="G739" s="32" t="n">
        <v>193</v>
      </c>
      <c r="H739" s="10" t="n">
        <v>40</v>
      </c>
      <c r="I739" s="189" t="n">
        <v>134.5</v>
      </c>
      <c r="J739" s="39" t="n">
        <v>113</v>
      </c>
      <c r="K739" s="186" t="n"/>
      <c r="L739" s="166" t="n"/>
    </row>
    <row r="740" ht="18" customHeight="1" s="2" thickBot="1">
      <c r="A740" s="193" t="inlineStr">
        <is>
          <t>Number of hours used to cover sick leave</t>
        </is>
      </c>
      <c r="B740" s="15" t="n">
        <v>13</v>
      </c>
      <c r="C740" s="14" t="n"/>
      <c r="D740" s="34" t="n"/>
      <c r="E740" s="15" t="n">
        <v>15</v>
      </c>
      <c r="F740" s="41" t="n"/>
      <c r="G740" s="34" t="n"/>
      <c r="H740" s="15" t="n">
        <v>15.5</v>
      </c>
      <c r="I740" s="189" t="n"/>
      <c r="J740" s="233" t="n"/>
      <c r="K740" s="186" t="n"/>
      <c r="L740" s="166" t="n"/>
    </row>
    <row r="741" ht="15.95" customHeight="1" s="2" thickBot="1">
      <c r="A741" s="195" t="inlineStr">
        <is>
          <t>Minimum HOURS</t>
        </is>
      </c>
      <c r="B741" s="196" t="inlineStr">
        <is>
          <t xml:space="preserve">Kitchen </t>
        </is>
      </c>
      <c r="C741" s="16" t="n">
        <v>585</v>
      </c>
      <c r="D741" s="35" t="n"/>
      <c r="E741" s="196" t="inlineStr">
        <is>
          <t xml:space="preserve">Kitchen </t>
        </is>
      </c>
      <c r="F741" s="16" t="n">
        <v>611</v>
      </c>
      <c r="G741" s="36" t="n"/>
      <c r="H741" s="196" t="inlineStr">
        <is>
          <t xml:space="preserve">Kitchen </t>
        </is>
      </c>
      <c r="I741" s="14" t="n"/>
      <c r="J741" s="35" t="n"/>
      <c r="K741" s="180" t="n"/>
      <c r="L741" s="166" t="n"/>
    </row>
    <row r="742" ht="15.95" customHeight="1" s="2" thickBot="1">
      <c r="A742" s="197" t="n"/>
      <c r="B742" s="198" t="inlineStr">
        <is>
          <t xml:space="preserve">Floor </t>
        </is>
      </c>
      <c r="C742" s="18" t="n">
        <v>641</v>
      </c>
      <c r="D742" s="35" t="n"/>
      <c r="E742" s="198" t="inlineStr">
        <is>
          <t xml:space="preserve">Floor </t>
        </is>
      </c>
      <c r="F742" s="18" t="n">
        <v>805</v>
      </c>
      <c r="G742" s="234" t="n"/>
      <c r="H742" s="198" t="inlineStr">
        <is>
          <t xml:space="preserve">Floor </t>
        </is>
      </c>
      <c r="I742" s="42" t="n"/>
      <c r="J742" s="35" t="n"/>
      <c r="K742" s="180" t="n"/>
      <c r="L742" s="166" t="n"/>
    </row>
    <row r="743" ht="15.95" customHeight="1" s="2" thickBot="1">
      <c r="A743" s="197" t="n"/>
      <c r="B743" s="199" t="inlineStr">
        <is>
          <t>TOTAL</t>
        </is>
      </c>
      <c r="C743" s="42">
        <f>SUM(C741:C742)</f>
        <v/>
      </c>
      <c r="D743" s="35">
        <f>SUM(D741:D742)</f>
        <v/>
      </c>
      <c r="E743" s="199" t="inlineStr">
        <is>
          <t>TOTAL</t>
        </is>
      </c>
      <c r="F743" s="42">
        <f>SUM(F741:F742)</f>
        <v/>
      </c>
      <c r="G743" s="35">
        <f>SUM(G741:G742)</f>
        <v/>
      </c>
      <c r="H743" s="199" t="inlineStr">
        <is>
          <t>TOTAL</t>
        </is>
      </c>
      <c r="I743" s="42">
        <f>SUM(I741:I742)</f>
        <v/>
      </c>
      <c r="J743" s="35">
        <f>SUM(J741:J742)</f>
        <v/>
      </c>
      <c r="K743" s="180" t="n"/>
      <c r="L743" s="166" t="n"/>
    </row>
    <row r="744" ht="15.6" customHeight="1" s="2">
      <c r="A744" s="166" t="n"/>
      <c r="B744" s="201" t="n"/>
      <c r="C744" s="268" t="n"/>
      <c r="D744" s="268" t="n"/>
      <c r="E744" s="201" t="n"/>
      <c r="F744" s="269" t="n"/>
      <c r="G744" s="269" t="n"/>
      <c r="H744" s="201" t="n"/>
      <c r="I744" s="269" t="n"/>
      <c r="J744" s="269" t="n"/>
      <c r="K744" s="166" t="n"/>
      <c r="L744" s="166" t="n"/>
    </row>
    <row r="745" ht="17.1" customHeight="1" s="2">
      <c r="A745" s="166" t="n"/>
      <c r="B745" s="270" t="n"/>
      <c r="C745" s="271" t="inlineStr">
        <is>
          <t>NEW STARTERS</t>
        </is>
      </c>
      <c r="D745" s="271" t="inlineStr">
        <is>
          <t>HOURS</t>
        </is>
      </c>
      <c r="E745" s="272" t="n"/>
      <c r="F745" s="273" t="inlineStr">
        <is>
          <t>Trainings</t>
        </is>
      </c>
      <c r="G745" s="273" t="n"/>
      <c r="H745" s="274" t="n"/>
      <c r="I745" s="273" t="inlineStr">
        <is>
          <t>Trainings</t>
        </is>
      </c>
      <c r="J745" s="273" t="n"/>
      <c r="K745" s="171" t="n"/>
      <c r="L745" s="166" t="n"/>
    </row>
    <row r="746" ht="17.1" customHeight="1" s="2">
      <c r="A746" s="166" t="n"/>
      <c r="B746" s="270" t="n"/>
      <c r="C746" s="275" t="inlineStr">
        <is>
          <t>Floor</t>
        </is>
      </c>
      <c r="D746" s="271" t="n"/>
      <c r="E746" s="276" t="n"/>
      <c r="F746" s="275" t="inlineStr">
        <is>
          <t>Floor</t>
        </is>
      </c>
      <c r="G746" s="271" t="n"/>
      <c r="H746" s="276" t="n"/>
      <c r="I746" s="275" t="inlineStr">
        <is>
          <t>Floor</t>
        </is>
      </c>
      <c r="J746" s="271" t="n"/>
      <c r="K746" s="186" t="n"/>
      <c r="L746" s="166" t="n"/>
    </row>
    <row r="747" ht="17.1" customHeight="1" s="2">
      <c r="A747" s="166" t="n"/>
      <c r="B747" s="270" t="n"/>
      <c r="C747" s="277" t="inlineStr">
        <is>
          <t>Justina Kasinaviciute</t>
        </is>
      </c>
      <c r="D747" s="271" t="n">
        <v>20</v>
      </c>
      <c r="E747" s="276" t="n"/>
      <c r="F747" s="277" t="inlineStr">
        <is>
          <t>Justina Kasinaviciute</t>
        </is>
      </c>
      <c r="G747" s="271" t="n">
        <v>5</v>
      </c>
      <c r="H747" s="276" t="n"/>
      <c r="I747" s="271" t="inlineStr">
        <is>
          <t>Susma (SUP T6 + 4 dummy run)</t>
        </is>
      </c>
      <c r="J747" s="271" t="n">
        <v>39.5</v>
      </c>
      <c r="K747" s="186" t="n"/>
      <c r="L747" s="166" t="n"/>
    </row>
    <row r="748" ht="17.1" customHeight="1" s="2">
      <c r="A748" s="166" t="n"/>
      <c r="B748" s="270" t="n"/>
      <c r="C748" s="277" t="inlineStr">
        <is>
          <t>Niraj Amatya</t>
        </is>
      </c>
      <c r="D748" s="271" t="n">
        <v>25</v>
      </c>
      <c r="E748" s="276" t="n"/>
      <c r="F748" s="277" t="inlineStr">
        <is>
          <t>Garima Nayyar</t>
        </is>
      </c>
      <c r="G748" s="271" t="n">
        <v>20</v>
      </c>
      <c r="H748" s="276" t="n"/>
      <c r="I748" s="271" t="inlineStr">
        <is>
          <t>Arpit (SUP MILKO T4 + 2 dummy run)</t>
        </is>
      </c>
      <c r="J748" s="271" t="n">
        <v>22.5</v>
      </c>
      <c r="K748" s="186" t="n"/>
      <c r="L748" s="166" t="n"/>
    </row>
    <row r="749" ht="17.1" customHeight="1" s="2">
      <c r="A749" s="166" t="n"/>
      <c r="B749" s="270" t="n"/>
      <c r="C749" s="277" t="inlineStr">
        <is>
          <t>Garima Nayyar</t>
        </is>
      </c>
      <c r="D749" s="271" t="n">
        <v>4</v>
      </c>
      <c r="E749" s="276" t="n"/>
      <c r="F749" s="277" t="inlineStr">
        <is>
          <t>Preshna Prasain</t>
        </is>
      </c>
      <c r="G749" s="271" t="n">
        <v>5</v>
      </c>
      <c r="H749" s="276" t="n"/>
      <c r="I749" s="277" t="n"/>
      <c r="J749" s="271" t="n"/>
      <c r="K749" s="186" t="n"/>
      <c r="L749" s="166" t="n"/>
    </row>
    <row r="750" ht="17.1" customHeight="1" s="2">
      <c r="A750" s="166" t="n"/>
      <c r="B750" s="270" t="n"/>
      <c r="C750" s="277" t="inlineStr">
        <is>
          <t>Preshna Prasain</t>
        </is>
      </c>
      <c r="D750" s="271" t="n">
        <v>20</v>
      </c>
      <c r="E750" s="276" t="n"/>
      <c r="F750" s="277" t="inlineStr">
        <is>
          <t>Santoshi Rumdali</t>
        </is>
      </c>
      <c r="G750" s="271" t="n">
        <v>5</v>
      </c>
      <c r="H750" s="276" t="n"/>
      <c r="I750" s="277" t="n"/>
      <c r="J750" s="271" t="n"/>
      <c r="K750" s="186" t="n"/>
      <c r="L750" s="166" t="n"/>
    </row>
    <row r="751" ht="17.1" customHeight="1" s="2">
      <c r="A751" s="166" t="n"/>
      <c r="B751" s="270" t="n"/>
      <c r="C751" s="277" t="inlineStr">
        <is>
          <t>Santoshi Rumdali</t>
        </is>
      </c>
      <c r="D751" s="271" t="n">
        <v>20</v>
      </c>
      <c r="E751" s="276" t="n"/>
      <c r="F751" s="277" t="inlineStr">
        <is>
          <t>Ugur Salik</t>
        </is>
      </c>
      <c r="G751" s="271" t="n">
        <v>5</v>
      </c>
      <c r="H751" s="276" t="n"/>
      <c r="I751" s="277" t="n"/>
      <c r="J751" s="271" t="n"/>
      <c r="K751" s="186" t="n"/>
      <c r="L751" s="166" t="n"/>
    </row>
    <row r="752" ht="17.45" customHeight="1" s="2">
      <c r="A752" s="166" t="n"/>
      <c r="B752" s="270" t="n"/>
      <c r="C752" s="277" t="inlineStr">
        <is>
          <t>Ugur Salik</t>
        </is>
      </c>
      <c r="D752" s="271" t="n">
        <v>20</v>
      </c>
      <c r="E752" s="276" t="n"/>
      <c r="F752" s="271" t="inlineStr">
        <is>
          <t>Susma (SUP T1- T5)</t>
        </is>
      </c>
      <c r="G752" s="271" t="n">
        <v>40</v>
      </c>
      <c r="H752" s="276" t="n"/>
      <c r="I752" s="278" t="n"/>
      <c r="J752" s="278" t="n"/>
      <c r="K752" s="186" t="n"/>
      <c r="L752" s="166" t="n"/>
    </row>
    <row r="753" ht="17.45" customHeight="1" s="2">
      <c r="A753" s="166" t="n"/>
      <c r="B753" s="270" t="n"/>
      <c r="C753" s="278" t="n"/>
      <c r="D753" s="278" t="n"/>
      <c r="E753" s="276" t="n"/>
      <c r="F753" s="271" t="inlineStr">
        <is>
          <t>Arpit (SUP MILKO T1-T3)</t>
        </is>
      </c>
      <c r="G753" s="271" t="n">
        <v>22.5</v>
      </c>
      <c r="H753" s="276" t="n"/>
      <c r="I753" s="278" t="n"/>
      <c r="J753" s="278" t="n"/>
      <c r="K753" s="186" t="n"/>
      <c r="L753" s="166" t="n"/>
    </row>
    <row r="754" ht="17.45" customHeight="1" s="2">
      <c r="A754" s="166" t="n"/>
      <c r="B754" s="270" t="n"/>
      <c r="C754" s="278" t="n"/>
      <c r="D754" s="278" t="n"/>
      <c r="E754" s="276" t="n"/>
      <c r="F754" s="271" t="n"/>
      <c r="G754" s="271" t="n"/>
      <c r="H754" s="276" t="n"/>
      <c r="I754" s="271" t="n"/>
      <c r="J754" s="271" t="n"/>
      <c r="K754" s="186" t="n"/>
      <c r="L754" s="166" t="n"/>
    </row>
    <row r="755" ht="17.45" customHeight="1" s="2">
      <c r="A755" s="166" t="n"/>
      <c r="B755" s="270" t="n"/>
      <c r="C755" s="278" t="n"/>
      <c r="D755" s="278" t="n"/>
      <c r="E755" s="276" t="n"/>
      <c r="F755" s="271" t="n"/>
      <c r="G755" s="271" t="n"/>
      <c r="H755" s="276" t="n"/>
      <c r="I755" s="271" t="n"/>
      <c r="J755" s="271" t="n"/>
      <c r="K755" s="186" t="n"/>
      <c r="L755" s="166" t="n"/>
    </row>
    <row r="756" ht="17.1" customHeight="1" s="2">
      <c r="A756" s="166" t="n"/>
      <c r="B756" s="270" t="n"/>
      <c r="C756" s="279" t="inlineStr">
        <is>
          <t>Kitchen</t>
        </is>
      </c>
      <c r="D756" s="271" t="n"/>
      <c r="E756" s="276" t="n"/>
      <c r="F756" s="279" t="inlineStr">
        <is>
          <t>Kitchen</t>
        </is>
      </c>
      <c r="G756" s="271" t="n"/>
      <c r="H756" s="276" t="n"/>
      <c r="I756" s="279" t="inlineStr">
        <is>
          <t>Kitchen</t>
        </is>
      </c>
      <c r="J756" s="271" t="n"/>
      <c r="K756" s="186" t="n"/>
      <c r="L756" s="166" t="n"/>
    </row>
    <row r="757" ht="17.1" customHeight="1" s="2">
      <c r="A757" s="166" t="n"/>
      <c r="B757" s="270" t="n"/>
      <c r="C757" s="271" t="inlineStr">
        <is>
          <t>AZIZ TANJIL</t>
        </is>
      </c>
      <c r="D757" s="271" t="n">
        <v>3</v>
      </c>
      <c r="E757" s="276" t="n"/>
      <c r="F757" s="271" t="inlineStr">
        <is>
          <t>AZIZ TANJIL</t>
        </is>
      </c>
      <c r="G757" s="271" t="n">
        <v>20</v>
      </c>
      <c r="H757" s="276" t="n"/>
      <c r="I757" s="271" t="inlineStr">
        <is>
          <t>AZIZ TANJIL (Grill)</t>
        </is>
      </c>
      <c r="J757" s="271" t="n">
        <v>20</v>
      </c>
      <c r="K757" s="186" t="n"/>
      <c r="L757" s="166" t="n"/>
    </row>
    <row r="758" ht="17.1" customHeight="1" s="2">
      <c r="A758" s="166" t="n"/>
      <c r="B758" s="270" t="n"/>
      <c r="C758" s="271" t="inlineStr">
        <is>
          <t>PRAMESWORO HENRICUS</t>
        </is>
      </c>
      <c r="D758" s="271" t="n">
        <v>3</v>
      </c>
      <c r="E758" s="276" t="n"/>
      <c r="F758" s="271" t="inlineStr">
        <is>
          <t>PRAMESWORO HENRICUS</t>
        </is>
      </c>
      <c r="G758" s="271" t="n">
        <v>20</v>
      </c>
      <c r="H758" s="276" t="n"/>
      <c r="I758" s="271" t="inlineStr">
        <is>
          <t>PRAMESWORO HENRICUS (BF)</t>
        </is>
      </c>
      <c r="J758" s="271" t="n">
        <v>14.5</v>
      </c>
      <c r="K758" s="186" t="n"/>
      <c r="L758" s="166" t="n"/>
    </row>
    <row r="759" ht="17.1" customHeight="1" s="2">
      <c r="A759" s="166" t="n"/>
      <c r="B759" s="270" t="n"/>
      <c r="C759" s="271" t="inlineStr">
        <is>
          <t>NEPAL GAURAB</t>
        </is>
      </c>
      <c r="D759" s="271" t="n">
        <v>3</v>
      </c>
      <c r="E759" s="276" t="n"/>
      <c r="F759" s="271" t="inlineStr">
        <is>
          <t>NEPAL GAURAB</t>
        </is>
      </c>
      <c r="G759" s="271" t="n">
        <v>21.5</v>
      </c>
      <c r="H759" s="276" t="n"/>
      <c r="I759" s="271" t="inlineStr">
        <is>
          <t>NEPAL GAURAB (Prep T3)</t>
        </is>
      </c>
      <c r="J759" s="271" t="n">
        <v>8</v>
      </c>
      <c r="K759" s="186" t="n"/>
      <c r="L759" s="166" t="n"/>
    </row>
    <row r="760" ht="17.1" customHeight="1" s="2">
      <c r="A760" s="166" t="n"/>
      <c r="B760" s="270" t="n"/>
      <c r="C760" s="271" t="n"/>
      <c r="D760" s="271" t="n"/>
      <c r="E760" s="276" t="n"/>
      <c r="F760" s="271" t="inlineStr">
        <is>
          <t>AHMED</t>
        </is>
      </c>
      <c r="G760" s="271" t="n">
        <v>20.5</v>
      </c>
      <c r="H760" s="276" t="n"/>
      <c r="I760" s="271" t="inlineStr">
        <is>
          <t>AHMED</t>
        </is>
      </c>
      <c r="J760" s="271" t="n"/>
      <c r="K760" s="186" t="n"/>
      <c r="L760" s="166" t="n"/>
    </row>
    <row r="761" ht="17.1" customHeight="1" s="2">
      <c r="A761" s="166" t="n"/>
      <c r="B761" s="270" t="n"/>
      <c r="C761" s="271" t="inlineStr">
        <is>
          <t>FAYSHAL - ROSTER T1</t>
        </is>
      </c>
      <c r="D761" s="271" t="n">
        <v>3.5</v>
      </c>
      <c r="E761" s="276" t="n"/>
      <c r="F761" s="271" t="inlineStr">
        <is>
          <t>FAYSHAL - ROSTER T2</t>
        </is>
      </c>
      <c r="G761" s="271" t="n">
        <v>3.5</v>
      </c>
      <c r="H761" s="276" t="n"/>
      <c r="I761" s="271" t="inlineStr">
        <is>
          <t>FAYSHAL - ROSTER T2</t>
        </is>
      </c>
      <c r="J761" s="271" t="n">
        <v>3.5</v>
      </c>
      <c r="K761" s="186" t="n"/>
      <c r="L761" s="166" t="n"/>
    </row>
    <row r="762" ht="17.1" customHeight="1" s="2">
      <c r="A762" s="166" t="n"/>
      <c r="B762" s="270" t="n"/>
      <c r="C762" s="271" t="inlineStr">
        <is>
          <t>MOHIT - INVOICE T1</t>
        </is>
      </c>
      <c r="D762" s="271" t="n">
        <v>5</v>
      </c>
      <c r="E762" s="276" t="n"/>
      <c r="F762" s="271" t="inlineStr">
        <is>
          <t>MOHIT - INVOICE T2</t>
        </is>
      </c>
      <c r="G762" s="271" t="n">
        <v>5</v>
      </c>
      <c r="H762" s="276" t="n"/>
      <c r="I762" s="271" t="inlineStr">
        <is>
          <t>MOHIT - INVOICE T2</t>
        </is>
      </c>
      <c r="J762" s="271" t="n">
        <v>5</v>
      </c>
      <c r="K762" s="186" t="n"/>
      <c r="L762" s="166" t="n"/>
    </row>
    <row r="763" ht="17.1" customHeight="1" s="2">
      <c r="A763" s="166" t="n"/>
      <c r="B763" s="270" t="n"/>
      <c r="C763" s="271" t="n"/>
      <c r="D763" s="271" t="n"/>
      <c r="E763" s="276" t="n"/>
      <c r="F763" s="271" t="n"/>
      <c r="G763" s="271" t="n"/>
      <c r="H763" s="276" t="n"/>
      <c r="I763" s="271" t="n"/>
      <c r="J763" s="271" t="n"/>
      <c r="K763" s="186" t="n"/>
      <c r="L763" s="166" t="n"/>
    </row>
    <row r="764" ht="17.1" customHeight="1" s="2">
      <c r="A764" s="166" t="n"/>
      <c r="B764" s="270" t="n"/>
      <c r="C764" s="280" t="inlineStr">
        <is>
          <t>TOTAL</t>
        </is>
      </c>
      <c r="D764" s="280">
        <f>SUM(D747:D763)</f>
        <v/>
      </c>
      <c r="E764" s="276" t="n"/>
      <c r="F764" s="280" t="inlineStr">
        <is>
          <t>TOTAL</t>
        </is>
      </c>
      <c r="G764" s="280">
        <f>SUM(G747:G763)</f>
        <v/>
      </c>
      <c r="H764" s="276" t="n"/>
      <c r="I764" s="280" t="inlineStr">
        <is>
          <t>TOTAL</t>
        </is>
      </c>
      <c r="J764" s="280">
        <f>SUM(J747:J763)</f>
        <v/>
      </c>
      <c r="K764" s="186" t="n"/>
      <c r="L764" s="166" t="n"/>
    </row>
    <row r="765" ht="15" customHeight="1" s="2">
      <c r="A765" s="166" t="n"/>
      <c r="B765" s="168" t="n"/>
      <c r="C765" s="281" t="n"/>
      <c r="D765" s="282" t="n"/>
      <c r="E765" s="168" t="n"/>
      <c r="F765" s="281" t="n"/>
      <c r="G765" s="282" t="n"/>
      <c r="H765" s="168" t="n"/>
      <c r="I765" s="281" t="n"/>
      <c r="J765" s="282" t="n"/>
      <c r="K765" s="166" t="n"/>
      <c r="L765" s="166" t="n"/>
    </row>
    <row r="766" ht="18" customHeight="1" s="2" thickBot="1">
      <c r="A766" s="238" t="n"/>
      <c r="B766" s="222" t="n">
        <v>42975</v>
      </c>
      <c r="C766" s="235" t="n">
        <v>43339</v>
      </c>
      <c r="D766" s="236" t="n"/>
      <c r="E766" s="222" t="n">
        <v>42982</v>
      </c>
      <c r="F766" s="237" t="n">
        <v>43346</v>
      </c>
      <c r="G766" s="236" t="n"/>
      <c r="H766" s="222" t="n">
        <v>42989</v>
      </c>
      <c r="I766" s="237" t="n">
        <v>43353</v>
      </c>
      <c r="J766" s="223" t="n"/>
      <c r="K766" s="166" t="n"/>
      <c r="L766" s="166" t="n"/>
    </row>
    <row r="767" ht="17.85" customHeight="1" s="2" thickBot="1">
      <c r="A767" s="176" t="n"/>
      <c r="B767" s="177" t="inlineStr">
        <is>
          <t>Last Year</t>
        </is>
      </c>
      <c r="C767" s="178" t="inlineStr">
        <is>
          <t>Projected</t>
        </is>
      </c>
      <c r="D767" s="230" t="inlineStr">
        <is>
          <t>Actual</t>
        </is>
      </c>
      <c r="E767" s="177" t="inlineStr">
        <is>
          <t>Last Year</t>
        </is>
      </c>
      <c r="F767" s="178" t="inlineStr">
        <is>
          <t>Projected</t>
        </is>
      </c>
      <c r="G767" s="230" t="inlineStr">
        <is>
          <t>Actual</t>
        </is>
      </c>
      <c r="H767" s="177" t="inlineStr">
        <is>
          <t>Last Year</t>
        </is>
      </c>
      <c r="I767" s="178" t="inlineStr">
        <is>
          <t>Projected</t>
        </is>
      </c>
      <c r="J767" s="230" t="inlineStr">
        <is>
          <t>Actual</t>
        </is>
      </c>
      <c r="K767" s="180" t="n"/>
      <c r="L767" s="166" t="n"/>
    </row>
    <row r="768" ht="18" customHeight="1" s="2">
      <c r="A768" s="181" t="inlineStr">
        <is>
          <t>GROSS TOTAL</t>
        </is>
      </c>
      <c r="B768" s="184" t="n">
        <v>154288.27</v>
      </c>
      <c r="C768" s="184" t="n">
        <v>157510</v>
      </c>
      <c r="D768" s="184" t="n">
        <v>153837</v>
      </c>
      <c r="E768" s="184" t="n">
        <v>143219.3</v>
      </c>
      <c r="F768" s="215" t="n">
        <v>150787</v>
      </c>
      <c r="G768" s="184" t="n">
        <v>127590.31</v>
      </c>
      <c r="H768" s="184" t="n">
        <v>142328.54</v>
      </c>
      <c r="I768" s="215" t="n">
        <v>148623</v>
      </c>
      <c r="J768" s="185" t="n">
        <v>127767</v>
      </c>
      <c r="K768" s="186" t="n"/>
      <c r="L768" s="166" t="n"/>
    </row>
    <row r="769" ht="17.45" customHeight="1" s="2">
      <c r="A769" s="187" t="inlineStr">
        <is>
          <t>NETT  TOTAL</t>
        </is>
      </c>
      <c r="B769" s="22" t="n">
        <v>140262.0636363636</v>
      </c>
      <c r="C769" s="9">
        <f>C768/1.1</f>
        <v/>
      </c>
      <c r="D769" s="32">
        <f>D768/1.1</f>
        <v/>
      </c>
      <c r="E769" s="10">
        <f>E768/1.1</f>
        <v/>
      </c>
      <c r="F769" s="28">
        <f>F768/1.1</f>
        <v/>
      </c>
      <c r="G769" s="32">
        <f>G768/1.1</f>
        <v/>
      </c>
      <c r="H769" s="22">
        <f>H768/1.1</f>
        <v/>
      </c>
      <c r="I769" s="9">
        <f>I768/1.1</f>
        <v/>
      </c>
      <c r="J769" s="39">
        <f>J768/1.1</f>
        <v/>
      </c>
      <c r="K769" s="186" t="n"/>
      <c r="L769" s="166" t="n"/>
    </row>
    <row r="770" ht="17.45" customHeight="1" s="2">
      <c r="A770" s="188" t="inlineStr">
        <is>
          <t>Customers</t>
        </is>
      </c>
      <c r="B770" s="10" t="n">
        <v>7340</v>
      </c>
      <c r="C770" s="10" t="n">
        <v>7490</v>
      </c>
      <c r="D770" s="10" t="n">
        <v>7604</v>
      </c>
      <c r="E770" s="10" t="n">
        <v>6943</v>
      </c>
      <c r="F770" s="28" t="n">
        <v>7180</v>
      </c>
      <c r="G770" s="10" t="n">
        <v>6449</v>
      </c>
      <c r="H770" s="10" t="n">
        <v>6844</v>
      </c>
      <c r="I770" s="28" t="n">
        <v>7290</v>
      </c>
      <c r="J770" s="11" t="n">
        <v>6237</v>
      </c>
      <c r="K770" s="171" t="n"/>
      <c r="L770" s="166" t="n"/>
    </row>
    <row r="771" ht="17.45" customHeight="1" s="2">
      <c r="A771" s="188" t="inlineStr">
        <is>
          <t>Average Customer Spend</t>
        </is>
      </c>
      <c r="B771" s="22" t="n">
        <v>21.02020027247956</v>
      </c>
      <c r="C771" s="9">
        <f>C768/C770</f>
        <v/>
      </c>
      <c r="D771" s="32">
        <f>D768/D770</f>
        <v/>
      </c>
      <c r="E771" s="10">
        <f>E768/E770</f>
        <v/>
      </c>
      <c r="F771" s="28">
        <f>F768/F770</f>
        <v/>
      </c>
      <c r="G771" s="32">
        <f>G768/G770</f>
        <v/>
      </c>
      <c r="H771" s="22">
        <f>H768/H770</f>
        <v/>
      </c>
      <c r="I771" s="9">
        <f>I768/I770</f>
        <v/>
      </c>
      <c r="J771" s="33">
        <f>J768/J770</f>
        <v/>
      </c>
      <c r="K771" s="171" t="n"/>
      <c r="L771" s="166" t="n"/>
    </row>
    <row r="772" ht="17.45" customHeight="1" s="2">
      <c r="A772" s="191" t="inlineStr">
        <is>
          <t>Wage % to Gross total</t>
        </is>
      </c>
      <c r="B772" s="210" t="n">
        <v>0.3244796250550998</v>
      </c>
      <c r="C772" s="9">
        <f>(C775*C776)/C768</f>
        <v/>
      </c>
      <c r="D772" s="39">
        <f>(D775*D776)/D768</f>
        <v/>
      </c>
      <c r="E772" s="210">
        <f>(E775*E776)/E768</f>
        <v/>
      </c>
      <c r="F772" s="265">
        <f>(F775*F776)/F768</f>
        <v/>
      </c>
      <c r="G772" s="266">
        <f>(G775*G776)/G768</f>
        <v/>
      </c>
      <c r="H772" s="210">
        <f>(H775*H776)/H768</f>
        <v/>
      </c>
      <c r="I772" s="265">
        <f>(I775*I776)/I768</f>
        <v/>
      </c>
      <c r="J772" s="267">
        <f>(J775*J776)/J768</f>
        <v/>
      </c>
      <c r="K772" s="171" t="n"/>
      <c r="L772" s="166" t="n"/>
    </row>
    <row r="773" ht="17.45" customHeight="1" s="2">
      <c r="A773" s="191" t="inlineStr">
        <is>
          <t>Wage % to Nett Total</t>
        </is>
      </c>
      <c r="B773" s="210" t="n">
        <v>0.3569275875606098</v>
      </c>
      <c r="C773" s="265">
        <f>(C775*C776)/C769</f>
        <v/>
      </c>
      <c r="D773" s="266">
        <f>(D775*D776)/D769</f>
        <v/>
      </c>
      <c r="E773" s="210">
        <f>(E775*E776)/E769</f>
        <v/>
      </c>
      <c r="F773" s="265">
        <f>(F775*F776)/F769</f>
        <v/>
      </c>
      <c r="G773" s="266">
        <f>(G775*G776)/G769</f>
        <v/>
      </c>
      <c r="H773" s="210">
        <f>(H775*H776)/H769</f>
        <v/>
      </c>
      <c r="I773" s="265">
        <f>(I775*I776)/I769</f>
        <v/>
      </c>
      <c r="J773" s="267">
        <f>(J775*J776)/J769</f>
        <v/>
      </c>
      <c r="K773" s="171" t="n"/>
      <c r="L773" s="166" t="n"/>
    </row>
    <row r="774" ht="17.45" customHeight="1" s="2">
      <c r="A774" s="188" t="inlineStr">
        <is>
          <t>Productivity</t>
        </is>
      </c>
      <c r="B774" s="10" t="n">
        <v>4.816272965879265</v>
      </c>
      <c r="C774" s="28">
        <f>C770/C776</f>
        <v/>
      </c>
      <c r="D774" s="32">
        <f>D770/D776</f>
        <v/>
      </c>
      <c r="E774" s="10">
        <f>E770/E776</f>
        <v/>
      </c>
      <c r="F774" s="28">
        <f>F770/F776</f>
        <v/>
      </c>
      <c r="G774" s="32">
        <f>G770/G776</f>
        <v/>
      </c>
      <c r="H774" s="10">
        <f>H770/H776</f>
        <v/>
      </c>
      <c r="I774" s="28">
        <f>I770/I776</f>
        <v/>
      </c>
      <c r="J774" s="33">
        <f>J770/J776</f>
        <v/>
      </c>
      <c r="K774" s="171" t="n"/>
      <c r="L774" s="166" t="n"/>
    </row>
    <row r="775" ht="17.45" customHeight="1" s="2">
      <c r="A775" s="188" t="inlineStr">
        <is>
          <t>Average Hourly Rate</t>
        </is>
      </c>
      <c r="B775" s="10" t="n">
        <v>32.85</v>
      </c>
      <c r="C775" s="189" t="n">
        <v>32</v>
      </c>
      <c r="D775" s="32" t="n">
        <v>35.07</v>
      </c>
      <c r="E775" s="10" t="n">
        <v>32.85</v>
      </c>
      <c r="F775" s="28" t="n">
        <v>32</v>
      </c>
      <c r="G775" s="32" t="n">
        <v>33.86</v>
      </c>
      <c r="H775" s="10" t="n">
        <v>33.09</v>
      </c>
      <c r="I775" s="189" t="n">
        <v>32</v>
      </c>
      <c r="J775" s="33" t="n">
        <v>33.57</v>
      </c>
      <c r="K775" s="171" t="n"/>
      <c r="L775" s="166" t="n"/>
    </row>
    <row r="776" ht="17.45" customHeight="1" s="2">
      <c r="A776" s="188" t="inlineStr">
        <is>
          <t>Total hours for productivity</t>
        </is>
      </c>
      <c r="B776" s="10" t="n">
        <v>1524</v>
      </c>
      <c r="C776" s="189" t="n">
        <v>1512</v>
      </c>
      <c r="D776" s="32" t="n">
        <v>1416</v>
      </c>
      <c r="E776" s="10" t="n">
        <v>1466.5</v>
      </c>
      <c r="F776" s="28" t="n">
        <v>1491</v>
      </c>
      <c r="G776" s="32" t="n">
        <v>1492</v>
      </c>
      <c r="H776" s="10" t="n">
        <v>1460</v>
      </c>
      <c r="I776" s="28" t="n">
        <v>1491</v>
      </c>
      <c r="J776" s="33" t="n">
        <v>1524.25</v>
      </c>
      <c r="K776" s="171" t="n"/>
      <c r="L776" s="166" t="n"/>
    </row>
    <row r="777" ht="17.45" customHeight="1" s="2">
      <c r="A777" s="188" t="inlineStr">
        <is>
          <t>Training Hours used</t>
        </is>
      </c>
      <c r="B777" s="10" t="n">
        <v>25</v>
      </c>
      <c r="C777" s="189" t="n">
        <v>51.5</v>
      </c>
      <c r="D777" s="32" t="n">
        <v>28.5</v>
      </c>
      <c r="E777" s="10" t="n">
        <v>34</v>
      </c>
      <c r="F777" s="28" t="n">
        <v>73.5</v>
      </c>
      <c r="G777" s="32" t="n">
        <v>66.5</v>
      </c>
      <c r="H777" s="10" t="n">
        <v>30</v>
      </c>
      <c r="I777" s="189" t="n"/>
      <c r="J777" s="39" t="n"/>
      <c r="K777" s="186" t="n"/>
      <c r="L777" s="166" t="n"/>
    </row>
    <row r="778" ht="18" customHeight="1" s="2" thickBot="1">
      <c r="A778" s="193" t="inlineStr">
        <is>
          <t>Number of hours used to cover sick leave</t>
        </is>
      </c>
      <c r="B778" s="15" t="n"/>
      <c r="C778" s="14" t="n"/>
      <c r="D778" s="34" t="n"/>
      <c r="E778" s="15" t="n">
        <v>28.5</v>
      </c>
      <c r="F778" s="41" t="n"/>
      <c r="G778" s="34" t="n"/>
      <c r="H778" s="15" t="n"/>
      <c r="I778" s="189" t="n"/>
      <c r="J778" s="233" t="n"/>
      <c r="K778" s="186" t="n"/>
      <c r="L778" s="166" t="n"/>
    </row>
    <row r="779" ht="15.95" customHeight="1" s="2" thickBot="1">
      <c r="A779" s="195" t="inlineStr">
        <is>
          <t>Minimum HOURS</t>
        </is>
      </c>
      <c r="B779" s="196" t="inlineStr">
        <is>
          <t xml:space="preserve">Kitchen </t>
        </is>
      </c>
      <c r="C779" s="16" t="n">
        <v>578</v>
      </c>
      <c r="D779" s="35" t="n"/>
      <c r="E779" s="196" t="inlineStr">
        <is>
          <t xml:space="preserve">Kitchen </t>
        </is>
      </c>
      <c r="F779" s="16" t="n">
        <v>611</v>
      </c>
      <c r="G779" s="36" t="n"/>
      <c r="H779" s="196" t="inlineStr">
        <is>
          <t xml:space="preserve">Kitchen </t>
        </is>
      </c>
      <c r="I779" s="14" t="n">
        <v>596</v>
      </c>
      <c r="J779" s="35" t="n"/>
      <c r="K779" s="180" t="n"/>
      <c r="L779" s="166" t="n"/>
    </row>
    <row r="780" ht="15.95" customHeight="1" s="2" thickBot="1">
      <c r="A780" s="197" t="n"/>
      <c r="B780" s="198" t="inlineStr">
        <is>
          <t xml:space="preserve">Floor </t>
        </is>
      </c>
      <c r="C780" s="18" t="n">
        <v>767</v>
      </c>
      <c r="D780" s="35" t="n"/>
      <c r="E780" s="198" t="inlineStr">
        <is>
          <t xml:space="preserve">Floor </t>
        </is>
      </c>
      <c r="F780" s="18" t="n">
        <v>722</v>
      </c>
      <c r="G780" s="234" t="n"/>
      <c r="H780" s="198" t="inlineStr">
        <is>
          <t xml:space="preserve">Floor </t>
        </is>
      </c>
      <c r="I780" s="42" t="n">
        <v>732</v>
      </c>
      <c r="J780" s="35" t="n"/>
      <c r="K780" s="180" t="n"/>
      <c r="L780" s="166" t="n"/>
    </row>
    <row r="781" ht="15.95" customHeight="1" s="2" thickBot="1">
      <c r="A781" s="197" t="n"/>
      <c r="B781" s="199" t="inlineStr">
        <is>
          <t>TOTAL</t>
        </is>
      </c>
      <c r="C781" s="42">
        <f>SUM(C779:C780)</f>
        <v/>
      </c>
      <c r="D781" s="35">
        <f>SUM(D779:D780)</f>
        <v/>
      </c>
      <c r="E781" s="199" t="inlineStr">
        <is>
          <t>TOTAL</t>
        </is>
      </c>
      <c r="F781" s="42">
        <f>SUM(F779:F780)</f>
        <v/>
      </c>
      <c r="G781" s="35">
        <f>SUM(G779:G780)</f>
        <v/>
      </c>
      <c r="H781" s="199" t="inlineStr">
        <is>
          <t>TOTAL</t>
        </is>
      </c>
      <c r="I781" s="42">
        <f>SUM(I779:I780)</f>
        <v/>
      </c>
      <c r="J781" s="35">
        <f>SUM(J779:J780)</f>
        <v/>
      </c>
      <c r="K781" s="180" t="n"/>
      <c r="L781" s="166" t="n"/>
    </row>
    <row r="782" ht="15.6" customHeight="1" s="2">
      <c r="A782" s="166" t="n"/>
      <c r="B782" s="201" t="n"/>
      <c r="C782" s="269" t="n"/>
      <c r="D782" s="269" t="n"/>
      <c r="E782" s="201" t="n"/>
      <c r="F782" s="269" t="n"/>
      <c r="G782" s="269" t="n"/>
      <c r="H782" s="201" t="n"/>
      <c r="I782" s="269" t="n"/>
      <c r="J782" s="269" t="n"/>
      <c r="K782" s="166" t="n"/>
      <c r="L782" s="166" t="n"/>
    </row>
    <row r="783" ht="17.1" customHeight="1" s="2">
      <c r="A783" s="166" t="n"/>
      <c r="B783" s="169" t="n"/>
      <c r="C783" s="273" t="inlineStr">
        <is>
          <t>Trainings</t>
        </is>
      </c>
      <c r="D783" s="273" t="n"/>
      <c r="E783" s="274" t="n"/>
      <c r="F783" s="273" t="inlineStr">
        <is>
          <t>Trainings</t>
        </is>
      </c>
      <c r="G783" s="273" t="n"/>
      <c r="H783" s="274" t="n"/>
      <c r="I783" s="273" t="inlineStr">
        <is>
          <t>Trainings</t>
        </is>
      </c>
      <c r="J783" s="273" t="n"/>
      <c r="K783" s="171" t="n"/>
      <c r="L783" s="166" t="n"/>
    </row>
    <row r="784" ht="17.1" customHeight="1" s="2">
      <c r="A784" s="166" t="n"/>
      <c r="B784" s="270" t="n"/>
      <c r="C784" s="279" t="inlineStr">
        <is>
          <t>Kitchen</t>
        </is>
      </c>
      <c r="D784" s="271" t="n"/>
      <c r="E784" s="276" t="n"/>
      <c r="F784" s="279" t="inlineStr">
        <is>
          <t>Kitchen</t>
        </is>
      </c>
      <c r="G784" s="271" t="n"/>
      <c r="H784" s="276" t="n"/>
      <c r="I784" s="279" t="inlineStr">
        <is>
          <t>Kitchen</t>
        </is>
      </c>
      <c r="J784" s="271" t="n"/>
      <c r="K784" s="186" t="n"/>
      <c r="L784" s="166" t="n"/>
    </row>
    <row r="785" ht="17.1" customHeight="1" s="2">
      <c r="A785" s="166" t="n"/>
      <c r="B785" s="270" t="n"/>
      <c r="C785" s="271" t="inlineStr">
        <is>
          <t>Manju (Callin T1-T2)</t>
        </is>
      </c>
      <c r="D785" s="271" t="n">
        <v>10</v>
      </c>
      <c r="E785" s="276" t="n"/>
      <c r="F785" s="271" t="inlineStr">
        <is>
          <t>Manju (BF T1 - T3)</t>
        </is>
      </c>
      <c r="G785" s="271" t="n">
        <v>22.5</v>
      </c>
      <c r="H785" s="276" t="n"/>
      <c r="I785" s="271" t="inlineStr">
        <is>
          <t>Nikki (Pizza T1-T2-T3)</t>
        </is>
      </c>
      <c r="J785" s="271" t="n">
        <v>15</v>
      </c>
      <c r="K785" s="186" t="n"/>
      <c r="L785" s="166" t="n"/>
    </row>
    <row r="786" ht="17.1" customHeight="1" s="2">
      <c r="A786" s="166" t="n"/>
      <c r="B786" s="270" t="n"/>
      <c r="C786" s="271" t="inlineStr">
        <is>
          <t>PRAMESWORO HENRICUS (BF T3-T4)</t>
        </is>
      </c>
      <c r="D786" s="271" t="n">
        <v>10</v>
      </c>
      <c r="E786" s="276" t="n"/>
      <c r="F786" s="271" t="inlineStr">
        <is>
          <t>Anik (Grill T1-  T3)</t>
        </is>
      </c>
      <c r="G786" s="271" t="n">
        <v>15</v>
      </c>
      <c r="H786" s="276" t="n"/>
      <c r="I786" s="271" t="inlineStr">
        <is>
          <t>Sifat (Stocking +cooking T1-T4))</t>
        </is>
      </c>
      <c r="J786" s="271" t="n">
        <v>32.75</v>
      </c>
      <c r="K786" s="186" t="n"/>
      <c r="L786" s="166" t="n"/>
    </row>
    <row r="787" ht="17.1" customHeight="1" s="2">
      <c r="A787" s="166" t="n"/>
      <c r="B787" s="270" t="n"/>
      <c r="C787" s="271" t="inlineStr">
        <is>
          <t>NEPAL GAURAB (Prep T4)</t>
        </is>
      </c>
      <c r="D787" s="271" t="n">
        <v>8.5</v>
      </c>
      <c r="E787" s="276" t="n"/>
      <c r="F787" s="271" t="inlineStr">
        <is>
          <t>AZIZ TANJIL (rolling)</t>
        </is>
      </c>
      <c r="G787" s="271" t="n">
        <v>5</v>
      </c>
      <c r="H787" s="276" t="n"/>
      <c r="I787" s="271" t="inlineStr">
        <is>
          <t>Bishal - Prep (North Mead)</t>
        </is>
      </c>
      <c r="J787" s="271" t="n">
        <v>10</v>
      </c>
      <c r="K787" s="186" t="n"/>
      <c r="L787" s="166" t="n"/>
    </row>
    <row r="788" ht="17.1" customHeight="1" s="2">
      <c r="A788" s="166" t="n"/>
      <c r="B788" s="270" t="n"/>
      <c r="C788" s="271" t="n"/>
      <c r="D788" s="271" t="n"/>
      <c r="E788" s="276" t="n"/>
      <c r="F788" s="271" t="inlineStr">
        <is>
          <t>Nikki - Induction</t>
        </is>
      </c>
      <c r="G788" s="271" t="n">
        <v>3</v>
      </c>
      <c r="H788" s="276" t="n"/>
      <c r="I788" s="271" t="n"/>
      <c r="J788" s="271" t="n"/>
      <c r="K788" s="186" t="n"/>
      <c r="L788" s="166" t="n"/>
    </row>
    <row r="789" ht="17.1" customHeight="1" s="2">
      <c r="A789" s="166" t="n"/>
      <c r="B789" s="270" t="n"/>
      <c r="C789" s="271" t="n"/>
      <c r="D789" s="271" t="n"/>
      <c r="E789" s="276" t="n"/>
      <c r="F789" s="271" t="inlineStr">
        <is>
          <t>Sifat - Induction</t>
        </is>
      </c>
      <c r="G789" s="271" t="n">
        <v>3</v>
      </c>
      <c r="H789" s="276" t="n"/>
      <c r="I789" s="275" t="inlineStr">
        <is>
          <t>Floor</t>
        </is>
      </c>
      <c r="J789" s="271" t="n"/>
      <c r="K789" s="186" t="n"/>
      <c r="L789" s="166" t="n"/>
    </row>
    <row r="790" ht="17.45" customHeight="1" s="2">
      <c r="A790" s="166" t="n"/>
      <c r="B790" s="270" t="n"/>
      <c r="C790" s="271" t="n"/>
      <c r="D790" s="278" t="n"/>
      <c r="E790" s="276" t="n"/>
      <c r="F790" s="271" t="inlineStr">
        <is>
          <t>Bishal - Induction</t>
        </is>
      </c>
      <c r="G790" s="271" t="n">
        <v>3</v>
      </c>
      <c r="H790" s="276" t="n"/>
      <c r="I790" s="277" t="inlineStr">
        <is>
          <t>Sagar (Induction)</t>
        </is>
      </c>
      <c r="J790" s="271" t="n">
        <v>3</v>
      </c>
      <c r="K790" s="186" t="n"/>
      <c r="L790" s="166" t="n"/>
    </row>
    <row r="791" ht="17.45" customHeight="1" s="2">
      <c r="A791" s="166" t="n"/>
      <c r="B791" s="270" t="n"/>
      <c r="C791" s="278" t="n"/>
      <c r="D791" s="278" t="n"/>
      <c r="E791" s="276" t="n"/>
      <c r="F791" s="271" t="n"/>
      <c r="G791" s="271" t="n"/>
      <c r="H791" s="276" t="n"/>
      <c r="I791" s="271" t="inlineStr">
        <is>
          <t>Tide (Induction)</t>
        </is>
      </c>
      <c r="J791" s="271" t="n">
        <v>3</v>
      </c>
      <c r="K791" s="186" t="n"/>
      <c r="L791" s="166" t="n"/>
    </row>
    <row r="792" ht="17.1" customHeight="1" s="2">
      <c r="A792" s="166" t="n"/>
      <c r="B792" s="270" t="n"/>
      <c r="C792" s="271" t="n"/>
      <c r="D792" s="271" t="n"/>
      <c r="E792" s="276" t="n"/>
      <c r="F792" s="275" t="inlineStr">
        <is>
          <t>Floor</t>
        </is>
      </c>
      <c r="G792" s="271" t="n"/>
      <c r="H792" s="276" t="n"/>
      <c r="I792" s="271" t="inlineStr">
        <is>
          <t>Santoshi (Bar T1-T3)</t>
        </is>
      </c>
      <c r="J792" s="271" t="n">
        <v>15</v>
      </c>
      <c r="K792" s="186" t="n"/>
      <c r="L792" s="166" t="n"/>
    </row>
    <row r="793" ht="17.1" customHeight="1" s="2">
      <c r="A793" s="166" t="n"/>
      <c r="B793" s="270" t="n"/>
      <c r="C793" s="271" t="n"/>
      <c r="D793" s="271" t="n"/>
      <c r="E793" s="276" t="n"/>
      <c r="F793" s="277" t="inlineStr">
        <is>
          <t>Bipeena (Co t1-t3)</t>
        </is>
      </c>
      <c r="G793" s="271" t="n">
        <v>15</v>
      </c>
      <c r="H793" s="276" t="n"/>
      <c r="I793" s="277" t="inlineStr">
        <is>
          <t>Preshna (Bar T1-T3)</t>
        </is>
      </c>
      <c r="J793" s="271" t="n">
        <v>15</v>
      </c>
      <c r="K793" s="186" t="n"/>
      <c r="L793" s="166" t="n"/>
    </row>
    <row r="794" ht="17.1" customHeight="1" s="2">
      <c r="A794" s="166" t="n"/>
      <c r="B794" s="270" t="n"/>
      <c r="C794" s="271" t="n"/>
      <c r="D794" s="271" t="n"/>
      <c r="E794" s="276" t="n"/>
      <c r="F794" s="271" t="n"/>
      <c r="G794" s="271" t="n"/>
      <c r="H794" s="276" t="n"/>
      <c r="I794" s="271" t="inlineStr">
        <is>
          <t>Juste (Host T1-T3)</t>
        </is>
      </c>
      <c r="J794" s="271" t="n">
        <v>15</v>
      </c>
      <c r="K794" s="186" t="n"/>
      <c r="L794" s="166" t="n"/>
    </row>
    <row r="795" ht="17.1" customHeight="1" s="2">
      <c r="A795" s="166" t="n"/>
      <c r="B795" s="270" t="n"/>
      <c r="C795" s="280" t="inlineStr">
        <is>
          <t>TOTAL</t>
        </is>
      </c>
      <c r="D795" s="280">
        <f>SUM(D785:D794)</f>
        <v/>
      </c>
      <c r="E795" s="276" t="n"/>
      <c r="F795" s="280" t="inlineStr">
        <is>
          <t>TOTAL</t>
        </is>
      </c>
      <c r="G795" s="280">
        <f>SUM(G785:G794)</f>
        <v/>
      </c>
      <c r="H795" s="276" t="n"/>
      <c r="I795" s="280" t="inlineStr">
        <is>
          <t>TOTAL</t>
        </is>
      </c>
      <c r="J795" s="280">
        <f>SUM(J785:J794)</f>
        <v/>
      </c>
      <c r="K795" s="186" t="n"/>
      <c r="L795" s="166" t="n"/>
    </row>
    <row r="796" ht="15" customHeight="1" s="2">
      <c r="A796" s="166" t="n"/>
      <c r="B796" s="168" t="n"/>
      <c r="C796" s="281" t="n"/>
      <c r="D796" s="282" t="n"/>
      <c r="E796" s="168" t="n"/>
      <c r="F796" s="281" t="n"/>
      <c r="G796" s="282" t="n"/>
      <c r="H796" s="168" t="n"/>
      <c r="I796" s="281" t="n"/>
      <c r="J796" s="282" t="n"/>
      <c r="K796" s="166" t="n"/>
      <c r="L796" s="166" t="n"/>
    </row>
    <row r="797" ht="18" customHeight="1" s="2" thickBot="1">
      <c r="A797" s="238" t="n"/>
      <c r="B797" s="222" t="n">
        <v>42996</v>
      </c>
      <c r="C797" s="235" t="n">
        <v>43360</v>
      </c>
      <c r="D797" s="236" t="n"/>
      <c r="E797" s="222" t="n">
        <v>43003</v>
      </c>
      <c r="F797" s="237" t="n">
        <v>43367</v>
      </c>
      <c r="G797" s="236" t="n"/>
      <c r="H797" s="222" t="n">
        <v>43010</v>
      </c>
      <c r="I797" s="237" t="n">
        <v>43374</v>
      </c>
      <c r="J797" s="223" t="n"/>
      <c r="K797" s="166" t="n"/>
      <c r="L797" s="166" t="n"/>
    </row>
    <row r="798" ht="17.85" customHeight="1" s="2" thickBot="1">
      <c r="A798" s="176" t="n"/>
      <c r="B798" s="177" t="inlineStr">
        <is>
          <t>Last Year</t>
        </is>
      </c>
      <c r="C798" s="178" t="inlineStr">
        <is>
          <t>Projected</t>
        </is>
      </c>
      <c r="D798" s="230" t="inlineStr">
        <is>
          <t>Actual</t>
        </is>
      </c>
      <c r="E798" s="177" t="inlineStr">
        <is>
          <t>Last Year</t>
        </is>
      </c>
      <c r="F798" s="178" t="inlineStr">
        <is>
          <t>Projected</t>
        </is>
      </c>
      <c r="G798" s="230" t="inlineStr">
        <is>
          <t>Actual</t>
        </is>
      </c>
      <c r="H798" s="177" t="inlineStr">
        <is>
          <t>Last Year</t>
        </is>
      </c>
      <c r="I798" s="178" t="inlineStr">
        <is>
          <t>Projected</t>
        </is>
      </c>
      <c r="J798" s="230" t="inlineStr">
        <is>
          <t>Actual</t>
        </is>
      </c>
      <c r="K798" s="180" t="n"/>
      <c r="L798" s="166" t="n"/>
    </row>
    <row r="799" ht="18" customHeight="1" s="2">
      <c r="A799" s="181" t="inlineStr">
        <is>
          <t>GROSS TOTAL</t>
        </is>
      </c>
      <c r="B799" s="184" t="n">
        <v>140298</v>
      </c>
      <c r="C799" s="184" t="n">
        <v>145075</v>
      </c>
      <c r="D799" s="184" t="n">
        <v>134333</v>
      </c>
      <c r="E799" s="184" t="n">
        <v>159734</v>
      </c>
      <c r="F799" s="215" t="n">
        <v>146523</v>
      </c>
      <c r="G799" s="184" t="n">
        <v>154944</v>
      </c>
      <c r="H799" s="184" t="n">
        <v>230477.36</v>
      </c>
      <c r="I799" s="215" t="n">
        <v>181703</v>
      </c>
      <c r="J799" s="185" t="n">
        <v>195962.15</v>
      </c>
      <c r="K799" s="186" t="n"/>
      <c r="L799" s="166" t="n"/>
    </row>
    <row r="800" ht="17.45" customHeight="1" s="2">
      <c r="A800" s="187" t="inlineStr">
        <is>
          <t>NETT  TOTAL</t>
        </is>
      </c>
      <c r="B800" s="22" t="n">
        <v>127544</v>
      </c>
      <c r="C800" s="9">
        <f>C799/1.1</f>
        <v/>
      </c>
      <c r="D800" s="32">
        <f>D799/1.1</f>
        <v/>
      </c>
      <c r="E800" s="10" t="n">
        <v>145213</v>
      </c>
      <c r="F800" s="28">
        <f>F799/1.1</f>
        <v/>
      </c>
      <c r="G800" s="32">
        <f>G799/1.1</f>
        <v/>
      </c>
      <c r="H800" s="22">
        <f>H799/1.1</f>
        <v/>
      </c>
      <c r="I800" s="9">
        <f>I799/1.1</f>
        <v/>
      </c>
      <c r="J800" s="39">
        <f>J799/1.1</f>
        <v/>
      </c>
      <c r="K800" s="186" t="n"/>
      <c r="L800" s="166" t="n"/>
    </row>
    <row r="801" ht="17.45" customHeight="1" s="2">
      <c r="A801" s="188" t="inlineStr">
        <is>
          <t>Customers</t>
        </is>
      </c>
      <c r="B801" s="10" t="n">
        <v>6732</v>
      </c>
      <c r="C801" s="10" t="n">
        <v>6930</v>
      </c>
      <c r="D801" s="10" t="n">
        <v>6565</v>
      </c>
      <c r="E801" s="10" t="n">
        <v>7705</v>
      </c>
      <c r="F801" s="28" t="n">
        <v>7180</v>
      </c>
      <c r="G801" s="10" t="n">
        <v>7332</v>
      </c>
      <c r="H801" s="10" t="n">
        <v>10259</v>
      </c>
      <c r="I801" s="28" t="n">
        <v>8140</v>
      </c>
      <c r="J801" s="11" t="n">
        <v>8811</v>
      </c>
      <c r="K801" s="171" t="n"/>
      <c r="L801" s="166" t="n"/>
    </row>
    <row r="802" ht="17.45" customHeight="1" s="2">
      <c r="A802" s="188" t="inlineStr">
        <is>
          <t>Average Customer Spend</t>
        </is>
      </c>
      <c r="B802" s="22" t="n">
        <v>20.84044118</v>
      </c>
      <c r="C802" s="9">
        <f>C799/C801</f>
        <v/>
      </c>
      <c r="D802" s="32">
        <f>D799/D801</f>
        <v/>
      </c>
      <c r="E802" s="10" t="n">
        <v>20.73124335</v>
      </c>
      <c r="F802" s="28">
        <f>F799/F801</f>
        <v/>
      </c>
      <c r="G802" s="32">
        <f>G799/G801</f>
        <v/>
      </c>
      <c r="H802" s="22">
        <f>H799/H801</f>
        <v/>
      </c>
      <c r="I802" s="9">
        <f>I799/I801</f>
        <v/>
      </c>
      <c r="J802" s="33">
        <f>J799/J801</f>
        <v/>
      </c>
      <c r="K802" s="171" t="n"/>
      <c r="L802" s="166" t="n"/>
    </row>
    <row r="803" ht="17.45" customHeight="1" s="2">
      <c r="A803" s="191" t="inlineStr">
        <is>
          <t>Wage % to Gross total</t>
        </is>
      </c>
      <c r="B803" s="210" t="n">
        <v>0.3369</v>
      </c>
      <c r="C803" s="9">
        <f>(C806*C807)/C799</f>
        <v/>
      </c>
      <c r="D803" s="39">
        <f>(D806*D807)/D799</f>
        <v/>
      </c>
      <c r="E803" s="210" t="n">
        <v>0.3054</v>
      </c>
      <c r="F803" s="265">
        <f>(F806*F807)/F799</f>
        <v/>
      </c>
      <c r="G803" s="266">
        <f>(G806*G807)/G799</f>
        <v/>
      </c>
      <c r="H803" s="210">
        <f>(H806*H807)/H799</f>
        <v/>
      </c>
      <c r="I803" s="265">
        <f>(I806*I807)/I799</f>
        <v/>
      </c>
      <c r="J803" s="267">
        <f>(J806*J807)/J799</f>
        <v/>
      </c>
      <c r="K803" s="171" t="n"/>
      <c r="L803" s="166" t="n"/>
    </row>
    <row r="804" ht="17.45" customHeight="1" s="2">
      <c r="A804" s="191" t="inlineStr">
        <is>
          <t>Wage % to Nett Total</t>
        </is>
      </c>
      <c r="B804" s="210" t="n">
        <v>0.3706</v>
      </c>
      <c r="C804" s="265">
        <f>(C806*C807)/C800</f>
        <v/>
      </c>
      <c r="D804" s="266">
        <f>(D806*D807)/D800</f>
        <v/>
      </c>
      <c r="E804" s="210" t="n">
        <v>0.336</v>
      </c>
      <c r="F804" s="265">
        <f>(F806*F807)/F800</f>
        <v/>
      </c>
      <c r="G804" s="266">
        <f>(G806*G807)/G800</f>
        <v/>
      </c>
      <c r="H804" s="210">
        <f>(H806*H807)/H800</f>
        <v/>
      </c>
      <c r="I804" s="265">
        <f>(I806*I807)/I800</f>
        <v/>
      </c>
      <c r="J804" s="267">
        <f>(J806*J807)/J800</f>
        <v/>
      </c>
      <c r="K804" s="171" t="n"/>
      <c r="L804" s="166" t="n"/>
    </row>
    <row r="805" ht="17.45" customHeight="1" s="2">
      <c r="A805" s="188" t="inlineStr">
        <is>
          <t>Productivity</t>
        </is>
      </c>
      <c r="B805" s="10" t="n">
        <v>4.73</v>
      </c>
      <c r="C805" s="28">
        <f>C801/C807</f>
        <v/>
      </c>
      <c r="D805" s="32">
        <f>D801/D807</f>
        <v/>
      </c>
      <c r="E805" s="10" t="n">
        <v>5.16</v>
      </c>
      <c r="F805" s="28">
        <f>F801/F807</f>
        <v/>
      </c>
      <c r="G805" s="32">
        <f>G801/G807</f>
        <v/>
      </c>
      <c r="H805" s="10">
        <f>H801/H807</f>
        <v/>
      </c>
      <c r="I805" s="28">
        <f>I801/I807</f>
        <v/>
      </c>
      <c r="J805" s="33">
        <f>J801/J807</f>
        <v/>
      </c>
      <c r="K805" s="171" t="n"/>
      <c r="L805" s="166" t="n"/>
    </row>
    <row r="806" ht="17.45" customHeight="1" s="2">
      <c r="A806" s="188" t="inlineStr">
        <is>
          <t>Average Hourly Rate</t>
        </is>
      </c>
      <c r="B806" s="10" t="n">
        <v>33.2</v>
      </c>
      <c r="C806" s="189" t="n">
        <v>32</v>
      </c>
      <c r="D806" s="32" t="n">
        <v>34.63</v>
      </c>
      <c r="E806" s="10" t="n">
        <v>32.69</v>
      </c>
      <c r="F806" s="28" t="n">
        <v>32</v>
      </c>
      <c r="G806" s="32" t="n">
        <v>34.45</v>
      </c>
      <c r="H806" s="10" t="n">
        <v>36.05</v>
      </c>
      <c r="I806" s="189" t="n">
        <v>34</v>
      </c>
      <c r="J806" s="33" t="n">
        <v>39.38</v>
      </c>
      <c r="K806" s="171" t="n"/>
      <c r="L806" s="166" t="n"/>
    </row>
    <row r="807" ht="17.45" customHeight="1" s="2">
      <c r="A807" s="188" t="inlineStr">
        <is>
          <t>Total hours for productivity</t>
        </is>
      </c>
      <c r="B807" s="10" t="n">
        <v>1423.75</v>
      </c>
      <c r="C807" s="189" t="n">
        <v>1580</v>
      </c>
      <c r="D807" s="32" t="n">
        <v>1467</v>
      </c>
      <c r="E807" s="10" t="n">
        <v>1492.5</v>
      </c>
      <c r="F807" s="28" t="n">
        <v>1467</v>
      </c>
      <c r="G807" s="32" t="n">
        <v>1457</v>
      </c>
      <c r="H807" s="10" t="n">
        <v>1756.75</v>
      </c>
      <c r="I807" s="28" t="n">
        <v>1546</v>
      </c>
      <c r="J807" s="33" t="n">
        <v>1623.25</v>
      </c>
      <c r="K807" s="171" t="n"/>
      <c r="L807" s="166" t="n"/>
    </row>
    <row r="808" ht="17.45" customHeight="1" s="2">
      <c r="A808" s="188" t="inlineStr">
        <is>
          <t>Training Hours used</t>
        </is>
      </c>
      <c r="B808" s="10" t="n">
        <v>15</v>
      </c>
      <c r="C808" s="189" t="n"/>
      <c r="D808" s="32" t="n">
        <v>78</v>
      </c>
      <c r="E808" s="10" t="n"/>
      <c r="F808" s="28" t="n">
        <v>123</v>
      </c>
      <c r="G808" s="32" t="n">
        <v>115.25</v>
      </c>
      <c r="H808" s="10" t="n"/>
      <c r="I808" s="189" t="n">
        <v>34.5</v>
      </c>
      <c r="J808" s="39" t="n">
        <v>39.5</v>
      </c>
      <c r="K808" s="186" t="n"/>
      <c r="L808" s="166" t="n"/>
    </row>
    <row r="809" ht="18" customHeight="1" s="2" thickBot="1">
      <c r="A809" s="193" t="inlineStr">
        <is>
          <t>Number of hours used to cover sick leave</t>
        </is>
      </c>
      <c r="B809" s="15" t="n">
        <v>18</v>
      </c>
      <c r="C809" s="14" t="n"/>
      <c r="D809" s="34" t="n"/>
      <c r="E809" s="15" t="n"/>
      <c r="F809" s="41" t="n"/>
      <c r="G809" s="34" t="n"/>
      <c r="H809" s="15" t="n">
        <v>40.5</v>
      </c>
      <c r="I809" s="189" t="n"/>
      <c r="J809" s="233" t="n"/>
      <c r="K809" s="186" t="n"/>
      <c r="L809" s="166" t="n"/>
    </row>
    <row r="810" ht="15.95" customHeight="1" s="2" thickBot="1">
      <c r="A810" s="195" t="inlineStr">
        <is>
          <t>Minimum HOURS</t>
        </is>
      </c>
      <c r="B810" s="196" t="inlineStr">
        <is>
          <t xml:space="preserve">Kitchen </t>
        </is>
      </c>
      <c r="C810" s="16" t="n"/>
      <c r="D810" s="35" t="n"/>
      <c r="E810" s="17" t="n"/>
      <c r="F810" s="16" t="n"/>
      <c r="G810" s="36" t="n"/>
      <c r="H810" s="17" t="n"/>
      <c r="I810" s="14" t="n">
        <v>606</v>
      </c>
      <c r="J810" s="35" t="n"/>
      <c r="K810" s="180" t="n"/>
      <c r="L810" s="166" t="n"/>
    </row>
    <row r="811" ht="15.95" customHeight="1" s="2" thickBot="1">
      <c r="A811" s="197" t="n"/>
      <c r="B811" s="198" t="inlineStr">
        <is>
          <t xml:space="preserve">Floor </t>
        </is>
      </c>
      <c r="C811" s="18" t="n"/>
      <c r="D811" s="35" t="n"/>
      <c r="E811" s="26" t="n"/>
      <c r="F811" s="18" t="n"/>
      <c r="G811" s="234" t="n"/>
      <c r="H811" s="26" t="n"/>
      <c r="I811" s="42" t="n">
        <v>815</v>
      </c>
      <c r="J811" s="35" t="n"/>
      <c r="K811" s="180" t="n"/>
      <c r="L811" s="166" t="n"/>
    </row>
    <row r="812" ht="15.95" customHeight="1" s="2" thickBot="1">
      <c r="A812" s="197" t="n"/>
      <c r="B812" s="199" t="inlineStr">
        <is>
          <t>TOTAL</t>
        </is>
      </c>
      <c r="C812" s="42">
        <f>SUM(C810:C811)</f>
        <v/>
      </c>
      <c r="D812" s="35">
        <f>SUM(D810:D811)</f>
        <v/>
      </c>
      <c r="E812" s="199" t="inlineStr">
        <is>
          <t>TOTAL</t>
        </is>
      </c>
      <c r="F812" s="42">
        <f>SUM(F810:F811)</f>
        <v/>
      </c>
      <c r="G812" s="35">
        <f>SUM(G810:G811)</f>
        <v/>
      </c>
      <c r="H812" s="199" t="inlineStr">
        <is>
          <t>TOTAL</t>
        </is>
      </c>
      <c r="I812" s="42">
        <f>SUM(I810:I811)</f>
        <v/>
      </c>
      <c r="J812" s="35">
        <f>SUM(J810:J811)</f>
        <v/>
      </c>
      <c r="K812" s="180" t="n"/>
      <c r="L812" s="166" t="n"/>
    </row>
    <row r="813" ht="15.6" customHeight="1" s="2">
      <c r="A813" s="166" t="n"/>
      <c r="B813" s="201" t="n"/>
      <c r="C813" s="269" t="n"/>
      <c r="D813" s="269" t="n"/>
      <c r="E813" s="201" t="n"/>
      <c r="F813" s="269" t="n"/>
      <c r="G813" s="269" t="n"/>
      <c r="H813" s="201" t="n"/>
      <c r="I813" s="269" t="n"/>
      <c r="J813" s="269" t="n"/>
      <c r="K813" s="166" t="n"/>
      <c r="L813" s="166" t="n"/>
    </row>
    <row r="814" ht="17.1" customHeight="1" s="2">
      <c r="A814" s="166" t="n"/>
      <c r="B814" s="169" t="n"/>
      <c r="C814" s="273" t="inlineStr">
        <is>
          <t>Trainings</t>
        </is>
      </c>
      <c r="D814" s="273" t="n"/>
      <c r="E814" s="274" t="n"/>
      <c r="F814" s="273" t="inlineStr">
        <is>
          <t>Trainings</t>
        </is>
      </c>
      <c r="G814" s="273" t="n"/>
      <c r="H814" s="274" t="n"/>
      <c r="I814" s="273" t="inlineStr">
        <is>
          <t>Trainings</t>
        </is>
      </c>
      <c r="J814" s="273" t="n"/>
      <c r="K814" s="171" t="n"/>
      <c r="L814" s="166" t="n"/>
    </row>
    <row r="815" ht="17.1" customHeight="1" s="2">
      <c r="A815" s="166" t="n"/>
      <c r="B815" s="270" t="n"/>
      <c r="C815" s="279" t="inlineStr">
        <is>
          <t>Kitchen</t>
        </is>
      </c>
      <c r="D815" s="271" t="n"/>
      <c r="E815" s="276" t="n"/>
      <c r="F815" s="279" t="inlineStr">
        <is>
          <t>Kitchen</t>
        </is>
      </c>
      <c r="G815" s="271" t="n"/>
      <c r="H815" s="276" t="n"/>
      <c r="I815" s="279" t="inlineStr">
        <is>
          <t>Kitchen</t>
        </is>
      </c>
      <c r="J815" s="271" t="n"/>
      <c r="K815" s="186" t="n"/>
      <c r="L815" s="166" t="n"/>
    </row>
    <row r="816" ht="17.1" customHeight="1" s="2">
      <c r="A816" s="166" t="n"/>
      <c r="B816" s="270" t="n"/>
      <c r="C816" s="271" t="inlineStr">
        <is>
          <t>Nikki (Crepes T1)</t>
        </is>
      </c>
      <c r="D816" s="271" t="n">
        <v>5</v>
      </c>
      <c r="E816" s="276" t="n"/>
      <c r="F816" s="271" t="inlineStr">
        <is>
          <t>Nikki (Crepes T1)</t>
        </is>
      </c>
      <c r="G816" s="271" t="n">
        <v>5</v>
      </c>
      <c r="H816" s="276" t="n"/>
      <c r="I816" s="271" t="inlineStr">
        <is>
          <t>Pukar (Topping T2-T3)</t>
        </is>
      </c>
      <c r="J816" s="271" t="n">
        <v>12.5</v>
      </c>
      <c r="K816" s="186" t="n"/>
      <c r="L816" s="166" t="n"/>
    </row>
    <row r="817" ht="17.1" customHeight="1" s="2">
      <c r="A817" s="166" t="n"/>
      <c r="B817" s="270" t="n"/>
      <c r="C817" s="271" t="inlineStr">
        <is>
          <t>Bishal - Prep (North Mead)</t>
        </is>
      </c>
      <c r="D817" s="271" t="n">
        <v>15</v>
      </c>
      <c r="E817" s="276" t="n"/>
      <c r="F817" s="271" t="inlineStr">
        <is>
          <t>Tanzil (Crepes T1 - T2)</t>
        </is>
      </c>
      <c r="G817" s="271" t="n">
        <v>11</v>
      </c>
      <c r="H817" s="276" t="n"/>
      <c r="I817" s="271" t="inlineStr">
        <is>
          <t>Animesh (Fire Training)</t>
        </is>
      </c>
      <c r="J817" s="271" t="n">
        <v>3.5</v>
      </c>
      <c r="K817" s="186" t="n"/>
      <c r="L817" s="166" t="n"/>
    </row>
    <row r="818" ht="17.1" customHeight="1" s="2">
      <c r="A818" s="166" t="n"/>
      <c r="B818" s="270" t="n"/>
      <c r="C818" s="271" t="inlineStr">
        <is>
          <t>MOHIT - Food Cost T2</t>
        </is>
      </c>
      <c r="D818" s="271" t="n">
        <v>8</v>
      </c>
      <c r="E818" s="276" t="n"/>
      <c r="F818" s="271" t="inlineStr">
        <is>
          <t>Bishal - (North Mead)</t>
        </is>
      </c>
      <c r="G818" s="271" t="n"/>
      <c r="H818" s="276" t="n"/>
      <c r="I818" s="271" t="inlineStr">
        <is>
          <t>Mohit (Fire Training)</t>
        </is>
      </c>
      <c r="J818" s="271" t="n">
        <v>3.5</v>
      </c>
      <c r="K818" s="186" t="n"/>
      <c r="L818" s="166" t="n"/>
    </row>
    <row r="819" ht="17.1" customHeight="1" s="2">
      <c r="A819" s="166" t="n"/>
      <c r="B819" s="270" t="n"/>
      <c r="C819" s="271" t="n"/>
      <c r="D819" s="271" t="n"/>
      <c r="E819" s="276" t="n"/>
      <c r="F819" s="271" t="inlineStr">
        <is>
          <t>Pukar (Topping T2)</t>
        </is>
      </c>
      <c r="G819" s="271" t="n">
        <v>5</v>
      </c>
      <c r="H819" s="276" t="n"/>
      <c r="I819" s="271" t="inlineStr">
        <is>
          <t>Fayshal (Fire Training)</t>
        </is>
      </c>
      <c r="J819" s="271" t="n">
        <v>3.5</v>
      </c>
      <c r="K819" s="186" t="n"/>
      <c r="L819" s="166" t="n"/>
    </row>
    <row r="820" ht="17.1" customHeight="1" s="2">
      <c r="A820" s="166" t="n"/>
      <c r="B820" s="270" t="n"/>
      <c r="C820" s="275" t="inlineStr">
        <is>
          <t>Floor</t>
        </is>
      </c>
      <c r="D820" s="271" t="n"/>
      <c r="E820" s="276" t="n"/>
      <c r="F820" s="271" t="inlineStr">
        <is>
          <t>Mohit (Food Cost T3)</t>
        </is>
      </c>
      <c r="G820" s="271" t="n">
        <v>8</v>
      </c>
      <c r="H820" s="276" t="n"/>
      <c r="I820" s="271" t="inlineStr">
        <is>
          <t>Sahil (Fire Training)</t>
        </is>
      </c>
      <c r="J820" s="271" t="n">
        <v>3</v>
      </c>
      <c r="K820" s="186" t="n"/>
      <c r="L820" s="166" t="n"/>
    </row>
    <row r="821" ht="17.1" customHeight="1" s="2">
      <c r="A821" s="166" t="n"/>
      <c r="B821" s="270" t="n"/>
      <c r="C821" s="275" t="n"/>
      <c r="D821" s="271" t="n"/>
      <c r="E821" s="276" t="n"/>
      <c r="F821" s="271" t="inlineStr">
        <is>
          <t>Sifat (Grill T3)</t>
        </is>
      </c>
      <c r="G821" s="271" t="n">
        <v>7.5</v>
      </c>
      <c r="H821" s="276" t="n"/>
      <c r="I821" s="275" t="n"/>
      <c r="J821" s="271" t="n"/>
      <c r="K821" s="186" t="n"/>
      <c r="L821" s="166" t="n"/>
    </row>
    <row r="822" ht="17.1" customHeight="1" s="2">
      <c r="A822" s="166" t="n"/>
      <c r="B822" s="270" t="n"/>
      <c r="C822" s="277" t="inlineStr">
        <is>
          <t>Sagar (T1-T4)</t>
        </is>
      </c>
      <c r="D822" s="271" t="n">
        <v>20</v>
      </c>
      <c r="E822" s="276" t="n"/>
      <c r="F822" s="271" t="inlineStr">
        <is>
          <t>Sushang (Topping T1)</t>
        </is>
      </c>
      <c r="G822" s="271" t="n">
        <v>5</v>
      </c>
      <c r="H822" s="276" t="n"/>
      <c r="I822" s="275" t="inlineStr">
        <is>
          <t>Floor</t>
        </is>
      </c>
      <c r="J822" s="271" t="n"/>
      <c r="K822" s="186" t="n"/>
      <c r="L822" s="166" t="n"/>
    </row>
    <row r="823" ht="17.1" customHeight="1" s="2">
      <c r="A823" s="166" t="n"/>
      <c r="B823" s="270" t="n"/>
      <c r="C823" s="271" t="inlineStr">
        <is>
          <t>Tide (T1-T4)</t>
        </is>
      </c>
      <c r="D823" s="271" t="n">
        <v>22.5</v>
      </c>
      <c r="E823" s="276" t="n"/>
      <c r="F823" s="277" t="inlineStr">
        <is>
          <t>Mohit (shift Runner T1 - T2)</t>
        </is>
      </c>
      <c r="G823" s="271" t="n">
        <v>12.5</v>
      </c>
      <c r="H823" s="276" t="n"/>
      <c r="I823" s="277" t="inlineStr">
        <is>
          <t>Abbu (Fire Training)</t>
        </is>
      </c>
      <c r="J823" s="271" t="n">
        <v>3.5</v>
      </c>
      <c r="K823" s="186" t="n"/>
      <c r="L823" s="166" t="n"/>
    </row>
    <row r="824" ht="17.1" customHeight="1" s="2">
      <c r="A824" s="166" t="n"/>
      <c r="B824" s="270" t="n"/>
      <c r="C824" s="271" t="inlineStr">
        <is>
          <t>Verhoven (Roster T1)</t>
        </is>
      </c>
      <c r="D824" s="271" t="n">
        <v>7.5</v>
      </c>
      <c r="E824" s="276" t="n"/>
      <c r="F824" s="275" t="inlineStr">
        <is>
          <t>Floor</t>
        </is>
      </c>
      <c r="G824" s="271" t="n"/>
      <c r="H824" s="276" t="n"/>
      <c r="I824" s="271" t="inlineStr">
        <is>
          <t>Susma (Fire Training)</t>
        </is>
      </c>
      <c r="J824" s="271" t="n">
        <v>3.5</v>
      </c>
      <c r="K824" s="186" t="n"/>
      <c r="L824" s="166" t="n"/>
    </row>
    <row r="825" ht="17.1" customHeight="1" s="2">
      <c r="A825" s="166" t="n"/>
      <c r="B825" s="270" t="n"/>
      <c r="C825" s="277" t="n"/>
      <c r="D825" s="271" t="n"/>
      <c r="E825" s="276" t="n"/>
      <c r="F825" s="277" t="inlineStr">
        <is>
          <t>Sagar (T5)</t>
        </is>
      </c>
      <c r="G825" s="271" t="n">
        <v>4.25</v>
      </c>
      <c r="H825" s="276" t="n"/>
      <c r="I825" s="271" t="inlineStr">
        <is>
          <t>Hema (Fire Training)</t>
        </is>
      </c>
      <c r="J825" s="271" t="n">
        <v>3.5</v>
      </c>
      <c r="K825" s="186" t="n"/>
      <c r="L825" s="166" t="n"/>
    </row>
    <row r="826" ht="17.1" customHeight="1" s="2">
      <c r="A826" s="166" t="n"/>
      <c r="B826" s="270" t="n"/>
      <c r="C826" s="277" t="n"/>
      <c r="D826" s="271" t="n"/>
      <c r="E826" s="276" t="n"/>
      <c r="F826" s="271" t="inlineStr">
        <is>
          <t>Tide (T5)</t>
        </is>
      </c>
      <c r="G826" s="271" t="n">
        <v>4.5</v>
      </c>
      <c r="H826" s="276" t="n"/>
      <c r="I826" s="271" t="inlineStr">
        <is>
          <t>Rajesh (Fire Training)</t>
        </is>
      </c>
      <c r="J826" s="271" t="n">
        <v>3</v>
      </c>
      <c r="K826" s="186" t="n"/>
      <c r="L826" s="166" t="n"/>
    </row>
    <row r="827" ht="17.1" customHeight="1" s="2">
      <c r="A827" s="166" t="n"/>
      <c r="B827" s="270" t="n"/>
      <c r="C827" s="277" t="n"/>
      <c r="D827" s="271" t="n"/>
      <c r="E827" s="276" t="n"/>
      <c r="F827" s="271" t="inlineStr">
        <is>
          <t>Verhoven (Roster T1)</t>
        </is>
      </c>
      <c r="G827" s="271" t="n">
        <v>7.5</v>
      </c>
      <c r="H827" s="276" t="n"/>
      <c r="I827" s="271" t="n"/>
      <c r="J827" s="271" t="n"/>
      <c r="K827" s="186" t="n"/>
      <c r="L827" s="166" t="n"/>
    </row>
    <row r="828" ht="17.1" customHeight="1" s="2">
      <c r="A828" s="166" t="n"/>
      <c r="B828" s="270" t="n"/>
      <c r="C828" s="277" t="n"/>
      <c r="D828" s="271" t="n"/>
      <c r="E828" s="276" t="n"/>
      <c r="F828" s="277" t="inlineStr">
        <is>
          <t>Preshna (Host T1-T3)</t>
        </is>
      </c>
      <c r="G828" s="271" t="n">
        <v>15</v>
      </c>
      <c r="H828" s="276" t="n"/>
      <c r="I828" s="271" t="n"/>
      <c r="J828" s="271" t="n"/>
      <c r="K828" s="186" t="n"/>
      <c r="L828" s="166" t="n"/>
    </row>
    <row r="829" ht="17.1" customHeight="1" s="2">
      <c r="A829" s="166" t="n"/>
      <c r="B829" s="270" t="n"/>
      <c r="C829" s="277" t="n"/>
      <c r="D829" s="271" t="n"/>
      <c r="E829" s="276" t="n"/>
      <c r="F829" s="277" t="inlineStr">
        <is>
          <t>Niraj (Host T1-T3)</t>
        </is>
      </c>
      <c r="G829" s="271" t="n">
        <v>15</v>
      </c>
      <c r="H829" s="276" t="n"/>
      <c r="I829" s="271" t="n"/>
      <c r="J829" s="271" t="n"/>
      <c r="K829" s="186" t="n"/>
      <c r="L829" s="166" t="n"/>
    </row>
    <row r="830" ht="17.1" customHeight="1" s="2">
      <c r="A830" s="166" t="n"/>
      <c r="B830" s="270" t="n"/>
      <c r="C830" s="277" t="n"/>
      <c r="D830" s="271" t="n"/>
      <c r="E830" s="276" t="n"/>
      <c r="F830" s="277" t="inlineStr">
        <is>
          <t>Juste (Bar T1-T3)</t>
        </is>
      </c>
      <c r="G830" s="271" t="n">
        <v>15</v>
      </c>
      <c r="H830" s="276" t="n"/>
      <c r="I830" s="271" t="n"/>
      <c r="J830" s="271" t="n"/>
      <c r="K830" s="186" t="n"/>
      <c r="L830" s="166" t="n"/>
    </row>
    <row r="831" ht="17.1" customHeight="1" s="2">
      <c r="A831" s="166" t="n"/>
      <c r="B831" s="270" t="n"/>
      <c r="C831" s="277" t="n"/>
      <c r="D831" s="271" t="n"/>
      <c r="E831" s="276" t="n"/>
      <c r="F831" s="271" t="n"/>
      <c r="G831" s="271" t="n"/>
      <c r="H831" s="276" t="n"/>
      <c r="I831" s="271" t="n"/>
      <c r="J831" s="271" t="n"/>
      <c r="K831" s="186" t="n"/>
      <c r="L831" s="166" t="n"/>
    </row>
    <row r="832" ht="17.1" customHeight="1" s="2">
      <c r="A832" s="166" t="n"/>
      <c r="B832" s="270" t="n"/>
      <c r="C832" s="277" t="n"/>
      <c r="D832" s="271" t="n"/>
      <c r="E832" s="276" t="n"/>
      <c r="F832" s="271" t="n"/>
      <c r="G832" s="271" t="n"/>
      <c r="H832" s="276" t="n"/>
      <c r="I832" s="271" t="n"/>
      <c r="J832" s="271" t="n"/>
      <c r="K832" s="186" t="n"/>
      <c r="L832" s="166" t="n"/>
    </row>
    <row r="833" ht="17.1" customHeight="1" s="2">
      <c r="A833" s="166" t="n"/>
      <c r="B833" s="270" t="n"/>
      <c r="C833" s="271" t="n"/>
      <c r="D833" s="271" t="n"/>
      <c r="E833" s="276" t="n"/>
      <c r="F833" s="271" t="n"/>
      <c r="G833" s="271" t="n"/>
      <c r="H833" s="276" t="n"/>
      <c r="I833" s="271" t="n"/>
      <c r="J833" s="271" t="n"/>
      <c r="K833" s="186" t="n"/>
      <c r="L833" s="166" t="n"/>
    </row>
    <row r="834" ht="17.1" customHeight="1" s="2">
      <c r="A834" s="166" t="n"/>
      <c r="B834" s="270" t="n"/>
      <c r="C834" s="280" t="inlineStr">
        <is>
          <t>TOTAL</t>
        </is>
      </c>
      <c r="D834" s="280">
        <f>SUM(D816:D833)</f>
        <v/>
      </c>
      <c r="E834" s="276" t="n"/>
      <c r="F834" s="280" t="inlineStr">
        <is>
          <t>TOTAL</t>
        </is>
      </c>
      <c r="G834" s="280">
        <f>SUM(G816:G833)</f>
        <v/>
      </c>
      <c r="H834" s="276" t="n"/>
      <c r="I834" s="280" t="inlineStr">
        <is>
          <t>TOTAL</t>
        </is>
      </c>
      <c r="J834" s="280">
        <f>SUM(J816:J833)</f>
        <v/>
      </c>
      <c r="K834" s="186" t="n"/>
      <c r="L834" s="166" t="n"/>
    </row>
    <row r="835" ht="15" customHeight="1" s="2">
      <c r="A835" s="166" t="n"/>
      <c r="B835" s="166" t="n"/>
      <c r="C835" s="282" t="n"/>
      <c r="D835" s="282" t="n"/>
      <c r="E835" s="166" t="n"/>
      <c r="F835" s="282" t="n"/>
      <c r="G835" s="282" t="n"/>
      <c r="H835" s="166" t="n"/>
      <c r="I835" s="282" t="n"/>
      <c r="J835" s="282" t="n"/>
      <c r="K835" s="166" t="n"/>
      <c r="L835" s="166" t="n"/>
    </row>
    <row r="836" ht="15" customHeight="1" s="2">
      <c r="A836" s="166" t="n"/>
      <c r="B836" s="168" t="n"/>
      <c r="C836" s="168" t="n"/>
      <c r="D836" s="166" t="n"/>
      <c r="E836" s="168" t="n"/>
      <c r="F836" s="168" t="n"/>
      <c r="G836" s="166" t="n"/>
      <c r="H836" s="168" t="n"/>
      <c r="I836" s="168" t="n"/>
      <c r="J836" s="166" t="n"/>
      <c r="K836" s="166" t="n"/>
      <c r="L836" s="166" t="n"/>
    </row>
    <row r="837" ht="18" customHeight="1" s="2" thickBot="1">
      <c r="A837" s="238" t="n"/>
      <c r="B837" s="222" t="n">
        <v>43017</v>
      </c>
      <c r="C837" s="235" t="n">
        <v>43381</v>
      </c>
      <c r="D837" s="236" t="n"/>
      <c r="E837" s="222" t="n">
        <v>43024</v>
      </c>
      <c r="F837" s="237" t="n">
        <v>43388</v>
      </c>
      <c r="G837" s="236" t="n"/>
      <c r="H837" s="222" t="n">
        <v>43031</v>
      </c>
      <c r="I837" s="237" t="n">
        <v>43395</v>
      </c>
      <c r="J837" s="223" t="n"/>
      <c r="K837" s="166" t="n"/>
      <c r="L837" s="166" t="n"/>
    </row>
    <row r="838" ht="17.85" customHeight="1" s="2" thickBot="1">
      <c r="A838" s="176" t="n"/>
      <c r="B838" s="177" t="inlineStr">
        <is>
          <t>Last Year</t>
        </is>
      </c>
      <c r="C838" s="178" t="inlineStr">
        <is>
          <t>Projected</t>
        </is>
      </c>
      <c r="D838" s="230" t="inlineStr">
        <is>
          <t>Actual</t>
        </is>
      </c>
      <c r="E838" s="177" t="inlineStr">
        <is>
          <t>Last Year</t>
        </is>
      </c>
      <c r="F838" s="178" t="inlineStr">
        <is>
          <t>Projected</t>
        </is>
      </c>
      <c r="G838" s="230" t="inlineStr">
        <is>
          <t>Actual</t>
        </is>
      </c>
      <c r="H838" s="177" t="inlineStr">
        <is>
          <t>Last Year</t>
        </is>
      </c>
      <c r="I838" s="178" t="inlineStr">
        <is>
          <t>Projected</t>
        </is>
      </c>
      <c r="J838" s="230" t="inlineStr">
        <is>
          <t>Actual</t>
        </is>
      </c>
      <c r="K838" s="180" t="n"/>
      <c r="L838" s="166" t="n"/>
    </row>
    <row r="839" ht="18" customHeight="1" s="2">
      <c r="A839" s="181" t="inlineStr">
        <is>
          <t>GROSS TOTAL</t>
        </is>
      </c>
      <c r="B839" s="283" t="n">
        <v>211225.72</v>
      </c>
      <c r="C839" s="184" t="n">
        <v>186671</v>
      </c>
      <c r="D839" s="184" t="n">
        <v>173238.61</v>
      </c>
      <c r="E839" s="184" t="n">
        <v>146857.15</v>
      </c>
      <c r="F839" s="215" t="n">
        <v>184288</v>
      </c>
      <c r="G839" s="184" t="n">
        <v>139690.17</v>
      </c>
      <c r="H839" s="184" t="n">
        <v>148421</v>
      </c>
      <c r="I839" s="215" t="n">
        <v>136181</v>
      </c>
      <c r="J839" s="185" t="n"/>
      <c r="K839" s="186" t="n"/>
      <c r="L839" s="166" t="n"/>
    </row>
    <row r="840" ht="17.45" customHeight="1" s="2">
      <c r="A840" s="187" t="inlineStr">
        <is>
          <t>NETT  TOTAL</t>
        </is>
      </c>
      <c r="B840" s="23">
        <f>B839/1.1</f>
        <v/>
      </c>
      <c r="C840" s="9">
        <f>C839/1.1</f>
        <v/>
      </c>
      <c r="D840" s="32">
        <f>D839/1.1</f>
        <v/>
      </c>
      <c r="E840" s="10">
        <f>E839/1.1</f>
        <v/>
      </c>
      <c r="F840" s="28">
        <f>F839/1.1</f>
        <v/>
      </c>
      <c r="G840" s="32">
        <f>G839/1.1</f>
        <v/>
      </c>
      <c r="H840" s="22">
        <f>H839/1.1</f>
        <v/>
      </c>
      <c r="I840" s="9">
        <f>I839/1.1</f>
        <v/>
      </c>
      <c r="J840" s="39">
        <f>J839/1.1</f>
        <v/>
      </c>
      <c r="K840" s="186" t="n"/>
      <c r="L840" s="166" t="n"/>
    </row>
    <row r="841" ht="17.45" customHeight="1" s="2">
      <c r="A841" s="188" t="inlineStr">
        <is>
          <t>Customers</t>
        </is>
      </c>
      <c r="B841" s="24" t="n">
        <v>9791</v>
      </c>
      <c r="C841" s="10" t="n">
        <v>8795</v>
      </c>
      <c r="D841" s="10" t="n">
        <v>7961</v>
      </c>
      <c r="E841" s="10" t="n">
        <v>6991</v>
      </c>
      <c r="F841" s="28" t="n">
        <v>8625</v>
      </c>
      <c r="G841" s="10" t="n">
        <v>6945</v>
      </c>
      <c r="H841" s="10" t="n">
        <v>6925</v>
      </c>
      <c r="I841" s="28" t="n">
        <v>6465</v>
      </c>
      <c r="J841" s="11" t="n"/>
      <c r="K841" s="171" t="n"/>
      <c r="L841" s="166" t="n"/>
    </row>
    <row r="842" ht="17.45" customHeight="1" s="2">
      <c r="A842" s="188" t="inlineStr">
        <is>
          <t>Average Customer Spend</t>
        </is>
      </c>
      <c r="B842" s="23">
        <f>B839/B841</f>
        <v/>
      </c>
      <c r="C842" s="9">
        <f>C839/C841</f>
        <v/>
      </c>
      <c r="D842" s="32">
        <f>D839/D841</f>
        <v/>
      </c>
      <c r="E842" s="10">
        <f>E839/E841</f>
        <v/>
      </c>
      <c r="F842" s="28">
        <f>F839/F841</f>
        <v/>
      </c>
      <c r="G842" s="32">
        <f>G839/G841</f>
        <v/>
      </c>
      <c r="H842" s="22">
        <f>H839/H841</f>
        <v/>
      </c>
      <c r="I842" s="9">
        <f>I839/I841</f>
        <v/>
      </c>
      <c r="J842" s="33">
        <f>J839/J841</f>
        <v/>
      </c>
      <c r="K842" s="171" t="n"/>
      <c r="L842" s="166" t="n"/>
    </row>
    <row r="843" ht="17.45" customHeight="1" s="2">
      <c r="A843" s="191" t="inlineStr">
        <is>
          <t>Wage % to Gross total</t>
        </is>
      </c>
      <c r="B843" s="211" t="n">
        <v>0.2457</v>
      </c>
      <c r="C843" s="9">
        <f>(C846*C847)/C839</f>
        <v/>
      </c>
      <c r="D843" s="39">
        <f>(D846*D847)/D839</f>
        <v/>
      </c>
      <c r="E843" s="210">
        <f>(E846*E847)/E839</f>
        <v/>
      </c>
      <c r="F843" s="9">
        <f>(F846*F847)/F839</f>
        <v/>
      </c>
      <c r="G843" s="39">
        <f>(G846*G847)/G839</f>
        <v/>
      </c>
      <c r="H843" s="210">
        <f>(H846*H847)/H839</f>
        <v/>
      </c>
      <c r="I843" s="265">
        <f>(I846*I847)/I839</f>
        <v/>
      </c>
      <c r="J843" s="267">
        <f>(J846*J847)/J839</f>
        <v/>
      </c>
      <c r="K843" s="171" t="n"/>
      <c r="L843" s="166" t="n"/>
    </row>
    <row r="844" ht="18" customHeight="1" s="2" thickBot="1">
      <c r="A844" s="191" t="inlineStr">
        <is>
          <t>Wage % to Nett Total</t>
        </is>
      </c>
      <c r="B844" s="211" t="n">
        <v>0.2703</v>
      </c>
      <c r="C844" s="265">
        <f>(C846*C847)/C840</f>
        <v/>
      </c>
      <c r="D844" s="284">
        <f>(D846*D847)/D840</f>
        <v/>
      </c>
      <c r="E844" s="210">
        <f>(E846*E847)/E840</f>
        <v/>
      </c>
      <c r="F844" s="265">
        <f>(F846*F847)/F840</f>
        <v/>
      </c>
      <c r="G844" s="266">
        <f>(G846*G847)/G840</f>
        <v/>
      </c>
      <c r="H844" s="210">
        <f>(H846*H847)/H840</f>
        <v/>
      </c>
      <c r="I844" s="265">
        <f>(I846*I847)/I840</f>
        <v/>
      </c>
      <c r="J844" s="267">
        <f>(J846*J847)/J840</f>
        <v/>
      </c>
      <c r="K844" s="171" t="n"/>
      <c r="L844" s="166" t="n"/>
    </row>
    <row r="845" ht="18" customHeight="1" s="2">
      <c r="A845" s="188" t="inlineStr">
        <is>
          <t>Productivity</t>
        </is>
      </c>
      <c r="B845" s="24">
        <f>B841/B847</f>
        <v/>
      </c>
      <c r="C845" s="28">
        <f>C841/C847</f>
        <v/>
      </c>
      <c r="D845" s="36">
        <f>D841/D847</f>
        <v/>
      </c>
      <c r="E845" s="10">
        <f>E841/E847</f>
        <v/>
      </c>
      <c r="F845" s="28">
        <f>F841/F847</f>
        <v/>
      </c>
      <c r="G845" s="32">
        <f>G841/G847</f>
        <v/>
      </c>
      <c r="H845" s="10">
        <f>H841/H847</f>
        <v/>
      </c>
      <c r="I845" s="28">
        <f>I841/I847</f>
        <v/>
      </c>
      <c r="J845" s="33">
        <f>J841/J847</f>
        <v/>
      </c>
      <c r="K845" s="171" t="n"/>
      <c r="L845" s="166" t="n"/>
    </row>
    <row r="846" ht="17.45" customHeight="1" s="2">
      <c r="A846" s="188" t="inlineStr">
        <is>
          <t>Average Hourly Rate</t>
        </is>
      </c>
      <c r="B846" s="24" t="n">
        <v>32.78</v>
      </c>
      <c r="C846" s="189" t="n">
        <v>34</v>
      </c>
      <c r="D846" s="32" t="n">
        <v>33.1</v>
      </c>
      <c r="E846" s="10" t="n">
        <v>33.31</v>
      </c>
      <c r="F846" s="28" t="n">
        <v>34</v>
      </c>
      <c r="G846" s="32" t="n">
        <v>33.54</v>
      </c>
      <c r="H846" s="10" t="n">
        <v>33.46</v>
      </c>
      <c r="I846" s="189" t="n">
        <v>34</v>
      </c>
      <c r="J846" s="33" t="n"/>
      <c r="K846" s="171" t="n"/>
      <c r="L846" s="166" t="n"/>
    </row>
    <row r="847" ht="17.45" customHeight="1" s="2">
      <c r="A847" s="188" t="inlineStr">
        <is>
          <t>Total hours for productivity</t>
        </is>
      </c>
      <c r="B847" s="24" t="n">
        <v>1583.5</v>
      </c>
      <c r="C847" s="189" t="n">
        <v>1604.5</v>
      </c>
      <c r="D847" s="32" t="n">
        <v>1667.5</v>
      </c>
      <c r="E847" s="10" t="n">
        <v>1315.5</v>
      </c>
      <c r="F847" s="28" t="n">
        <v>1606</v>
      </c>
      <c r="G847" s="32" t="n">
        <v>1484.25</v>
      </c>
      <c r="H847" s="10" t="n">
        <v>1362</v>
      </c>
      <c r="I847" s="28" t="n">
        <v>1323</v>
      </c>
      <c r="J847" s="33" t="n"/>
      <c r="K847" s="171" t="n"/>
      <c r="L847" s="166" t="n"/>
    </row>
    <row r="848" ht="17.45" customHeight="1" s="2">
      <c r="A848" s="188" t="inlineStr">
        <is>
          <t>Training Hours used</t>
        </is>
      </c>
      <c r="B848" s="24" t="n"/>
      <c r="C848" s="189" t="n"/>
      <c r="D848" s="32" t="n"/>
      <c r="E848" s="10" t="n"/>
      <c r="F848" s="28" t="n"/>
      <c r="G848" s="32" t="n"/>
      <c r="H848" s="10" t="n">
        <v>22</v>
      </c>
      <c r="I848" s="189" t="n"/>
      <c r="J848" s="39" t="n">
        <v>15</v>
      </c>
      <c r="K848" s="186" t="n"/>
      <c r="L848" s="166" t="n"/>
    </row>
    <row r="849" ht="18" customHeight="1" s="2" thickBot="1">
      <c r="A849" s="193" t="inlineStr">
        <is>
          <t>Number of hours used to cover sick leave</t>
        </is>
      </c>
      <c r="B849" s="25" t="n">
        <v>40.75</v>
      </c>
      <c r="C849" s="14" t="n"/>
      <c r="D849" s="34" t="n">
        <v>34.25</v>
      </c>
      <c r="E849" s="15" t="n"/>
      <c r="F849" s="41" t="n"/>
      <c r="G849" s="34" t="n"/>
      <c r="H849" s="15" t="n"/>
      <c r="I849" s="189" t="n"/>
      <c r="J849" s="233" t="n"/>
      <c r="K849" s="186" t="n"/>
      <c r="L849" s="166" t="n"/>
    </row>
    <row r="850" ht="15.95" customHeight="1" s="2" thickBot="1">
      <c r="A850" s="195" t="inlineStr">
        <is>
          <t>Minimum HOURS</t>
        </is>
      </c>
      <c r="B850" s="196" t="inlineStr">
        <is>
          <t xml:space="preserve">Kitchen </t>
        </is>
      </c>
      <c r="C850" s="16" t="n">
        <v>525</v>
      </c>
      <c r="D850" s="35" t="n"/>
      <c r="E850" s="17" t="n"/>
      <c r="F850" s="16" t="n">
        <v>673</v>
      </c>
      <c r="G850" s="36" t="n"/>
      <c r="H850" s="17" t="n"/>
      <c r="I850" s="14" t="n"/>
      <c r="J850" s="35" t="n"/>
      <c r="K850" s="180" t="n"/>
      <c r="L850" s="166" t="n"/>
    </row>
    <row r="851" ht="15.95" customHeight="1" s="2" thickBot="1">
      <c r="A851" s="197" t="n"/>
      <c r="B851" s="198" t="inlineStr">
        <is>
          <t xml:space="preserve">Floor </t>
        </is>
      </c>
      <c r="C851" s="18" t="n">
        <v>765</v>
      </c>
      <c r="D851" s="35" t="n"/>
      <c r="E851" s="26" t="n"/>
      <c r="F851" s="18" t="n">
        <v>835</v>
      </c>
      <c r="G851" s="234" t="n"/>
      <c r="H851" s="26" t="n"/>
      <c r="I851" s="42" t="n"/>
      <c r="J851" s="35" t="n"/>
      <c r="K851" s="180" t="n"/>
      <c r="L851" s="166" t="n"/>
    </row>
    <row r="852" ht="15.95" customHeight="1" s="2" thickBot="1">
      <c r="A852" s="197" t="n"/>
      <c r="B852" s="199" t="inlineStr">
        <is>
          <t>TOTAL</t>
        </is>
      </c>
      <c r="C852" s="42">
        <f>SUM(C850:C851)</f>
        <v/>
      </c>
      <c r="D852" s="35">
        <f>SUM(D850:D851)</f>
        <v/>
      </c>
      <c r="E852" s="199" t="inlineStr">
        <is>
          <t>TOTAL</t>
        </is>
      </c>
      <c r="F852" s="42">
        <f>SUM(F850:F851)</f>
        <v/>
      </c>
      <c r="G852" s="35">
        <f>SUM(G850:G851)</f>
        <v/>
      </c>
      <c r="H852" s="199" t="inlineStr">
        <is>
          <t>TOTAL</t>
        </is>
      </c>
      <c r="I852" s="42">
        <f>SUM(I850:I851)</f>
        <v/>
      </c>
      <c r="J852" s="35">
        <f>SUM(J850:J851)</f>
        <v/>
      </c>
      <c r="K852" s="180" t="n"/>
      <c r="L852" s="166" t="n"/>
    </row>
    <row r="853" ht="15.6" customHeight="1" s="2">
      <c r="A853" s="166" t="n"/>
      <c r="B853" s="201" t="n"/>
      <c r="C853" s="269" t="n"/>
      <c r="D853" s="269" t="n"/>
      <c r="E853" s="201" t="n"/>
      <c r="F853" s="269" t="n"/>
      <c r="G853" s="269" t="n"/>
      <c r="H853" s="201" t="n"/>
      <c r="I853" s="269" t="n"/>
      <c r="J853" s="269" t="n"/>
      <c r="K853" s="166" t="n"/>
      <c r="L853" s="166" t="n"/>
    </row>
    <row r="854" ht="17.1" customHeight="1" s="2">
      <c r="A854" s="166" t="n"/>
      <c r="B854" s="169" t="n"/>
      <c r="C854" s="273" t="inlineStr">
        <is>
          <t>Trainings</t>
        </is>
      </c>
      <c r="D854" s="273" t="n"/>
      <c r="E854" s="274" t="n"/>
      <c r="F854" s="273" t="inlineStr">
        <is>
          <t>Trainings</t>
        </is>
      </c>
      <c r="G854" s="273" t="n"/>
      <c r="H854" s="274" t="n"/>
      <c r="I854" s="273" t="inlineStr">
        <is>
          <t>Trainings</t>
        </is>
      </c>
      <c r="J854" s="273" t="n"/>
      <c r="K854" s="171" t="n"/>
      <c r="L854" s="166" t="n"/>
    </row>
    <row r="855" ht="17.1" customHeight="1" s="2">
      <c r="A855" s="166" t="n"/>
      <c r="B855" s="270" t="n"/>
      <c r="C855" s="279" t="inlineStr">
        <is>
          <t>Kitchen</t>
        </is>
      </c>
      <c r="D855" s="271" t="n"/>
      <c r="E855" s="276" t="n"/>
      <c r="F855" s="279" t="inlineStr">
        <is>
          <t>Kitchen</t>
        </is>
      </c>
      <c r="G855" s="271" t="n"/>
      <c r="H855" s="276" t="n"/>
      <c r="I855" s="279" t="inlineStr">
        <is>
          <t>Kitchen</t>
        </is>
      </c>
      <c r="J855" s="271" t="n"/>
      <c r="K855" s="186" t="n"/>
      <c r="L855" s="166" t="n"/>
    </row>
    <row r="856" ht="17.1" customHeight="1" s="2">
      <c r="A856" s="166" t="n"/>
      <c r="B856" s="270" t="n"/>
      <c r="C856" s="271" t="n"/>
      <c r="D856" s="271" t="n"/>
      <c r="E856" s="276" t="n"/>
      <c r="F856" s="285" t="inlineStr">
        <is>
          <t>Sifat (terminated) cxld</t>
        </is>
      </c>
      <c r="G856" s="271" t="n">
        <v>32.5</v>
      </c>
      <c r="H856" s="276" t="n"/>
      <c r="I856" s="271" t="n"/>
      <c r="J856" s="271" t="n"/>
      <c r="K856" s="186" t="n"/>
      <c r="L856" s="166" t="n"/>
    </row>
    <row r="857" ht="17.1" customHeight="1" s="2">
      <c r="A857" s="166" t="n"/>
      <c r="B857" s="270" t="n"/>
      <c r="C857" s="271" t="n"/>
      <c r="D857" s="271" t="n"/>
      <c r="E857" s="276" t="n"/>
      <c r="F857" s="271" t="n"/>
      <c r="G857" s="271" t="n"/>
      <c r="H857" s="276" t="n"/>
      <c r="I857" s="271" t="n"/>
      <c r="J857" s="271" t="n"/>
      <c r="K857" s="186" t="n"/>
      <c r="L857" s="166" t="n"/>
    </row>
    <row r="858" ht="17.1" customHeight="1" s="2">
      <c r="A858" s="166" t="n"/>
      <c r="B858" s="270" t="n"/>
      <c r="C858" s="271" t="n"/>
      <c r="D858" s="271" t="n"/>
      <c r="E858" s="276" t="n"/>
      <c r="F858" s="271" t="n"/>
      <c r="G858" s="271" t="n"/>
      <c r="H858" s="276" t="n"/>
      <c r="I858" s="271" t="n"/>
      <c r="J858" s="271" t="n"/>
      <c r="K858" s="186" t="n"/>
      <c r="L858" s="166" t="n"/>
    </row>
    <row r="859" ht="17.1" customHeight="1" s="2">
      <c r="A859" s="166" t="n"/>
      <c r="B859" s="270" t="n"/>
      <c r="C859" s="271" t="n"/>
      <c r="D859" s="271" t="n"/>
      <c r="E859" s="276" t="n"/>
      <c r="F859" s="271" t="n"/>
      <c r="G859" s="271" t="n"/>
      <c r="H859" s="276" t="n"/>
      <c r="I859" s="271" t="n"/>
      <c r="J859" s="271" t="n"/>
      <c r="K859" s="186" t="n"/>
      <c r="L859" s="166" t="n"/>
    </row>
    <row r="860" ht="17.1" customHeight="1" s="2">
      <c r="A860" s="166" t="n"/>
      <c r="B860" s="270" t="n"/>
      <c r="C860" s="275" t="inlineStr">
        <is>
          <t>Floor</t>
        </is>
      </c>
      <c r="D860" s="271" t="n"/>
      <c r="E860" s="276" t="n"/>
      <c r="F860" s="271" t="n"/>
      <c r="G860" s="271" t="n"/>
      <c r="H860" s="276" t="n"/>
      <c r="I860" s="271" t="n"/>
      <c r="J860" s="271" t="n"/>
      <c r="K860" s="186" t="n"/>
      <c r="L860" s="166" t="n"/>
    </row>
    <row r="861" ht="17.1" customHeight="1" s="2">
      <c r="A861" s="166" t="n"/>
      <c r="B861" s="270" t="n"/>
      <c r="C861" s="275" t="n"/>
      <c r="D861" s="271" t="n"/>
      <c r="E861" s="276" t="n"/>
      <c r="F861" s="271" t="n"/>
      <c r="G861" s="271" t="n"/>
      <c r="H861" s="276" t="n"/>
      <c r="I861" s="275" t="n"/>
      <c r="J861" s="271" t="n"/>
      <c r="K861" s="186" t="n"/>
      <c r="L861" s="166" t="n"/>
    </row>
    <row r="862" ht="17.1" customHeight="1" s="2">
      <c r="A862" s="166" t="n"/>
      <c r="B862" s="270" t="n"/>
      <c r="C862" s="277" t="n"/>
      <c r="D862" s="271" t="n"/>
      <c r="E862" s="276" t="n"/>
      <c r="F862" s="271" t="n"/>
      <c r="G862" s="271" t="n"/>
      <c r="H862" s="276" t="n"/>
      <c r="I862" s="275" t="inlineStr">
        <is>
          <t>Floor</t>
        </is>
      </c>
      <c r="J862" s="271" t="n"/>
      <c r="K862" s="186" t="n"/>
      <c r="L862" s="166" t="n"/>
    </row>
    <row r="863" ht="17.1" customHeight="1" s="2">
      <c r="A863" s="166" t="n"/>
      <c r="B863" s="270" t="n"/>
      <c r="C863" s="271" t="n"/>
      <c r="D863" s="271" t="n"/>
      <c r="E863" s="276" t="n"/>
      <c r="F863" s="277" t="n"/>
      <c r="G863" s="271" t="n"/>
      <c r="H863" s="276" t="n"/>
      <c r="I863" s="277" t="inlineStr">
        <is>
          <t>Niraj (Bar T1-T3)</t>
        </is>
      </c>
      <c r="J863" s="271" t="n">
        <v>15</v>
      </c>
      <c r="K863" s="186" t="n"/>
      <c r="L863" s="166" t="n"/>
    </row>
    <row r="864" ht="17.1" customHeight="1" s="2">
      <c r="A864" s="166" t="n"/>
      <c r="B864" s="270" t="n"/>
      <c r="C864" s="271" t="n"/>
      <c r="D864" s="271" t="n"/>
      <c r="E864" s="276" t="n"/>
      <c r="F864" s="275" t="inlineStr">
        <is>
          <t>Floor</t>
        </is>
      </c>
      <c r="G864" s="271" t="n"/>
      <c r="H864" s="276" t="n"/>
      <c r="I864" s="271" t="n"/>
      <c r="J864" s="271" t="n"/>
      <c r="K864" s="186" t="n"/>
      <c r="L864" s="166" t="n"/>
    </row>
    <row r="865" ht="17.1" customHeight="1" s="2">
      <c r="A865" s="166" t="n"/>
      <c r="B865" s="270" t="n"/>
      <c r="C865" s="277" t="n"/>
      <c r="D865" s="271" t="n"/>
      <c r="E865" s="276" t="n"/>
      <c r="F865" s="277" t="n"/>
      <c r="G865" s="271" t="n"/>
      <c r="H865" s="276" t="n"/>
      <c r="I865" s="271" t="n"/>
      <c r="J865" s="271" t="n"/>
      <c r="K865" s="186" t="n"/>
      <c r="L865" s="166" t="n"/>
    </row>
    <row r="866" ht="17.1" customHeight="1" s="2">
      <c r="A866" s="166" t="n"/>
      <c r="B866" s="270" t="n"/>
      <c r="C866" s="277" t="n"/>
      <c r="D866" s="271" t="n"/>
      <c r="E866" s="276" t="n"/>
      <c r="F866" s="277" t="n"/>
      <c r="G866" s="271" t="n"/>
      <c r="H866" s="276" t="n"/>
      <c r="I866" s="271" t="n"/>
      <c r="J866" s="271" t="n"/>
      <c r="K866" s="186" t="n"/>
      <c r="L866" s="166" t="n"/>
    </row>
    <row r="867" ht="17.1" customHeight="1" s="2">
      <c r="A867" s="166" t="n"/>
      <c r="B867" s="270" t="n"/>
      <c r="C867" s="277" t="n"/>
      <c r="D867" s="271" t="n"/>
      <c r="E867" s="276" t="n"/>
      <c r="F867" s="271" t="n"/>
      <c r="G867" s="271" t="n"/>
      <c r="H867" s="276" t="n"/>
      <c r="I867" s="271" t="n"/>
      <c r="J867" s="271" t="n"/>
      <c r="K867" s="186" t="n"/>
      <c r="L867" s="166" t="n"/>
    </row>
    <row r="868" ht="17.1" customHeight="1" s="2">
      <c r="A868" s="166" t="n"/>
      <c r="B868" s="270" t="n"/>
      <c r="C868" s="277" t="n"/>
      <c r="D868" s="271" t="n"/>
      <c r="E868" s="276" t="n"/>
      <c r="F868" s="271" t="n"/>
      <c r="G868" s="271" t="n"/>
      <c r="H868" s="276" t="n"/>
      <c r="I868" s="271" t="n"/>
      <c r="J868" s="271" t="n"/>
      <c r="K868" s="186" t="n"/>
      <c r="L868" s="166" t="n"/>
    </row>
    <row r="869" ht="17.1" customHeight="1" s="2">
      <c r="A869" s="166" t="n"/>
      <c r="B869" s="270" t="n"/>
      <c r="C869" s="271" t="n"/>
      <c r="D869" s="271" t="n"/>
      <c r="E869" s="276" t="n"/>
      <c r="F869" s="271" t="n"/>
      <c r="G869" s="271" t="n"/>
      <c r="H869" s="276" t="n"/>
      <c r="I869" s="271" t="n"/>
      <c r="J869" s="271" t="n"/>
      <c r="K869" s="186" t="n"/>
      <c r="L869" s="166" t="n"/>
    </row>
    <row r="870" ht="17.1" customHeight="1" s="2">
      <c r="A870" s="166" t="n"/>
      <c r="B870" s="270" t="n"/>
      <c r="C870" s="280" t="inlineStr">
        <is>
          <t>TOTAL</t>
        </is>
      </c>
      <c r="D870" s="280">
        <f>SUM(D856:D869)</f>
        <v/>
      </c>
      <c r="E870" s="276" t="n"/>
      <c r="F870" s="280" t="inlineStr">
        <is>
          <t>TOTAL</t>
        </is>
      </c>
      <c r="G870" s="280">
        <f>SUM(G856:G869)</f>
        <v/>
      </c>
      <c r="H870" s="276" t="n"/>
      <c r="I870" s="280" t="inlineStr">
        <is>
          <t>TOTAL</t>
        </is>
      </c>
      <c r="J870" s="280">
        <f>SUM(J856:J869)</f>
        <v/>
      </c>
      <c r="K870" s="186" t="n"/>
      <c r="L870" s="166" t="n"/>
    </row>
    <row r="871" ht="15" customHeight="1" s="2">
      <c r="A871" s="166" t="n"/>
      <c r="B871" s="168" t="n"/>
      <c r="C871" s="281" t="n"/>
      <c r="D871" s="282" t="n"/>
      <c r="E871" s="168" t="n"/>
      <c r="F871" s="281" t="n"/>
      <c r="G871" s="282" t="n"/>
      <c r="H871" s="168" t="n"/>
      <c r="I871" s="281" t="n"/>
      <c r="J871" s="282" t="n"/>
      <c r="K871" s="166" t="n"/>
      <c r="L871" s="166" t="n"/>
    </row>
    <row r="872" ht="18" customHeight="1" s="2" thickBot="1">
      <c r="A872" s="238" t="n"/>
      <c r="B872" s="696" t="n">
        <v>43038</v>
      </c>
      <c r="C872" s="697" t="n">
        <v>43402</v>
      </c>
      <c r="D872" s="698" t="n"/>
      <c r="E872" s="696" t="n">
        <v>43045</v>
      </c>
      <c r="F872" s="699" t="n">
        <v>43409</v>
      </c>
      <c r="G872" s="698" t="n"/>
      <c r="H872" s="696" t="n">
        <v>43417</v>
      </c>
      <c r="I872" s="699" t="n">
        <v>43416</v>
      </c>
      <c r="J872" s="701" t="n"/>
      <c r="K872" s="166" t="n"/>
      <c r="L872" s="166" t="n"/>
    </row>
    <row r="873" ht="17.85" customHeight="1" s="2" thickBot="1">
      <c r="A873" s="176" t="n"/>
      <c r="B873" s="177" t="inlineStr">
        <is>
          <t>Last Year</t>
        </is>
      </c>
      <c r="C873" s="178" t="inlineStr">
        <is>
          <t>Projected</t>
        </is>
      </c>
      <c r="D873" s="230" t="inlineStr">
        <is>
          <t>Actual</t>
        </is>
      </c>
      <c r="E873" s="177" t="inlineStr">
        <is>
          <t>Last Year</t>
        </is>
      </c>
      <c r="F873" s="178" t="inlineStr">
        <is>
          <t>Projected</t>
        </is>
      </c>
      <c r="G873" s="230" t="inlineStr">
        <is>
          <t>Actual</t>
        </is>
      </c>
      <c r="H873" s="177" t="inlineStr">
        <is>
          <t>Last Year</t>
        </is>
      </c>
      <c r="I873" s="178" t="inlineStr">
        <is>
          <t>Projected</t>
        </is>
      </c>
      <c r="J873" s="230" t="inlineStr">
        <is>
          <t>Actual</t>
        </is>
      </c>
      <c r="K873" s="180" t="n"/>
      <c r="L873" s="166" t="n"/>
    </row>
    <row r="874" ht="18" customHeight="1" s="2">
      <c r="A874" s="181" t="inlineStr">
        <is>
          <t>GROSS TOTAL</t>
        </is>
      </c>
      <c r="B874" s="184" t="n">
        <v>140364.07</v>
      </c>
      <c r="C874" s="184" t="n">
        <v>140128</v>
      </c>
      <c r="D874" s="184" t="n">
        <v>136723.03</v>
      </c>
      <c r="E874" s="184" t="n">
        <v>146740.2</v>
      </c>
      <c r="F874" s="215" t="n">
        <v>142416</v>
      </c>
      <c r="G874" s="184" t="n">
        <v>138287.93</v>
      </c>
      <c r="H874" s="184" t="n">
        <v>153553</v>
      </c>
      <c r="I874" s="215" t="n">
        <v>142515</v>
      </c>
      <c r="J874" s="185" t="n">
        <v>153381.87</v>
      </c>
      <c r="K874" s="186" t="n"/>
      <c r="L874" s="166" t="n"/>
    </row>
    <row r="875" ht="17.45" customHeight="1" s="2">
      <c r="A875" s="187" t="inlineStr">
        <is>
          <t>NETT  TOTAL</t>
        </is>
      </c>
      <c r="B875" s="22">
        <f>B874/1.1</f>
        <v/>
      </c>
      <c r="C875" s="9">
        <f>C874/1.1</f>
        <v/>
      </c>
      <c r="D875" s="32">
        <f>D874/1.1</f>
        <v/>
      </c>
      <c r="E875" s="10">
        <f>E874/1.1</f>
        <v/>
      </c>
      <c r="F875" s="28">
        <f>F874/1.1</f>
        <v/>
      </c>
      <c r="G875" s="32">
        <f>G874/1.1</f>
        <v/>
      </c>
      <c r="H875" s="22" t="n">
        <v>139593.6363636364</v>
      </c>
      <c r="I875" s="9">
        <f>I874/1.1</f>
        <v/>
      </c>
      <c r="J875" s="39">
        <f>J874/1.1</f>
        <v/>
      </c>
      <c r="K875" s="186" t="n"/>
      <c r="L875" s="166" t="n"/>
    </row>
    <row r="876" ht="17.45" customHeight="1" s="2">
      <c r="A876" s="188" t="inlineStr">
        <is>
          <t>Customers</t>
        </is>
      </c>
      <c r="B876" s="10" t="n">
        <v>6818</v>
      </c>
      <c r="C876" s="10" t="n">
        <v>6705</v>
      </c>
      <c r="D876" s="10" t="n">
        <v>6473</v>
      </c>
      <c r="E876" s="10" t="n">
        <v>6984</v>
      </c>
      <c r="F876" s="28" t="n">
        <v>6865</v>
      </c>
      <c r="G876" s="10" t="n">
        <v>6676</v>
      </c>
      <c r="H876" s="10" t="n">
        <v>7253</v>
      </c>
      <c r="I876" s="28" t="n">
        <v>6805</v>
      </c>
      <c r="J876" s="11" t="n">
        <v>7251</v>
      </c>
      <c r="K876" s="171" t="n"/>
      <c r="L876" s="166" t="n"/>
    </row>
    <row r="877" ht="17.45" customHeight="1" s="2">
      <c r="A877" s="188" t="inlineStr">
        <is>
          <t>Average Customer Spend</t>
        </is>
      </c>
      <c r="B877" s="22">
        <f>B874/B876</f>
        <v/>
      </c>
      <c r="C877" s="9">
        <f>C874/C876</f>
        <v/>
      </c>
      <c r="D877" s="32">
        <f>D874/D876</f>
        <v/>
      </c>
      <c r="E877" s="22">
        <f>E874/E876</f>
        <v/>
      </c>
      <c r="F877" s="9">
        <f>F874/F876</f>
        <v/>
      </c>
      <c r="G877" s="32">
        <f>G874/G876</f>
        <v/>
      </c>
      <c r="H877" s="22" t="n">
        <v>21.17096373914242</v>
      </c>
      <c r="I877" s="9">
        <f>I874/I876</f>
        <v/>
      </c>
      <c r="J877" s="33">
        <f>J874/J876</f>
        <v/>
      </c>
      <c r="K877" s="171" t="n"/>
      <c r="L877" s="166" t="n"/>
    </row>
    <row r="878" ht="17.45" customHeight="1" s="2">
      <c r="A878" s="191" t="inlineStr">
        <is>
          <t>Wage % to Gross total</t>
        </is>
      </c>
      <c r="B878" s="210">
        <f>(B881*B882)/B874</f>
        <v/>
      </c>
      <c r="C878" s="9">
        <f>(C881*C882)/C874</f>
        <v/>
      </c>
      <c r="D878" s="39">
        <f>(D881*D882)/D874</f>
        <v/>
      </c>
      <c r="E878" s="210">
        <f>(E881*E882)/E874</f>
        <v/>
      </c>
      <c r="F878" s="265">
        <f>(F881*F882)/F874</f>
        <v/>
      </c>
      <c r="G878" s="266">
        <f>(G881*G882)/G874</f>
        <v/>
      </c>
      <c r="H878" s="210" t="n">
        <v>0.3239415706628981</v>
      </c>
      <c r="I878" s="265">
        <f>(I881*I882)/I874</f>
        <v/>
      </c>
      <c r="J878" s="267">
        <f>(J881*J882)/J874</f>
        <v/>
      </c>
      <c r="K878" s="171" t="n"/>
      <c r="L878" s="166" t="n"/>
    </row>
    <row r="879" ht="18" customHeight="1" s="2" thickBot="1">
      <c r="A879" s="191" t="inlineStr">
        <is>
          <t>Wage % to Nett Total</t>
        </is>
      </c>
      <c r="B879" s="210">
        <f>(B881*B882)/B875</f>
        <v/>
      </c>
      <c r="C879" s="265">
        <f>(C881*C882)/C875</f>
        <v/>
      </c>
      <c r="D879" s="284">
        <f>(D881*D882)/D875</f>
        <v/>
      </c>
      <c r="E879" s="210">
        <f>(E881*E882)/E875</f>
        <v/>
      </c>
      <c r="F879" s="265">
        <f>(F881*F882)/F875</f>
        <v/>
      </c>
      <c r="G879" s="266">
        <f>(G881*G882)/G875</f>
        <v/>
      </c>
      <c r="H879" s="210" t="n">
        <v>0.356335727729188</v>
      </c>
      <c r="I879" s="265">
        <f>(I881*I882)/I875</f>
        <v/>
      </c>
      <c r="J879" s="267">
        <f>(J881*J882)/J875</f>
        <v/>
      </c>
      <c r="K879" s="171" t="n"/>
      <c r="L879" s="166" t="n"/>
    </row>
    <row r="880" ht="18" customHeight="1" s="2">
      <c r="A880" s="188" t="inlineStr">
        <is>
          <t>Productivity</t>
        </is>
      </c>
      <c r="B880" s="10">
        <f>B876/B882</f>
        <v/>
      </c>
      <c r="C880" s="28">
        <f>C876/C882</f>
        <v/>
      </c>
      <c r="D880" s="36">
        <f>D876/D882</f>
        <v/>
      </c>
      <c r="E880" s="10">
        <f>E876/E882</f>
        <v/>
      </c>
      <c r="F880" s="28">
        <f>F876/F882</f>
        <v/>
      </c>
      <c r="G880" s="32">
        <f>G876/G882</f>
        <v/>
      </c>
      <c r="H880" s="10" t="n">
        <v>4.967808219178083</v>
      </c>
      <c r="I880" s="28">
        <f>I876/I882</f>
        <v/>
      </c>
      <c r="J880" s="33">
        <f>J876/J882</f>
        <v/>
      </c>
      <c r="K880" s="171" t="n"/>
      <c r="L880" s="166" t="n"/>
    </row>
    <row r="881" ht="17.45" customHeight="1" s="2">
      <c r="A881" s="188" t="inlineStr">
        <is>
          <t>Average Hourly Rate</t>
        </is>
      </c>
      <c r="B881" s="10" t="n">
        <v>33.18</v>
      </c>
      <c r="C881" s="189" t="n">
        <v>34</v>
      </c>
      <c r="D881" s="32" t="n">
        <v>34.44</v>
      </c>
      <c r="E881" s="10" t="n">
        <v>32.84</v>
      </c>
      <c r="F881" s="28" t="n">
        <v>34</v>
      </c>
      <c r="G881" s="32" t="n">
        <v>33.9</v>
      </c>
      <c r="H881" s="10" t="n">
        <v>34.07</v>
      </c>
      <c r="I881" s="189" t="n">
        <v>34</v>
      </c>
      <c r="J881" s="33" t="n">
        <v>34.49</v>
      </c>
      <c r="K881" s="171" t="n"/>
      <c r="L881" s="166" t="n"/>
    </row>
    <row r="882" ht="17.45" customHeight="1" s="2">
      <c r="A882" s="188" t="inlineStr">
        <is>
          <t>Total hours for productivity</t>
        </is>
      </c>
      <c r="B882" s="10" t="n">
        <v>1393.25</v>
      </c>
      <c r="C882" s="189" t="n">
        <v>1314</v>
      </c>
      <c r="D882" s="32" t="n">
        <v>1327.5</v>
      </c>
      <c r="E882" s="10" t="n">
        <v>1387.25</v>
      </c>
      <c r="F882" s="189" t="n">
        <v>1324</v>
      </c>
      <c r="G882" s="32" t="n">
        <v>1365.5</v>
      </c>
      <c r="H882" s="10" t="n">
        <v>1460</v>
      </c>
      <c r="I882" s="28" t="n">
        <v>1347</v>
      </c>
      <c r="J882" s="33" t="n">
        <v>1402.25</v>
      </c>
      <c r="K882" s="171" t="n"/>
      <c r="L882" s="166" t="n"/>
    </row>
    <row r="883" ht="17.45" customHeight="1" s="2">
      <c r="A883" s="188" t="inlineStr">
        <is>
          <t>Training Hours used</t>
        </is>
      </c>
      <c r="B883" s="10" t="n"/>
      <c r="C883" s="189" t="n"/>
      <c r="D883" s="32" t="n">
        <v>63</v>
      </c>
      <c r="E883" s="10" t="n">
        <v>37.5</v>
      </c>
      <c r="F883" s="28" t="n"/>
      <c r="G883" s="32" t="n">
        <v>82.5</v>
      </c>
      <c r="H883" s="10" t="n">
        <v>103.5</v>
      </c>
      <c r="I883" s="189" t="n"/>
      <c r="J883" s="39" t="n">
        <v>58</v>
      </c>
      <c r="K883" s="186" t="n"/>
      <c r="L883" s="166" t="n"/>
    </row>
    <row r="884" ht="18" customHeight="1" s="2" thickBot="1">
      <c r="A884" s="193" t="inlineStr">
        <is>
          <t>Number of hours used to cover sick leave</t>
        </is>
      </c>
      <c r="B884" s="15" t="n"/>
      <c r="C884" s="14" t="n"/>
      <c r="D884" s="34" t="n"/>
      <c r="E884" s="15" t="n"/>
      <c r="F884" s="41" t="n"/>
      <c r="G884" s="34" t="n"/>
      <c r="H884" s="15" t="n">
        <v>55</v>
      </c>
      <c r="I884" s="189" t="n"/>
      <c r="J884" s="233" t="n"/>
      <c r="K884" s="186" t="n"/>
      <c r="L884" s="166" t="n"/>
    </row>
    <row r="885" ht="15.95" customHeight="1" s="2" thickBot="1">
      <c r="A885" s="195" t="inlineStr">
        <is>
          <t>Minimum HOURS</t>
        </is>
      </c>
      <c r="B885" s="196" t="inlineStr">
        <is>
          <t xml:space="preserve">Kitchen </t>
        </is>
      </c>
      <c r="C885" s="16" t="n"/>
      <c r="D885" s="35" t="n"/>
      <c r="E885" s="17" t="n"/>
      <c r="F885" s="16" t="n">
        <v>530</v>
      </c>
      <c r="G885" s="36" t="n"/>
      <c r="H885" s="17" t="n"/>
      <c r="I885" s="14" t="n"/>
      <c r="J885" s="35" t="n"/>
      <c r="K885" s="180" t="n"/>
      <c r="L885" s="166" t="n"/>
    </row>
    <row r="886" ht="15.95" customHeight="1" s="2" thickBot="1">
      <c r="A886" s="197" t="n"/>
      <c r="B886" s="198" t="inlineStr">
        <is>
          <t xml:space="preserve">Floor </t>
        </is>
      </c>
      <c r="C886" s="18" t="n">
        <v>775</v>
      </c>
      <c r="D886" s="35" t="n"/>
      <c r="E886" s="26" t="n"/>
      <c r="F886" s="18" t="n">
        <v>790</v>
      </c>
      <c r="G886" s="234" t="n"/>
      <c r="H886" s="26" t="n"/>
      <c r="I886" s="42" t="n"/>
      <c r="J886" s="35" t="n"/>
      <c r="K886" s="180" t="n"/>
      <c r="L886" s="166" t="n"/>
    </row>
    <row r="887" ht="15.95" customHeight="1" s="2" thickBot="1">
      <c r="A887" s="197" t="n"/>
      <c r="B887" s="199" t="inlineStr">
        <is>
          <t>TOTAL</t>
        </is>
      </c>
      <c r="C887" s="42">
        <f>SUM(C885:C886)</f>
        <v/>
      </c>
      <c r="D887" s="35">
        <f>SUM(D885:D886)</f>
        <v/>
      </c>
      <c r="E887" s="199" t="inlineStr">
        <is>
          <t>TOTAL</t>
        </is>
      </c>
      <c r="F887" s="42">
        <f>SUM(F885:F886)</f>
        <v/>
      </c>
      <c r="G887" s="35">
        <f>SUM(G885:G886)</f>
        <v/>
      </c>
      <c r="H887" s="199" t="inlineStr">
        <is>
          <t>TOTAL</t>
        </is>
      </c>
      <c r="I887" s="42">
        <f>SUM(I885:I886)</f>
        <v/>
      </c>
      <c r="J887" s="35">
        <f>SUM(J885:J886)</f>
        <v/>
      </c>
      <c r="K887" s="180" t="n"/>
      <c r="L887" s="166" t="n"/>
    </row>
    <row r="888" ht="15.6" customHeight="1" s="2">
      <c r="A888" s="166" t="n"/>
      <c r="B888" s="201" t="n"/>
      <c r="C888" s="269" t="n"/>
      <c r="D888" s="269" t="n"/>
      <c r="E888" s="201" t="n"/>
      <c r="F888" s="269" t="n"/>
      <c r="G888" s="269" t="n"/>
      <c r="H888" s="201" t="n"/>
      <c r="I888" s="269" t="n"/>
      <c r="J888" s="269" t="n"/>
      <c r="K888" s="166" t="n"/>
      <c r="L888" s="166" t="n"/>
    </row>
    <row r="889" ht="17.1" customHeight="1" s="2">
      <c r="A889" s="166" t="n"/>
      <c r="B889" s="169" t="n"/>
      <c r="C889" s="273" t="inlineStr">
        <is>
          <t>Trainings</t>
        </is>
      </c>
      <c r="D889" s="273" t="n"/>
      <c r="E889" s="274" t="n"/>
      <c r="F889" s="273" t="inlineStr">
        <is>
          <t>Trainings</t>
        </is>
      </c>
      <c r="G889" s="273" t="n"/>
      <c r="H889" s="274" t="n"/>
      <c r="I889" s="273" t="inlineStr">
        <is>
          <t>Trainings</t>
        </is>
      </c>
      <c r="J889" s="273" t="n"/>
      <c r="K889" s="171" t="n"/>
      <c r="L889" s="166" t="n"/>
    </row>
    <row r="890" ht="17.1" customHeight="1" s="2">
      <c r="A890" s="166" t="n"/>
      <c r="B890" s="270" t="n"/>
      <c r="C890" s="279" t="inlineStr">
        <is>
          <t>Kitchen</t>
        </is>
      </c>
      <c r="D890" s="271" t="n"/>
      <c r="E890" s="276" t="n"/>
      <c r="F890" s="279" t="inlineStr">
        <is>
          <t>Kitchen</t>
        </is>
      </c>
      <c r="G890" s="271" t="n"/>
      <c r="H890" s="276" t="n"/>
      <c r="I890" s="279" t="inlineStr">
        <is>
          <t>Kitchen</t>
        </is>
      </c>
      <c r="J890" s="271" t="n"/>
      <c r="K890" s="186" t="n"/>
      <c r="L890" s="166" t="n"/>
    </row>
    <row r="891" ht="17.1" customHeight="1" s="2">
      <c r="A891" s="166" t="n"/>
      <c r="B891" s="270" t="n"/>
      <c r="C891" s="271" t="inlineStr">
        <is>
          <t>Manju shift running(T1T2)</t>
        </is>
      </c>
      <c r="D891" s="271" t="n">
        <v>15.5</v>
      </c>
      <c r="E891" s="276" t="n"/>
      <c r="F891" s="271" t="inlineStr">
        <is>
          <t>Anik milko shift run T1-T3</t>
        </is>
      </c>
      <c r="G891" s="271" t="n">
        <v>22.5</v>
      </c>
      <c r="H891" s="276" t="n"/>
      <c r="I891" s="271" t="inlineStr">
        <is>
          <t>Fayshal (invoice T1)</t>
        </is>
      </c>
      <c r="J891" s="271" t="n">
        <v>5</v>
      </c>
      <c r="K891" s="186" t="n"/>
      <c r="L891" s="166" t="n"/>
    </row>
    <row r="892" ht="17.1" customHeight="1" s="2">
      <c r="A892" s="166" t="n"/>
      <c r="B892" s="270" t="n"/>
      <c r="C892" s="271" t="inlineStr">
        <is>
          <t>Tanzil pizza(T1-T2-T3)</t>
        </is>
      </c>
      <c r="D892" s="271" t="n">
        <v>17.5</v>
      </c>
      <c r="E892" s="276" t="n"/>
      <c r="F892" s="271" t="inlineStr">
        <is>
          <t>Sushang b'fast T4-T5</t>
        </is>
      </c>
      <c r="G892" s="271" t="n">
        <v>15</v>
      </c>
      <c r="H892" s="276" t="n"/>
      <c r="I892" s="271" t="n"/>
      <c r="J892" s="271" t="n"/>
      <c r="K892" s="186" t="n"/>
      <c r="L892" s="166" t="n"/>
    </row>
    <row r="893" ht="17.1" customHeight="1" s="2">
      <c r="A893" s="166" t="n"/>
      <c r="B893" s="270" t="n"/>
      <c r="C893" s="271" t="inlineStr">
        <is>
          <t>Sushang b'fast T1-T2</t>
        </is>
      </c>
      <c r="D893" s="271" t="n">
        <v>15</v>
      </c>
      <c r="E893" s="276" t="n"/>
      <c r="F893" s="271" t="n"/>
      <c r="G893" s="271" t="n"/>
      <c r="H893" s="276" t="n"/>
      <c r="I893" s="271" t="n"/>
      <c r="J893" s="271" t="n"/>
      <c r="K893" s="186" t="n"/>
      <c r="L893" s="166" t="n"/>
    </row>
    <row r="894" ht="17.1" customHeight="1" s="2">
      <c r="A894" s="166" t="n"/>
      <c r="B894" s="270" t="n"/>
      <c r="C894" s="271" t="n"/>
      <c r="D894" s="271" t="n"/>
      <c r="E894" s="276" t="n"/>
      <c r="F894" s="271" t="n"/>
      <c r="G894" s="271" t="n"/>
      <c r="H894" s="276" t="n"/>
      <c r="I894" s="271" t="n"/>
      <c r="J894" s="271" t="n"/>
      <c r="K894" s="186" t="n"/>
      <c r="L894" s="166" t="n"/>
    </row>
    <row r="895" ht="17.1" customHeight="1" s="2">
      <c r="A895" s="166" t="n"/>
      <c r="B895" s="270" t="n"/>
      <c r="C895" s="275" t="inlineStr">
        <is>
          <t>Floor</t>
        </is>
      </c>
      <c r="D895" s="271" t="n"/>
      <c r="E895" s="276" t="n"/>
      <c r="F895" s="271" t="n"/>
      <c r="G895" s="271" t="n"/>
      <c r="H895" s="276" t="n"/>
      <c r="I895" s="271" t="n"/>
      <c r="J895" s="271" t="n"/>
      <c r="K895" s="186" t="n"/>
      <c r="L895" s="166" t="n"/>
    </row>
    <row r="896" ht="17.1" customHeight="1" s="2">
      <c r="A896" s="166" t="n"/>
      <c r="B896" s="270" t="n"/>
      <c r="C896" s="275" t="inlineStr">
        <is>
          <t>Santoshi(Host T1- T3)</t>
        </is>
      </c>
      <c r="D896" s="271" t="n">
        <v>15</v>
      </c>
      <c r="E896" s="276" t="n"/>
      <c r="F896" s="271" t="n"/>
      <c r="G896" s="271" t="n"/>
      <c r="H896" s="276" t="n"/>
      <c r="I896" s="275" t="n"/>
      <c r="J896" s="271" t="n"/>
      <c r="K896" s="186" t="n"/>
      <c r="L896" s="166" t="n"/>
    </row>
    <row r="897" ht="17.1" customHeight="1" s="2">
      <c r="A897" s="166" t="n"/>
      <c r="B897" s="270" t="n"/>
      <c r="C897" s="277" t="n"/>
      <c r="D897" s="271" t="n"/>
      <c r="E897" s="276" t="n"/>
      <c r="F897" s="271" t="n"/>
      <c r="G897" s="271" t="n"/>
      <c r="H897" s="276" t="n"/>
      <c r="I897" s="275" t="inlineStr">
        <is>
          <t>Floor</t>
        </is>
      </c>
      <c r="J897" s="271" t="n"/>
      <c r="K897" s="186" t="n"/>
      <c r="L897" s="166" t="n"/>
    </row>
    <row r="898" ht="17.1" customHeight="1" s="2">
      <c r="A898" s="166" t="n"/>
      <c r="B898" s="270" t="n"/>
      <c r="C898" s="271" t="n"/>
      <c r="D898" s="271" t="n"/>
      <c r="E898" s="276" t="n"/>
      <c r="F898" s="277" t="n"/>
      <c r="G898" s="271" t="n"/>
      <c r="H898" s="276" t="n"/>
      <c r="I898" s="277" t="inlineStr">
        <is>
          <t>Santoshi(COT1-T3)</t>
        </is>
      </c>
      <c r="J898" s="271" t="n">
        <v>15</v>
      </c>
      <c r="K898" s="186" t="n"/>
      <c r="L898" s="166" t="n"/>
    </row>
    <row r="899" ht="17.1" customHeight="1" s="2">
      <c r="A899" s="166" t="n"/>
      <c r="B899" s="270" t="n"/>
      <c r="C899" s="271" t="n"/>
      <c r="D899" s="271" t="n"/>
      <c r="E899" s="276" t="n"/>
      <c r="F899" s="275" t="inlineStr">
        <is>
          <t>Floor</t>
        </is>
      </c>
      <c r="G899" s="271" t="n"/>
      <c r="H899" s="276" t="n"/>
      <c r="I899" s="271" t="inlineStr">
        <is>
          <t>Hema(SUP T6)</t>
        </is>
      </c>
      <c r="J899" s="271" t="n">
        <v>8</v>
      </c>
      <c r="K899" s="186" t="n"/>
      <c r="L899" s="166" t="n"/>
    </row>
    <row r="900" ht="17.1" customHeight="1" s="2">
      <c r="A900" s="166" t="n"/>
      <c r="B900" s="270" t="n"/>
      <c r="C900" s="277" t="n"/>
      <c r="D900" s="271" t="n"/>
      <c r="E900" s="276" t="n"/>
      <c r="F900" s="271" t="inlineStr">
        <is>
          <t>HemaSup(T1-T5)</t>
        </is>
      </c>
      <c r="G900" s="271" t="n">
        <v>40</v>
      </c>
      <c r="H900" s="276" t="n"/>
      <c r="I900" s="271" t="inlineStr">
        <is>
          <t>Hema (dummy run)</t>
        </is>
      </c>
      <c r="J900" s="271" t="n">
        <v>30</v>
      </c>
      <c r="K900" s="186" t="n"/>
      <c r="L900" s="166" t="n"/>
    </row>
    <row r="901" ht="17.1" customHeight="1" s="2">
      <c r="A901" s="166" t="n"/>
      <c r="B901" s="270" t="n"/>
      <c r="C901" s="277" t="n"/>
      <c r="D901" s="271" t="n"/>
      <c r="E901" s="276" t="n"/>
      <c r="F901" s="271" t="inlineStr">
        <is>
          <t>Tide bar T1</t>
        </is>
      </c>
      <c r="G901" s="271" t="n">
        <v>5</v>
      </c>
      <c r="H901" s="276" t="n"/>
      <c r="I901" s="271" t="n"/>
      <c r="J901" s="271" t="n"/>
      <c r="K901" s="186" t="n"/>
      <c r="L901" s="166" t="n"/>
    </row>
    <row r="902" ht="17.1" customHeight="1" s="2">
      <c r="A902" s="166" t="n"/>
      <c r="B902" s="270" t="n"/>
      <c r="C902" s="277" t="n"/>
      <c r="D902" s="271" t="n"/>
      <c r="E902" s="276" t="n"/>
      <c r="F902" s="271" t="n"/>
      <c r="G902" s="271" t="n"/>
      <c r="H902" s="276" t="n"/>
      <c r="I902" s="271" t="n"/>
      <c r="J902" s="271" t="n"/>
      <c r="K902" s="186" t="n"/>
      <c r="L902" s="166" t="n"/>
    </row>
    <row r="903" ht="17.1" customHeight="1" s="2">
      <c r="A903" s="166" t="n"/>
      <c r="B903" s="270" t="n"/>
      <c r="C903" s="277" t="n"/>
      <c r="D903" s="271" t="n"/>
      <c r="E903" s="276" t="n"/>
      <c r="F903" s="271" t="n"/>
      <c r="G903" s="271" t="n"/>
      <c r="H903" s="276" t="n"/>
      <c r="I903" s="271" t="n"/>
      <c r="J903" s="271" t="n"/>
      <c r="K903" s="186" t="n"/>
      <c r="L903" s="166" t="n"/>
    </row>
    <row r="904" ht="17.1" customHeight="1" s="2">
      <c r="A904" s="166" t="n"/>
      <c r="B904" s="270" t="n"/>
      <c r="C904" s="271" t="n"/>
      <c r="D904" s="271" t="n"/>
      <c r="E904" s="276" t="n"/>
      <c r="F904" s="271" t="n"/>
      <c r="G904" s="271" t="n"/>
      <c r="H904" s="276" t="n"/>
      <c r="I904" s="271" t="n"/>
      <c r="J904" s="271" t="n"/>
      <c r="K904" s="186" t="n"/>
      <c r="L904" s="166" t="n"/>
    </row>
    <row r="905" ht="17.1" customHeight="1" s="2">
      <c r="A905" s="166" t="n"/>
      <c r="B905" s="270" t="n"/>
      <c r="C905" s="280" t="inlineStr">
        <is>
          <t>TOTAL</t>
        </is>
      </c>
      <c r="D905" s="280">
        <f>SUM(D891:D904)</f>
        <v/>
      </c>
      <c r="E905" s="276" t="n"/>
      <c r="F905" s="280" t="inlineStr">
        <is>
          <t>TOTAL</t>
        </is>
      </c>
      <c r="G905" s="280">
        <f>SUM(G891:G904)</f>
        <v/>
      </c>
      <c r="H905" s="276" t="n"/>
      <c r="I905" s="280" t="inlineStr">
        <is>
          <t>TOTAL</t>
        </is>
      </c>
      <c r="J905" s="280">
        <f>SUM(J891:J904)</f>
        <v/>
      </c>
      <c r="K905" s="186" t="n"/>
      <c r="L905" s="166" t="n"/>
    </row>
    <row r="906" ht="15" customHeight="1" s="2">
      <c r="A906" s="166" t="n"/>
      <c r="B906" s="166" t="n"/>
      <c r="C906" s="282" t="n"/>
      <c r="D906" s="282" t="n"/>
      <c r="E906" s="166" t="n"/>
      <c r="F906" s="282" t="n"/>
      <c r="G906" s="282" t="n"/>
      <c r="H906" s="166" t="n"/>
      <c r="I906" s="282" t="n"/>
      <c r="J906" s="282" t="n"/>
      <c r="K906" s="166" t="n"/>
      <c r="L906" s="166" t="n"/>
    </row>
    <row r="907" ht="15" customHeight="1" s="2">
      <c r="A907" s="166" t="n"/>
      <c r="B907" s="168" t="n"/>
      <c r="C907" s="168" t="n"/>
      <c r="D907" s="166" t="n"/>
      <c r="E907" s="168" t="n"/>
      <c r="F907" s="168" t="n"/>
      <c r="G907" s="166" t="n"/>
      <c r="H907" s="168" t="n"/>
      <c r="I907" s="168" t="n"/>
      <c r="J907" s="166" t="n"/>
      <c r="K907" s="166" t="n"/>
      <c r="L907" s="166" t="n"/>
    </row>
    <row r="908" ht="18" customHeight="1" s="2" thickBot="1">
      <c r="A908" s="238" t="n"/>
      <c r="B908" s="696" t="n">
        <v>43059</v>
      </c>
      <c r="C908" s="697" t="n">
        <v>43423</v>
      </c>
      <c r="D908" s="698" t="n"/>
      <c r="E908" s="696" t="n">
        <v>43431</v>
      </c>
      <c r="F908" s="699" t="n">
        <v>43430</v>
      </c>
      <c r="G908" s="698" t="n"/>
      <c r="H908" s="696" t="n">
        <v>43438</v>
      </c>
      <c r="I908" s="699" t="n">
        <v>43437</v>
      </c>
      <c r="J908" s="701" t="n"/>
      <c r="K908" s="166" t="n"/>
      <c r="L908" s="166" t="n"/>
    </row>
    <row r="909" ht="17.85" customHeight="1" s="2" thickBot="1">
      <c r="A909" s="176" t="n"/>
      <c r="B909" s="177" t="inlineStr">
        <is>
          <t>Last Year</t>
        </is>
      </c>
      <c r="C909" s="178" t="inlineStr">
        <is>
          <t>Projected</t>
        </is>
      </c>
      <c r="D909" s="230" t="inlineStr">
        <is>
          <t>Actual</t>
        </is>
      </c>
      <c r="E909" s="177" t="inlineStr">
        <is>
          <t>Last Year</t>
        </is>
      </c>
      <c r="F909" s="178" t="inlineStr">
        <is>
          <t>Projected</t>
        </is>
      </c>
      <c r="G909" s="230" t="inlineStr">
        <is>
          <t>Actual</t>
        </is>
      </c>
      <c r="H909" s="177" t="inlineStr">
        <is>
          <t>Last Year</t>
        </is>
      </c>
      <c r="I909" s="178" t="inlineStr">
        <is>
          <t>Projected</t>
        </is>
      </c>
      <c r="J909" s="230" t="inlineStr">
        <is>
          <t>Actual</t>
        </is>
      </c>
      <c r="K909" s="180" t="n"/>
      <c r="L909" s="166" t="n"/>
    </row>
    <row r="910" ht="18" customHeight="1" s="2">
      <c r="A910" s="181" t="inlineStr">
        <is>
          <t>GROSS TOTAL</t>
        </is>
      </c>
      <c r="B910" s="184" t="n">
        <v>161303.47</v>
      </c>
      <c r="C910" s="184" t="n">
        <v>145654</v>
      </c>
      <c r="D910" s="184" t="n">
        <v>154648.52</v>
      </c>
      <c r="E910" s="184" t="n">
        <v>169857.94</v>
      </c>
      <c r="F910" s="215" t="n">
        <v>149962</v>
      </c>
      <c r="G910" s="184" t="n">
        <v>161371.85</v>
      </c>
      <c r="H910" s="184" t="n">
        <v>167715.62</v>
      </c>
      <c r="I910" s="215" t="n">
        <v>153082</v>
      </c>
      <c r="J910" s="185" t="n">
        <v>139248.14</v>
      </c>
      <c r="K910" s="186" t="n"/>
      <c r="L910" s="166" t="n"/>
    </row>
    <row r="911" ht="17.45" customHeight="1" s="2">
      <c r="A911" s="187" t="inlineStr">
        <is>
          <t>NETT  TOTAL</t>
        </is>
      </c>
      <c r="B911" s="22">
        <f>B910/1.1</f>
        <v/>
      </c>
      <c r="C911" s="9">
        <f>C910/1.1</f>
        <v/>
      </c>
      <c r="D911" s="32">
        <f>D910/1.1</f>
        <v/>
      </c>
      <c r="E911" s="10">
        <f>E910/1.1</f>
        <v/>
      </c>
      <c r="F911" s="28">
        <f>F910/1.1</f>
        <v/>
      </c>
      <c r="G911" s="32">
        <f>G910/1.1</f>
        <v/>
      </c>
      <c r="H911" s="22">
        <f>H910/1.1</f>
        <v/>
      </c>
      <c r="I911" s="9">
        <f>I910/1.1</f>
        <v/>
      </c>
      <c r="J911" s="39">
        <f>J910/1.1</f>
        <v/>
      </c>
      <c r="K911" s="186" t="n"/>
      <c r="L911" s="166" t="n"/>
    </row>
    <row r="912" ht="17.45" customHeight="1" s="2">
      <c r="A912" s="188" t="inlineStr">
        <is>
          <t>Customers</t>
        </is>
      </c>
      <c r="B912" s="10" t="n">
        <v>7867</v>
      </c>
      <c r="C912" s="10" t="n">
        <v>7010</v>
      </c>
      <c r="D912" s="10" t="n">
        <v>7489</v>
      </c>
      <c r="E912" s="10" t="n">
        <v>8291</v>
      </c>
      <c r="F912" s="28" t="n">
        <v>7195</v>
      </c>
      <c r="G912" s="10" t="n">
        <v>7724</v>
      </c>
      <c r="H912" s="10" t="n">
        <v>8041</v>
      </c>
      <c r="I912" s="28" t="n">
        <v>7265</v>
      </c>
      <c r="J912" s="11" t="n">
        <v>6786</v>
      </c>
      <c r="K912" s="171" t="n"/>
      <c r="L912" s="166" t="n"/>
    </row>
    <row r="913" ht="17.45" customHeight="1" s="2">
      <c r="A913" s="188" t="inlineStr">
        <is>
          <t>Average Customer Spend</t>
        </is>
      </c>
      <c r="B913" s="22">
        <f>B910/B912</f>
        <v/>
      </c>
      <c r="C913" s="9">
        <f>C910/C912</f>
        <v/>
      </c>
      <c r="D913" s="32">
        <f>D910/D912</f>
        <v/>
      </c>
      <c r="E913" s="22">
        <f>E910/E912</f>
        <v/>
      </c>
      <c r="F913" s="9">
        <f>F910/F912</f>
        <v/>
      </c>
      <c r="G913" s="32">
        <f>G910/G912</f>
        <v/>
      </c>
      <c r="H913" s="22">
        <f>H910/H912</f>
        <v/>
      </c>
      <c r="I913" s="9">
        <f>I910/I912</f>
        <v/>
      </c>
      <c r="J913" s="33">
        <f>J910/J912</f>
        <v/>
      </c>
      <c r="K913" s="171" t="n"/>
      <c r="L913" s="166" t="n"/>
    </row>
    <row r="914" ht="17.45" customHeight="1" s="2">
      <c r="A914" s="191" t="inlineStr">
        <is>
          <t>Wage % to Gross total</t>
        </is>
      </c>
      <c r="B914" s="210">
        <f>(B917*B918)/B910</f>
        <v/>
      </c>
      <c r="C914" s="9">
        <f>(C917*C918)/C910</f>
        <v/>
      </c>
      <c r="D914" s="39">
        <f>(D917*D918)/D910</f>
        <v/>
      </c>
      <c r="E914" s="210">
        <f>(E917*E918)/E910</f>
        <v/>
      </c>
      <c r="F914" s="265">
        <f>(F917*F918)/F910</f>
        <v/>
      </c>
      <c r="G914" s="266">
        <f>(G917*G918)/G910</f>
        <v/>
      </c>
      <c r="H914" s="210">
        <f>(H917*H918)/H910</f>
        <v/>
      </c>
      <c r="I914" s="265">
        <f>(I917*I918)/I910</f>
        <v/>
      </c>
      <c r="J914" s="267">
        <f>(J917*J918)/J910</f>
        <v/>
      </c>
      <c r="K914" s="171" t="n"/>
      <c r="L914" s="166" t="n"/>
    </row>
    <row r="915" ht="18" customHeight="1" s="2" thickBot="1">
      <c r="A915" s="191" t="inlineStr">
        <is>
          <t>Wage % to Nett Total</t>
        </is>
      </c>
      <c r="B915" s="210">
        <f>(B917*B918)/B911</f>
        <v/>
      </c>
      <c r="C915" s="265">
        <f>(C917*C918)/C911</f>
        <v/>
      </c>
      <c r="D915" s="284">
        <f>(D917*D918)/D911</f>
        <v/>
      </c>
      <c r="E915" s="210">
        <f>(E917*E918)/E911</f>
        <v/>
      </c>
      <c r="F915" s="265">
        <f>(F917*F918)/F911</f>
        <v/>
      </c>
      <c r="G915" s="266">
        <f>(G917*G918)/G911</f>
        <v/>
      </c>
      <c r="H915" s="210">
        <f>(H917*H918)/H911</f>
        <v/>
      </c>
      <c r="I915" s="265">
        <f>(I917*I918)/I911</f>
        <v/>
      </c>
      <c r="J915" s="267">
        <f>(J917*J918)/J911</f>
        <v/>
      </c>
      <c r="K915" s="171" t="n"/>
      <c r="L915" s="166" t="n"/>
    </row>
    <row r="916" ht="18" customHeight="1" s="2">
      <c r="A916" s="188" t="inlineStr">
        <is>
          <t>Productivity</t>
        </is>
      </c>
      <c r="B916" s="10">
        <f>B912/B918</f>
        <v/>
      </c>
      <c r="C916" s="28">
        <f>C912/C918</f>
        <v/>
      </c>
      <c r="D916" s="36">
        <f>D912/D918</f>
        <v/>
      </c>
      <c r="E916" s="10">
        <f>E912/E918</f>
        <v/>
      </c>
      <c r="F916" s="28">
        <f>F912/F918</f>
        <v/>
      </c>
      <c r="G916" s="32">
        <f>G912/G918</f>
        <v/>
      </c>
      <c r="H916" s="10">
        <f>H912/H918</f>
        <v/>
      </c>
      <c r="I916" s="28">
        <f>I912/I918</f>
        <v/>
      </c>
      <c r="J916" s="33">
        <f>J912/J918</f>
        <v/>
      </c>
      <c r="K916" s="171" t="n"/>
      <c r="L916" s="166" t="n"/>
    </row>
    <row r="917" ht="17.45" customHeight="1" s="2">
      <c r="A917" s="188" t="inlineStr">
        <is>
          <t>Average Hourly Rate</t>
        </is>
      </c>
      <c r="B917" s="10" t="n">
        <v>33.12</v>
      </c>
      <c r="C917" s="189" t="n">
        <v>34</v>
      </c>
      <c r="D917" s="32" t="n">
        <v>34.26</v>
      </c>
      <c r="E917" s="10" t="n">
        <v>33.53</v>
      </c>
      <c r="F917" s="28" t="n">
        <v>34</v>
      </c>
      <c r="G917" s="32" t="n">
        <v>34.12</v>
      </c>
      <c r="H917" s="10" t="n">
        <v>32.91</v>
      </c>
      <c r="I917" s="189" t="n">
        <v>34</v>
      </c>
      <c r="J917" s="33" t="n">
        <v>35.56</v>
      </c>
      <c r="K917" s="171" t="n"/>
      <c r="L917" s="166" t="n"/>
    </row>
    <row r="918" ht="17.45" customHeight="1" s="2">
      <c r="A918" s="188" t="inlineStr">
        <is>
          <t>Total hours for productivity</t>
        </is>
      </c>
      <c r="B918" s="10" t="n">
        <v>1542.5</v>
      </c>
      <c r="C918" s="189" t="n">
        <v>1400.5</v>
      </c>
      <c r="D918" s="32" t="n">
        <v>1440.25</v>
      </c>
      <c r="E918" s="10" t="n">
        <v>1463.75</v>
      </c>
      <c r="F918" s="189" t="n">
        <v>1412.5</v>
      </c>
      <c r="G918" s="32" t="n">
        <v>1460.75</v>
      </c>
      <c r="H918" s="10" t="n">
        <v>1504.5</v>
      </c>
      <c r="I918" s="28" t="n">
        <v>1543</v>
      </c>
      <c r="J918" s="33" t="n">
        <v>1443.5</v>
      </c>
      <c r="K918" s="171" t="n"/>
      <c r="L918" s="166" t="n"/>
    </row>
    <row r="919" ht="17.45" customHeight="1" s="2">
      <c r="A919" s="188" t="inlineStr">
        <is>
          <t>Training Hours used</t>
        </is>
      </c>
      <c r="B919" s="10" t="n">
        <v>131</v>
      </c>
      <c r="C919" s="189" t="n"/>
      <c r="D919" s="32" t="n">
        <v>74</v>
      </c>
      <c r="E919" s="10" t="n">
        <v>35</v>
      </c>
      <c r="F919" s="28" t="n"/>
      <c r="G919" s="32" t="n"/>
      <c r="H919" s="10" t="n">
        <v>79</v>
      </c>
      <c r="I919" s="189" t="n"/>
      <c r="J919" s="39" t="n">
        <v>111</v>
      </c>
      <c r="K919" s="186" t="n"/>
      <c r="L919" s="166" t="n"/>
    </row>
    <row r="920" ht="18" customHeight="1" s="2" thickBot="1">
      <c r="A920" s="193" t="inlineStr">
        <is>
          <t>Number of hours used to cover sick leave</t>
        </is>
      </c>
      <c r="B920" s="15" t="n">
        <v>40</v>
      </c>
      <c r="C920" s="14" t="n"/>
      <c r="D920" s="34" t="n">
        <v>46.5</v>
      </c>
      <c r="E920" s="15" t="n"/>
      <c r="F920" s="41" t="n"/>
      <c r="G920" s="34" t="n"/>
      <c r="H920" s="15" t="n">
        <v>55</v>
      </c>
      <c r="I920" s="189" t="n"/>
      <c r="J920" s="233" t="n">
        <v>85.25</v>
      </c>
      <c r="K920" s="186" t="n"/>
      <c r="L920" s="166" t="n"/>
    </row>
    <row r="921" ht="15.95" customHeight="1" s="2" thickBot="1">
      <c r="A921" s="195" t="inlineStr">
        <is>
          <t>Minimum HOURS</t>
        </is>
      </c>
      <c r="B921" s="196" t="inlineStr">
        <is>
          <t xml:space="preserve">Kitchen </t>
        </is>
      </c>
      <c r="C921" s="16" t="n">
        <v>560</v>
      </c>
      <c r="D921" s="35" t="n"/>
      <c r="E921" s="17" t="n"/>
      <c r="F921" s="16" t="n">
        <v>560</v>
      </c>
      <c r="G921" s="36" t="n"/>
      <c r="H921" s="17" t="n"/>
      <c r="I921" s="14" t="n">
        <v>565</v>
      </c>
      <c r="J921" s="35" t="n"/>
      <c r="K921" s="180" t="n"/>
      <c r="L921" s="166" t="n"/>
    </row>
    <row r="922" ht="15.95" customHeight="1" s="2" thickBot="1">
      <c r="A922" s="197" t="n"/>
      <c r="B922" s="198" t="inlineStr">
        <is>
          <t xml:space="preserve">Floor </t>
        </is>
      </c>
      <c r="C922" s="18" t="n">
        <v>843</v>
      </c>
      <c r="D922" s="35" t="n"/>
      <c r="E922" s="26" t="n"/>
      <c r="F922" s="18" t="n">
        <v>844</v>
      </c>
      <c r="G922" s="234" t="n"/>
      <c r="H922" s="26" t="n"/>
      <c r="I922" s="42" t="n">
        <v>906</v>
      </c>
      <c r="J922" s="35" t="n"/>
      <c r="K922" s="180" t="n"/>
      <c r="L922" s="166" t="n"/>
    </row>
    <row r="923" ht="15.95" customHeight="1" s="2" thickBot="1">
      <c r="A923" s="197" t="n"/>
      <c r="B923" s="199" t="inlineStr">
        <is>
          <t>TOTAL</t>
        </is>
      </c>
      <c r="C923" s="42">
        <f>SUM(C921:C922)</f>
        <v/>
      </c>
      <c r="D923" s="35">
        <f>SUM(D921:D922)</f>
        <v/>
      </c>
      <c r="E923" s="199" t="inlineStr">
        <is>
          <t>TOTAL</t>
        </is>
      </c>
      <c r="F923" s="42">
        <f>SUM(F921:F922)</f>
        <v/>
      </c>
      <c r="G923" s="35">
        <f>SUM(G921:G922)</f>
        <v/>
      </c>
      <c r="H923" s="199" t="inlineStr">
        <is>
          <t>TOTAL</t>
        </is>
      </c>
      <c r="I923" s="42">
        <f>SUM(I921:I922)</f>
        <v/>
      </c>
      <c r="J923" s="35">
        <f>SUM(J921:J922)</f>
        <v/>
      </c>
      <c r="K923" s="180" t="n"/>
      <c r="L923" s="166" t="n"/>
    </row>
    <row r="924" ht="18" customHeight="1" s="2">
      <c r="A924" s="202" t="n"/>
      <c r="B924" s="239" t="n"/>
      <c r="C924" s="286" t="n"/>
      <c r="D924" s="286" t="n"/>
      <c r="E924" s="239" t="n"/>
      <c r="F924" s="286" t="n"/>
      <c r="G924" s="286" t="n"/>
      <c r="H924" s="239" t="n"/>
      <c r="I924" s="286" t="n"/>
      <c r="J924" s="286" t="n"/>
      <c r="K924" s="166" t="n"/>
      <c r="L924" s="166" t="n"/>
    </row>
    <row r="925" ht="17.45" customHeight="1" s="2">
      <c r="A925" s="202" t="n"/>
      <c r="B925" s="287" t="n"/>
      <c r="C925" s="273" t="inlineStr">
        <is>
          <t>Trainings</t>
        </is>
      </c>
      <c r="D925" s="273" t="n"/>
      <c r="E925" s="288" t="n"/>
      <c r="F925" s="273" t="inlineStr">
        <is>
          <t>Trainings</t>
        </is>
      </c>
      <c r="G925" s="273" t="n"/>
      <c r="H925" s="288" t="n"/>
      <c r="I925" s="273" t="inlineStr">
        <is>
          <t>Trainings</t>
        </is>
      </c>
      <c r="J925" s="273" t="n"/>
      <c r="K925" s="171" t="n"/>
      <c r="L925" s="166" t="n"/>
    </row>
    <row r="926" ht="17.45" customHeight="1" s="2">
      <c r="A926" s="202" t="n"/>
      <c r="B926" s="289" t="n"/>
      <c r="C926" s="279" t="inlineStr">
        <is>
          <t>Kitchen</t>
        </is>
      </c>
      <c r="D926" s="271" t="n"/>
      <c r="E926" s="290" t="n"/>
      <c r="F926" s="279" t="inlineStr">
        <is>
          <t>Kitchen</t>
        </is>
      </c>
      <c r="G926" s="271" t="n"/>
      <c r="H926" s="290" t="n"/>
      <c r="I926" s="279" t="inlineStr">
        <is>
          <t>Kitchen</t>
        </is>
      </c>
      <c r="J926" s="271" t="n"/>
      <c r="K926" s="186" t="n"/>
      <c r="L926" s="166" t="n"/>
    </row>
    <row r="927" ht="17.45" customHeight="1" s="2">
      <c r="A927" s="202" t="n"/>
      <c r="B927" s="289" t="n"/>
      <c r="C927" s="271" t="inlineStr">
        <is>
          <t>Fayshal (invoice T1)</t>
        </is>
      </c>
      <c r="D927" s="271" t="n">
        <v>5</v>
      </c>
      <c r="E927" s="290" t="n"/>
      <c r="F927" s="271" t="inlineStr">
        <is>
          <t>Fayshal(food cost T1)</t>
        </is>
      </c>
      <c r="G927" s="271" t="n">
        <v>8</v>
      </c>
      <c r="H927" s="290" t="n"/>
      <c r="I927" s="271" t="inlineStr">
        <is>
          <t>Fayshal(food cost T2)</t>
        </is>
      </c>
      <c r="J927" s="271" t="n">
        <v>9</v>
      </c>
      <c r="K927" s="186" t="n"/>
      <c r="L927" s="166" t="n"/>
    </row>
    <row r="928" ht="17.45" customHeight="1" s="2">
      <c r="A928" s="202" t="n"/>
      <c r="B928" s="289" t="n"/>
      <c r="C928" s="271" t="n"/>
      <c r="D928" s="271" t="n"/>
      <c r="E928" s="290" t="n"/>
      <c r="F928" s="271" t="n"/>
      <c r="G928" s="271" t="n"/>
      <c r="H928" s="290" t="n"/>
      <c r="I928" s="271" t="inlineStr">
        <is>
          <t>Bishal (induction+stockingT1-T3)</t>
        </is>
      </c>
      <c r="J928" s="271" t="n">
        <v>20</v>
      </c>
      <c r="K928" s="186" t="n"/>
      <c r="L928" s="166" t="n"/>
    </row>
    <row r="929" ht="17.45" customHeight="1" s="2">
      <c r="A929" s="202" t="n"/>
      <c r="B929" s="289" t="n"/>
      <c r="C929" s="271" t="n"/>
      <c r="D929" s="271" t="n"/>
      <c r="E929" s="290" t="n"/>
      <c r="F929" s="271" t="n"/>
      <c r="G929" s="271" t="n"/>
      <c r="H929" s="290" t="n"/>
      <c r="I929" s="271" t="inlineStr">
        <is>
          <t>Rajdeep(induction + termination)</t>
        </is>
      </c>
      <c r="J929" s="271" t="n">
        <v>3</v>
      </c>
      <c r="K929" s="186" t="n"/>
      <c r="L929" s="166" t="n"/>
    </row>
    <row r="930" ht="17.45" customHeight="1" s="2">
      <c r="A930" s="202" t="n"/>
      <c r="B930" s="289" t="n"/>
      <c r="C930" s="271" t="n"/>
      <c r="D930" s="271" t="n"/>
      <c r="E930" s="290" t="n"/>
      <c r="F930" s="271" t="n"/>
      <c r="G930" s="271" t="n"/>
      <c r="H930" s="290" t="n"/>
      <c r="I930" s="271" t="n"/>
      <c r="J930" s="271" t="n"/>
      <c r="K930" s="186" t="n"/>
      <c r="L930" s="166" t="n"/>
    </row>
    <row r="931" ht="17.45" customHeight="1" s="2">
      <c r="A931" s="202" t="n"/>
      <c r="B931" s="289" t="n"/>
      <c r="C931" s="275" t="n"/>
      <c r="D931" s="271" t="n"/>
      <c r="E931" s="290" t="n"/>
      <c r="F931" s="271" t="n"/>
      <c r="G931" s="271" t="n"/>
      <c r="H931" s="290" t="n"/>
      <c r="I931" s="271" t="n"/>
      <c r="J931" s="271" t="n"/>
      <c r="K931" s="186" t="n"/>
      <c r="L931" s="166" t="n"/>
    </row>
    <row r="932" ht="17.45" customHeight="1" s="2">
      <c r="A932" s="202" t="n"/>
      <c r="B932" s="289" t="n"/>
      <c r="C932" s="275" t="n"/>
      <c r="D932" s="271" t="n"/>
      <c r="E932" s="290" t="n"/>
      <c r="F932" s="271" t="n"/>
      <c r="G932" s="271" t="n"/>
      <c r="H932" s="290" t="n"/>
      <c r="I932" s="275" t="n"/>
      <c r="J932" s="271" t="n"/>
      <c r="K932" s="186" t="n"/>
      <c r="L932" s="166" t="n"/>
    </row>
    <row r="933" ht="17.45" customHeight="1" s="2">
      <c r="A933" s="202" t="n"/>
      <c r="B933" s="289" t="n"/>
      <c r="C933" s="277" t="n"/>
      <c r="D933" s="271" t="n"/>
      <c r="E933" s="290" t="n"/>
      <c r="F933" s="271" t="n"/>
      <c r="G933" s="271" t="n"/>
      <c r="H933" s="290" t="n"/>
      <c r="I933" s="275" t="inlineStr">
        <is>
          <t>Floor</t>
        </is>
      </c>
      <c r="J933" s="271" t="n"/>
      <c r="K933" s="186" t="n"/>
      <c r="L933" s="166" t="n"/>
    </row>
    <row r="934" ht="17.45" customHeight="1" s="2">
      <c r="A934" s="202" t="n"/>
      <c r="B934" s="289" t="n"/>
      <c r="C934" s="271" t="n"/>
      <c r="D934" s="271" t="n"/>
      <c r="E934" s="290" t="n"/>
      <c r="F934" s="277" t="n"/>
      <c r="G934" s="271" t="n"/>
      <c r="H934" s="290" t="n"/>
      <c r="I934" s="277" t="inlineStr">
        <is>
          <t>Rajesh(SupT6)</t>
        </is>
      </c>
      <c r="J934" s="271" t="n">
        <v>8</v>
      </c>
      <c r="K934" s="186" t="n"/>
      <c r="L934" s="166" t="n"/>
    </row>
    <row r="935" ht="17.45" customHeight="1" s="2">
      <c r="A935" s="202" t="n"/>
      <c r="B935" s="289" t="n"/>
      <c r="C935" s="275" t="inlineStr">
        <is>
          <t>Floor</t>
        </is>
      </c>
      <c r="D935" s="271" t="n"/>
      <c r="E935" s="290" t="n"/>
      <c r="F935" s="275" t="inlineStr">
        <is>
          <t>Floor</t>
        </is>
      </c>
      <c r="G935" s="271" t="n"/>
      <c r="H935" s="290" t="n"/>
      <c r="I935" s="277" t="inlineStr">
        <is>
          <t>Rajesh( dummy run )</t>
        </is>
      </c>
      <c r="J935" s="271" t="n">
        <v>32</v>
      </c>
      <c r="K935" s="186" t="n"/>
      <c r="L935" s="166" t="n"/>
    </row>
    <row r="936" ht="17.45" customHeight="1" s="2">
      <c r="A936" s="202" t="n"/>
      <c r="B936" s="289" t="n"/>
      <c r="C936" s="277" t="inlineStr">
        <is>
          <t>Juste(COT1-T3)</t>
        </is>
      </c>
      <c r="D936" s="271" t="n">
        <v>15</v>
      </c>
      <c r="E936" s="290" t="n"/>
      <c r="F936" s="277" t="inlineStr">
        <is>
          <t>Rajesh(SupT1-T5)</t>
        </is>
      </c>
      <c r="G936" s="271" t="n">
        <v>38</v>
      </c>
      <c r="H936" s="290" t="n"/>
      <c r="I936" s="271" t="inlineStr">
        <is>
          <t>Sagar(Host T1-T3)</t>
        </is>
      </c>
      <c r="J936" s="271" t="inlineStr">
        <is>
          <t>cxld</t>
        </is>
      </c>
      <c r="K936" s="186" t="n"/>
      <c r="L936" s="166" t="n"/>
    </row>
    <row r="937" ht="17.45" customHeight="1" s="2">
      <c r="A937" s="202" t="n"/>
      <c r="B937" s="289" t="n"/>
      <c r="C937" s="277" t="inlineStr">
        <is>
          <t>Justas BarT1-T3</t>
        </is>
      </c>
      <c r="D937" s="271" t="n">
        <v>15</v>
      </c>
      <c r="E937" s="290" t="n"/>
      <c r="F937" s="277" t="inlineStr">
        <is>
          <t>Arpit( dummyrun night)</t>
        </is>
      </c>
      <c r="G937" s="271" t="n">
        <v>8</v>
      </c>
      <c r="H937" s="290" t="n"/>
      <c r="I937" s="277" t="inlineStr">
        <is>
          <t>Preshna(COT1-T3)</t>
        </is>
      </c>
      <c r="J937" s="271" t="n">
        <v>15</v>
      </c>
      <c r="K937" s="186" t="n"/>
      <c r="L937" s="166" t="n"/>
    </row>
    <row r="938" ht="17.45" customHeight="1" s="2">
      <c r="A938" s="202" t="n"/>
      <c r="B938" s="289" t="n"/>
      <c r="C938" s="271" t="inlineStr">
        <is>
          <t>Hema (dummy run)</t>
        </is>
      </c>
      <c r="D938" s="271" t="n">
        <v>31.5</v>
      </c>
      <c r="E938" s="290" t="n"/>
      <c r="F938" s="271" t="n"/>
      <c r="G938" s="271" t="n"/>
      <c r="H938" s="290" t="n"/>
      <c r="I938" s="271" t="inlineStr">
        <is>
          <t>Vyga(Food cost)</t>
        </is>
      </c>
      <c r="J938" s="271" t="n">
        <v>8</v>
      </c>
      <c r="K938" s="186" t="n"/>
      <c r="L938" s="166" t="n"/>
    </row>
    <row r="939" ht="17.45" customHeight="1" s="2">
      <c r="A939" s="202" t="n"/>
      <c r="B939" s="289" t="n"/>
      <c r="C939" s="277" t="n"/>
      <c r="D939" s="271" t="n"/>
      <c r="E939" s="290" t="n"/>
      <c r="F939" s="271" t="n"/>
      <c r="G939" s="271" t="n"/>
      <c r="H939" s="290" t="n"/>
      <c r="I939" s="277" t="inlineStr">
        <is>
          <t>Arpit( dummy run night)</t>
        </is>
      </c>
      <c r="J939" s="271" t="n">
        <v>16</v>
      </c>
      <c r="K939" s="186" t="n"/>
      <c r="L939" s="166" t="n"/>
    </row>
    <row r="940" ht="17.45" customHeight="1" s="2">
      <c r="A940" s="202" t="n"/>
      <c r="B940" s="289" t="n"/>
      <c r="C940" s="271" t="n"/>
      <c r="D940" s="271" t="n"/>
      <c r="E940" s="290" t="n"/>
      <c r="F940" s="271" t="n"/>
      <c r="G940" s="271" t="n"/>
      <c r="H940" s="290" t="n"/>
      <c r="I940" s="271" t="n"/>
      <c r="J940" s="271" t="n"/>
      <c r="K940" s="186" t="n"/>
      <c r="L940" s="166" t="n"/>
    </row>
    <row r="941" ht="17.45" customHeight="1" s="2">
      <c r="A941" s="202" t="n"/>
      <c r="B941" s="289" t="n"/>
      <c r="C941" s="280" t="inlineStr">
        <is>
          <t>TOTAL</t>
        </is>
      </c>
      <c r="D941" s="280">
        <f>SUM(D927:D940)</f>
        <v/>
      </c>
      <c r="E941" s="290" t="n"/>
      <c r="F941" s="280" t="inlineStr">
        <is>
          <t>TOTAL</t>
        </is>
      </c>
      <c r="G941" s="280">
        <f>SUM(G927:G940)</f>
        <v/>
      </c>
      <c r="H941" s="290" t="n"/>
      <c r="I941" s="280" t="inlineStr">
        <is>
          <t>TOTAL</t>
        </is>
      </c>
      <c r="J941" s="280">
        <f>SUM(J927:J940)</f>
        <v/>
      </c>
      <c r="K941" s="186" t="n"/>
      <c r="L941" s="166" t="n"/>
    </row>
    <row r="942" ht="15" customHeight="1" s="2">
      <c r="A942" s="166" t="n"/>
      <c r="B942" s="166" t="n"/>
      <c r="C942" s="282" t="n"/>
      <c r="D942" s="282" t="n"/>
      <c r="E942" s="166" t="n"/>
      <c r="F942" s="282" t="n"/>
      <c r="G942" s="282" t="n"/>
      <c r="H942" s="166" t="n"/>
      <c r="I942" s="282" t="n"/>
      <c r="J942" s="282" t="n"/>
      <c r="K942" s="166" t="n"/>
      <c r="L942" s="166" t="n"/>
    </row>
    <row r="943" ht="15" customHeight="1" s="2">
      <c r="A943" s="166" t="n"/>
      <c r="B943" s="168" t="n"/>
      <c r="C943" s="168" t="n"/>
      <c r="D943" s="166" t="n"/>
      <c r="E943" s="168" t="n"/>
      <c r="F943" s="168" t="n"/>
      <c r="G943" s="166" t="n"/>
      <c r="H943" s="168" t="n"/>
      <c r="I943" s="168" t="n"/>
      <c r="J943" s="166" t="n"/>
      <c r="K943" s="166" t="n"/>
      <c r="L943" s="166" t="n"/>
    </row>
    <row r="944" ht="18" customHeight="1" s="2" thickBot="1">
      <c r="A944" s="238" t="n"/>
      <c r="B944" s="696" t="n">
        <v>43080</v>
      </c>
      <c r="C944" s="697" t="n">
        <v>43444</v>
      </c>
      <c r="D944" s="698" t="n"/>
      <c r="E944" s="696" t="n">
        <v>43087</v>
      </c>
      <c r="F944" s="699" t="n">
        <v>43451</v>
      </c>
      <c r="G944" s="698" t="n"/>
      <c r="H944" s="700" t="n">
        <v>43094</v>
      </c>
      <c r="I944" s="699" t="n">
        <v>43458</v>
      </c>
      <c r="J944" s="701" t="n"/>
      <c r="K944" s="166" t="n"/>
      <c r="L944" s="166" t="n"/>
    </row>
    <row r="945" ht="18.6" customHeight="1" s="2" thickBot="1">
      <c r="A945" s="176" t="n"/>
      <c r="B945" s="177" t="inlineStr">
        <is>
          <t>Last Year</t>
        </is>
      </c>
      <c r="C945" s="178" t="inlineStr">
        <is>
          <t>Projected</t>
        </is>
      </c>
      <c r="D945" s="230" t="inlineStr">
        <is>
          <t>Actual</t>
        </is>
      </c>
      <c r="E945" s="177" t="inlineStr">
        <is>
          <t>Last Year</t>
        </is>
      </c>
      <c r="F945" s="178" t="inlineStr">
        <is>
          <t>Projected</t>
        </is>
      </c>
      <c r="G945" s="230" t="inlineStr">
        <is>
          <t>Actual</t>
        </is>
      </c>
      <c r="H945" s="184" t="inlineStr">
        <is>
          <t>Last Year</t>
        </is>
      </c>
      <c r="I945" s="178" t="inlineStr">
        <is>
          <t>Projected</t>
        </is>
      </c>
      <c r="J945" s="230" t="inlineStr">
        <is>
          <t>Actual</t>
        </is>
      </c>
      <c r="K945" s="180" t="n"/>
      <c r="L945" s="166" t="n"/>
    </row>
    <row r="946" ht="18" customHeight="1" s="2">
      <c r="A946" s="181" t="inlineStr">
        <is>
          <t>GROSS TOTAL</t>
        </is>
      </c>
      <c r="B946" s="184" t="n">
        <v>171631.12</v>
      </c>
      <c r="C946" s="184" t="n">
        <v>163865</v>
      </c>
      <c r="D946" s="184" t="n">
        <v>144913.74</v>
      </c>
      <c r="E946" s="184" t="n">
        <v>161107.55</v>
      </c>
      <c r="F946" s="215" t="n">
        <v>164386</v>
      </c>
      <c r="G946" s="184" t="n">
        <v>135141.6</v>
      </c>
      <c r="H946" s="10" t="n">
        <v>226925.52</v>
      </c>
      <c r="I946" s="215" t="n">
        <v>202327</v>
      </c>
      <c r="J946" s="185" t="n">
        <v>185035.69</v>
      </c>
      <c r="K946" s="186" t="n"/>
      <c r="L946" s="166" t="n"/>
    </row>
    <row r="947" ht="17.45" customHeight="1" s="2">
      <c r="A947" s="187" t="inlineStr">
        <is>
          <t>NETT  TOTAL</t>
        </is>
      </c>
      <c r="B947" s="22">
        <f>B946/1.1</f>
        <v/>
      </c>
      <c r="C947" s="9">
        <f>C946/1.1</f>
        <v/>
      </c>
      <c r="D947" s="32">
        <f>D946/1.1</f>
        <v/>
      </c>
      <c r="E947" s="10">
        <f>E946/1.1</f>
        <v/>
      </c>
      <c r="F947" s="28">
        <f>F946/1.1</f>
        <v/>
      </c>
      <c r="G947" s="32">
        <f>G946/1.1</f>
        <v/>
      </c>
      <c r="H947" s="22">
        <f>H946/1.1</f>
        <v/>
      </c>
      <c r="I947" s="9">
        <f>I946/1.1</f>
        <v/>
      </c>
      <c r="J947" s="39">
        <f>J946/1.1</f>
        <v/>
      </c>
      <c r="K947" s="186" t="n"/>
      <c r="L947" s="166" t="n"/>
    </row>
    <row r="948" ht="17.45" customHeight="1" s="2">
      <c r="A948" s="188" t="inlineStr">
        <is>
          <t>Customers</t>
        </is>
      </c>
      <c r="B948" s="10" t="n">
        <v>8219</v>
      </c>
      <c r="C948" s="10" t="n">
        <v>7895</v>
      </c>
      <c r="D948" s="10" t="n">
        <v>6947</v>
      </c>
      <c r="E948" s="10" t="n">
        <v>7872</v>
      </c>
      <c r="F948" s="28" t="n">
        <v>7935</v>
      </c>
      <c r="G948" s="10" t="n">
        <v>6808</v>
      </c>
      <c r="H948" s="10" t="n">
        <v>10526</v>
      </c>
      <c r="I948" s="28" t="n">
        <v>9720</v>
      </c>
      <c r="J948" s="11" t="n">
        <v>8976</v>
      </c>
      <c r="K948" s="171" t="n"/>
      <c r="L948" s="166" t="n"/>
    </row>
    <row r="949" ht="17.45" customHeight="1" s="2">
      <c r="A949" s="188" t="inlineStr">
        <is>
          <t>Average Customer Spend</t>
        </is>
      </c>
      <c r="B949" s="22">
        <f>B946/B948</f>
        <v/>
      </c>
      <c r="C949" s="9">
        <f>C946/C948</f>
        <v/>
      </c>
      <c r="D949" s="32">
        <f>D946/D948</f>
        <v/>
      </c>
      <c r="E949" s="22">
        <f>E946/E948</f>
        <v/>
      </c>
      <c r="F949" s="9">
        <f>F946/F948</f>
        <v/>
      </c>
      <c r="G949" s="39">
        <f>G946/G948</f>
        <v/>
      </c>
      <c r="H949" s="210">
        <f>H946/H948</f>
        <v/>
      </c>
      <c r="I949" s="9">
        <f>I946/I948</f>
        <v/>
      </c>
      <c r="J949" s="33">
        <f>J946/J948</f>
        <v/>
      </c>
      <c r="K949" s="171" t="n"/>
      <c r="L949" s="166" t="n"/>
    </row>
    <row r="950" ht="17.45" customHeight="1" s="2">
      <c r="A950" s="191" t="inlineStr">
        <is>
          <t>Wage % to Gross total</t>
        </is>
      </c>
      <c r="B950" s="210">
        <f>(B953*B954)/B946</f>
        <v/>
      </c>
      <c r="C950" s="9">
        <f>(C953*C954)/C946</f>
        <v/>
      </c>
      <c r="D950" s="39">
        <f>(D953*D954)/D946</f>
        <v/>
      </c>
      <c r="E950" s="210">
        <f>(E953*E954)/E946</f>
        <v/>
      </c>
      <c r="F950" s="265">
        <f>(F953*F954)/F946</f>
        <v/>
      </c>
      <c r="G950" s="266">
        <f>(G953*G954)/G946</f>
        <v/>
      </c>
      <c r="H950" s="210">
        <f>(H953*H954)/H946</f>
        <v/>
      </c>
      <c r="I950" s="265">
        <f>(I953*I954)/I946</f>
        <v/>
      </c>
      <c r="J950" s="728" t="n">
        <v>0.3308</v>
      </c>
      <c r="K950" s="171" t="n"/>
      <c r="L950" s="166" t="n"/>
    </row>
    <row r="951" ht="17.45" customHeight="1" s="2">
      <c r="A951" s="191" t="inlineStr">
        <is>
          <t>Wage % to Nett Total</t>
        </is>
      </c>
      <c r="B951" s="210">
        <f>(B953*B954)/B947</f>
        <v/>
      </c>
      <c r="C951" s="265">
        <f>(C953*C954)/C947</f>
        <v/>
      </c>
      <c r="D951" s="266">
        <f>(D953*D954)/D947</f>
        <v/>
      </c>
      <c r="E951" s="210">
        <f>(E953*E954)/E947</f>
        <v/>
      </c>
      <c r="F951" s="265">
        <f>(F953*F954)/F947</f>
        <v/>
      </c>
      <c r="G951" s="291">
        <f>(G953*G954)/G947</f>
        <v/>
      </c>
      <c r="H951" s="22">
        <f>(H953*H954)/H947</f>
        <v/>
      </c>
      <c r="I951" s="265">
        <f>(I953*I954)/I947</f>
        <v/>
      </c>
      <c r="J951" s="728" t="n">
        <v>0.3639</v>
      </c>
      <c r="K951" s="171" t="n"/>
      <c r="L951" s="166" t="n"/>
    </row>
    <row r="952" ht="17.45" customHeight="1" s="2">
      <c r="A952" s="188" t="inlineStr">
        <is>
          <t>Productivity</t>
        </is>
      </c>
      <c r="B952" s="10">
        <f>B948/B954</f>
        <v/>
      </c>
      <c r="C952" s="28">
        <f>C948/C954</f>
        <v/>
      </c>
      <c r="D952" s="32">
        <f>D948/D954</f>
        <v/>
      </c>
      <c r="E952" s="10">
        <f>E948/E954</f>
        <v/>
      </c>
      <c r="F952" s="28">
        <f>F948/F954</f>
        <v/>
      </c>
      <c r="G952" s="32">
        <f>G948/G954</f>
        <v/>
      </c>
      <c r="H952" s="10">
        <f>H948/H954</f>
        <v/>
      </c>
      <c r="I952" s="28">
        <f>I948/I954</f>
        <v/>
      </c>
      <c r="J952" s="33" t="n">
        <v>4.88</v>
      </c>
      <c r="K952" s="171" t="n"/>
      <c r="L952" s="166" t="n"/>
    </row>
    <row r="953" ht="17.45" customHeight="1" s="2">
      <c r="A953" s="188" t="inlineStr">
        <is>
          <t>Average Hourly Rate</t>
        </is>
      </c>
      <c r="B953" s="10" t="n">
        <v>33.08</v>
      </c>
      <c r="C953" s="189" t="n">
        <v>34</v>
      </c>
      <c r="D953" s="32" t="n">
        <v>33.61</v>
      </c>
      <c r="E953" s="10" t="n">
        <v>32.64</v>
      </c>
      <c r="F953" s="28" t="n">
        <v>34</v>
      </c>
      <c r="G953" s="32" t="n">
        <v>33.62</v>
      </c>
      <c r="H953" s="10" t="n">
        <v>34.8</v>
      </c>
      <c r="I953" s="189" t="n">
        <v>35</v>
      </c>
      <c r="J953" s="33" t="n">
        <v>33.29</v>
      </c>
      <c r="K953" s="171" t="n"/>
      <c r="L953" s="166" t="n"/>
    </row>
    <row r="954" ht="17.45" customHeight="1" s="2">
      <c r="A954" s="188" t="inlineStr">
        <is>
          <t>Total hours for productivity</t>
        </is>
      </c>
      <c r="B954" s="10" t="n">
        <v>1541.25</v>
      </c>
      <c r="C954" s="189" t="n">
        <v>1496</v>
      </c>
      <c r="D954" s="32" t="n">
        <v>1425.5</v>
      </c>
      <c r="E954" s="10" t="n">
        <v>1600</v>
      </c>
      <c r="F954" s="189" t="n">
        <v>1471.5</v>
      </c>
      <c r="G954" s="32" t="n">
        <v>1396</v>
      </c>
      <c r="H954" s="10" t="n">
        <v>2026.5</v>
      </c>
      <c r="I954" s="28" t="n">
        <v>1846.5</v>
      </c>
      <c r="J954" s="33" t="n">
        <v>1838.75</v>
      </c>
      <c r="K954" s="171" t="n"/>
      <c r="L954" s="166" t="n"/>
    </row>
    <row r="955" ht="17.45" customHeight="1" s="2">
      <c r="A955" s="188" t="inlineStr">
        <is>
          <t>Training Hours used</t>
        </is>
      </c>
      <c r="B955" s="10" t="n">
        <v>100.5</v>
      </c>
      <c r="C955" s="189" t="n"/>
      <c r="D955" s="32" t="n">
        <v>8</v>
      </c>
      <c r="E955" s="10" t="n"/>
      <c r="F955" s="28" t="n"/>
      <c r="G955" s="32" t="n">
        <v>16</v>
      </c>
      <c r="H955" s="10" t="n">
        <v>40</v>
      </c>
      <c r="I955" s="189" t="n"/>
      <c r="J955" s="39" t="n"/>
      <c r="K955" s="186" t="n"/>
      <c r="L955" s="166" t="n"/>
    </row>
    <row r="956" ht="18" customHeight="1" s="2" thickBot="1">
      <c r="A956" s="193" t="inlineStr">
        <is>
          <t>Number of hours used to cover sick leave</t>
        </is>
      </c>
      <c r="B956" s="15" t="n">
        <v>40</v>
      </c>
      <c r="C956" s="14" t="n"/>
      <c r="D956" s="34" t="n">
        <v>41</v>
      </c>
      <c r="E956" s="15" t="n"/>
      <c r="F956" s="41" t="n"/>
      <c r="G956" s="34" t="n"/>
      <c r="H956" s="15" t="n"/>
      <c r="I956" s="189" t="n"/>
      <c r="J956" s="233" t="n"/>
      <c r="K956" s="186" t="n"/>
      <c r="L956" s="166" t="n"/>
    </row>
    <row r="957" ht="15.95" customHeight="1" s="2" thickBot="1">
      <c r="A957" s="195" t="inlineStr">
        <is>
          <t>Minimum HOURS</t>
        </is>
      </c>
      <c r="B957" s="196" t="inlineStr">
        <is>
          <t xml:space="preserve">Kitchen </t>
        </is>
      </c>
      <c r="C957" s="16" t="n">
        <v>585</v>
      </c>
      <c r="D957" s="35" t="n"/>
      <c r="E957" s="17" t="n"/>
      <c r="F957" s="16" t="n">
        <v>586</v>
      </c>
      <c r="G957" s="36" t="n"/>
      <c r="H957" s="17" t="n"/>
      <c r="I957" s="14" t="n">
        <v>630</v>
      </c>
      <c r="J957" s="35" t="n"/>
      <c r="K957" s="180" t="n"/>
      <c r="L957" s="166" t="n"/>
    </row>
    <row r="958" ht="15.95" customHeight="1" s="2" thickBot="1">
      <c r="A958" s="197" t="n"/>
      <c r="B958" s="198" t="inlineStr">
        <is>
          <t xml:space="preserve">Floor </t>
        </is>
      </c>
      <c r="C958" s="18" t="n">
        <v>888</v>
      </c>
      <c r="D958" s="35" t="n"/>
      <c r="E958" s="26" t="n"/>
      <c r="F958" s="18" t="n">
        <v>830</v>
      </c>
      <c r="G958" s="234" t="n"/>
      <c r="H958" s="26" t="n"/>
      <c r="I958" s="42" t="n">
        <v>996</v>
      </c>
      <c r="J958" s="35" t="n"/>
      <c r="K958" s="180" t="n"/>
      <c r="L958" s="166" t="n"/>
    </row>
    <row r="959" ht="15.95" customHeight="1" s="2" thickBot="1">
      <c r="A959" s="197" t="n"/>
      <c r="B959" s="199" t="inlineStr">
        <is>
          <t>TOTAL</t>
        </is>
      </c>
      <c r="C959" s="42">
        <f>SUM(C957:C958)</f>
        <v/>
      </c>
      <c r="D959" s="35">
        <f>SUM(D957:D958)</f>
        <v/>
      </c>
      <c r="E959" s="199" t="inlineStr">
        <is>
          <t>TOTAL</t>
        </is>
      </c>
      <c r="F959" s="42">
        <f>SUM(F957:F958)</f>
        <v/>
      </c>
      <c r="G959" s="35">
        <f>SUM(G957:G958)</f>
        <v/>
      </c>
      <c r="H959" s="199" t="inlineStr">
        <is>
          <t>TOTAL</t>
        </is>
      </c>
      <c r="I959" s="42">
        <f>SUM(I957:I958)</f>
        <v/>
      </c>
      <c r="J959" s="35">
        <f>SUM(J957:J958)</f>
        <v/>
      </c>
      <c r="K959" s="180" t="n"/>
      <c r="L959" s="166" t="n"/>
    </row>
    <row r="960" ht="18" customHeight="1" s="2">
      <c r="A960" s="202" t="n"/>
      <c r="B960" s="239" t="n"/>
      <c r="C960" s="286" t="n"/>
      <c r="D960" s="286" t="n"/>
      <c r="E960" s="239" t="n"/>
      <c r="F960" s="286" t="n"/>
      <c r="G960" s="286" t="n"/>
      <c r="H960" s="239" t="n"/>
      <c r="I960" s="286" t="n"/>
      <c r="J960" s="286" t="n"/>
      <c r="K960" s="166" t="n"/>
      <c r="L960" s="166" t="n"/>
    </row>
    <row r="961" ht="17.45" customHeight="1" s="2">
      <c r="A961" s="202" t="n"/>
      <c r="B961" s="287" t="n"/>
      <c r="C961" s="273" t="inlineStr">
        <is>
          <t>Trainings</t>
        </is>
      </c>
      <c r="D961" s="273" t="n"/>
      <c r="E961" s="288" t="n"/>
      <c r="F961" s="273" t="inlineStr">
        <is>
          <t>Trainings</t>
        </is>
      </c>
      <c r="G961" s="273" t="n"/>
      <c r="H961" s="288" t="n"/>
      <c r="I961" s="273" t="inlineStr">
        <is>
          <t>Trainings</t>
        </is>
      </c>
      <c r="J961" s="273" t="n"/>
      <c r="K961" s="171" t="n"/>
      <c r="L961" s="166" t="n"/>
    </row>
    <row r="962" ht="17.45" customHeight="1" s="2">
      <c r="A962" s="202" t="n"/>
      <c r="B962" s="289" t="n"/>
      <c r="C962" s="279" t="inlineStr">
        <is>
          <t>Kitchen</t>
        </is>
      </c>
      <c r="D962" s="271" t="n"/>
      <c r="E962" s="290" t="n"/>
      <c r="F962" s="279" t="inlineStr">
        <is>
          <t>Kitchen</t>
        </is>
      </c>
      <c r="G962" s="271" t="n"/>
      <c r="H962" s="290" t="n"/>
      <c r="I962" s="279" t="inlineStr">
        <is>
          <t>Kitchen</t>
        </is>
      </c>
      <c r="J962" s="271" t="n"/>
      <c r="K962" s="186" t="n"/>
      <c r="L962" s="166" t="n"/>
    </row>
    <row r="963" ht="17.45" customHeight="1" s="2">
      <c r="A963" s="202" t="n"/>
      <c r="B963" s="289" t="n"/>
      <c r="C963" s="271" t="inlineStr">
        <is>
          <t>Fayshal(food cost T3)</t>
        </is>
      </c>
      <c r="D963" s="271" t="n">
        <v>8</v>
      </c>
      <c r="E963" s="290" t="n"/>
      <c r="F963" s="271" t="n"/>
      <c r="G963" s="271" t="n"/>
      <c r="H963" s="290" t="n"/>
      <c r="I963" s="271" t="inlineStr">
        <is>
          <t>Rita(IND +PIZZA)</t>
        </is>
      </c>
      <c r="J963" s="271" t="n">
        <v>18</v>
      </c>
      <c r="K963" s="186" t="n"/>
      <c r="L963" s="166" t="n"/>
    </row>
    <row r="964" ht="17.45" customHeight="1" s="2">
      <c r="A964" s="202" t="n"/>
      <c r="B964" s="289" t="n"/>
      <c r="C964" s="271" t="n"/>
      <c r="D964" s="271" t="n"/>
      <c r="E964" s="290" t="n"/>
      <c r="F964" s="271" t="n"/>
      <c r="G964" s="271" t="n"/>
      <c r="H964" s="290" t="n"/>
      <c r="I964" s="271" t="inlineStr">
        <is>
          <t>Rahman(ind+rolling T1</t>
        </is>
      </c>
      <c r="J964" s="271" t="n">
        <v>8</v>
      </c>
      <c r="K964" s="186" t="n"/>
      <c r="L964" s="166" t="n"/>
    </row>
    <row r="965" ht="17.45" customHeight="1" s="2">
      <c r="A965" s="202" t="n"/>
      <c r="B965" s="289" t="n"/>
      <c r="C965" s="271" t="n"/>
      <c r="D965" s="271" t="n"/>
      <c r="E965" s="290" t="n"/>
      <c r="F965" s="271" t="n"/>
      <c r="G965" s="271" t="n"/>
      <c r="H965" s="290" t="n"/>
      <c r="I965" s="271" t="inlineStr">
        <is>
          <t>Ashim(Ind + stocking)</t>
        </is>
      </c>
      <c r="J965" s="271" t="n">
        <v>13</v>
      </c>
      <c r="K965" s="186" t="n"/>
      <c r="L965" s="166" t="n"/>
    </row>
    <row r="966" ht="17.45" customHeight="1" s="2">
      <c r="A966" s="202" t="n"/>
      <c r="B966" s="289" t="n"/>
      <c r="C966" s="271" t="n"/>
      <c r="D966" s="271" t="n"/>
      <c r="E966" s="290" t="n"/>
      <c r="F966" s="271" t="n"/>
      <c r="G966" s="271" t="n"/>
      <c r="H966" s="290" t="n"/>
      <c r="I966" s="271" t="inlineStr">
        <is>
          <t xml:space="preserve"> Rahman(crepping T1-T2</t>
        </is>
      </c>
      <c r="J966" s="271" t="n">
        <v>14</v>
      </c>
      <c r="K966" s="186" t="n"/>
      <c r="L966" s="166" t="n"/>
    </row>
    <row r="967" ht="17.45" customHeight="1" s="2">
      <c r="A967" s="202" t="n"/>
      <c r="B967" s="289" t="n"/>
      <c r="C967" s="275" t="n"/>
      <c r="D967" s="271" t="n"/>
      <c r="E967" s="290" t="n"/>
      <c r="F967" s="271" t="n"/>
      <c r="G967" s="271" t="n"/>
      <c r="H967" s="290" t="n"/>
      <c r="I967" s="271" t="n"/>
      <c r="J967" s="271" t="n"/>
      <c r="K967" s="186" t="n"/>
      <c r="L967" s="166" t="n"/>
    </row>
    <row r="968" ht="17.45" customHeight="1" s="2">
      <c r="A968" s="202" t="n"/>
      <c r="B968" s="289" t="n"/>
      <c r="C968" s="275" t="n"/>
      <c r="D968" s="271" t="n"/>
      <c r="E968" s="290" t="n"/>
      <c r="F968" s="271" t="n"/>
      <c r="G968" s="271" t="n"/>
      <c r="H968" s="290" t="n"/>
      <c r="I968" s="275" t="n"/>
      <c r="J968" s="271" t="n"/>
      <c r="K968" s="186" t="n"/>
      <c r="L968" s="166" t="n"/>
    </row>
    <row r="969" ht="17.45" customHeight="1" s="2">
      <c r="A969" s="202" t="n"/>
      <c r="B969" s="289" t="n"/>
      <c r="C969" s="277" t="n"/>
      <c r="D969" s="271" t="n"/>
      <c r="E969" s="290" t="n"/>
      <c r="F969" s="271" t="n"/>
      <c r="G969" s="271" t="n"/>
      <c r="H969" s="290" t="n"/>
      <c r="I969" s="275" t="inlineStr">
        <is>
          <t>Floor</t>
        </is>
      </c>
      <c r="J969" s="271" t="n"/>
      <c r="K969" s="186" t="n"/>
      <c r="L969" s="166" t="n"/>
    </row>
    <row r="970" ht="17.45" customHeight="1" s="2">
      <c r="A970" s="202" t="n"/>
      <c r="B970" s="289" t="n"/>
      <c r="C970" s="271" t="n"/>
      <c r="D970" s="271" t="n"/>
      <c r="E970" s="290" t="n"/>
      <c r="F970" s="277" t="n"/>
      <c r="G970" s="271" t="n"/>
      <c r="H970" s="290" t="n"/>
      <c r="I970" s="277" t="n"/>
      <c r="J970" s="271" t="n"/>
      <c r="K970" s="186" t="n"/>
      <c r="L970" s="166" t="n"/>
    </row>
    <row r="971" ht="17.45" customHeight="1" s="2">
      <c r="A971" s="202" t="n"/>
      <c r="B971" s="289" t="n"/>
      <c r="C971" s="275" t="inlineStr">
        <is>
          <t>Floor</t>
        </is>
      </c>
      <c r="D971" s="271" t="n"/>
      <c r="E971" s="290" t="n"/>
      <c r="F971" s="275" t="inlineStr">
        <is>
          <t>Floor</t>
        </is>
      </c>
      <c r="G971" s="271" t="n"/>
      <c r="H971" s="290" t="n"/>
      <c r="I971" s="271" t="n"/>
      <c r="J971" s="271" t="n"/>
      <c r="K971" s="186" t="n"/>
      <c r="L971" s="166" t="n"/>
    </row>
    <row r="972" ht="17.45" customHeight="1" s="2">
      <c r="A972" s="202" t="n"/>
      <c r="B972" s="289" t="n"/>
      <c r="C972" s="277" t="n"/>
      <c r="D972" s="271" t="n"/>
      <c r="E972" s="290" t="n"/>
      <c r="F972" s="277" t="n"/>
      <c r="G972" s="271" t="n"/>
      <c r="H972" s="290" t="n"/>
      <c r="I972" s="271" t="n"/>
      <c r="J972" s="271" t="n"/>
      <c r="K972" s="186" t="n"/>
      <c r="L972" s="166" t="n"/>
    </row>
    <row r="973" ht="17.45" customHeight="1" s="2">
      <c r="A973" s="202" t="n"/>
      <c r="B973" s="289" t="n"/>
      <c r="C973" s="277" t="n"/>
      <c r="D973" s="271" t="n"/>
      <c r="E973" s="290" t="n"/>
      <c r="F973" s="277" t="n"/>
      <c r="G973" s="271" t="n"/>
      <c r="H973" s="290" t="n"/>
      <c r="I973" s="271" t="n"/>
      <c r="J973" s="271" t="n"/>
      <c r="K973" s="186" t="n"/>
      <c r="L973" s="166" t="n"/>
    </row>
    <row r="974" ht="17.45" customHeight="1" s="2">
      <c r="A974" s="202" t="n"/>
      <c r="B974" s="289" t="n"/>
      <c r="C974" s="271" t="n"/>
      <c r="D974" s="271" t="n"/>
      <c r="E974" s="290" t="n"/>
      <c r="F974" s="271" t="n"/>
      <c r="G974" s="271" t="n"/>
      <c r="H974" s="290" t="n"/>
      <c r="I974" s="271" t="n"/>
      <c r="J974" s="271" t="n"/>
      <c r="K974" s="186" t="n"/>
      <c r="L974" s="166" t="n"/>
    </row>
    <row r="975" ht="17.45" customHeight="1" s="2">
      <c r="A975" s="202" t="n"/>
      <c r="B975" s="289" t="n"/>
      <c r="C975" s="277" t="n"/>
      <c r="D975" s="271" t="n"/>
      <c r="E975" s="290" t="n"/>
      <c r="F975" s="271" t="n"/>
      <c r="G975" s="271" t="n"/>
      <c r="H975" s="290" t="n"/>
      <c r="I975" s="271" t="n"/>
      <c r="J975" s="271" t="n"/>
      <c r="K975" s="186" t="n"/>
      <c r="L975" s="166" t="n"/>
    </row>
    <row r="976" ht="17.45" customHeight="1" s="2">
      <c r="A976" s="202" t="n"/>
      <c r="B976" s="289" t="n"/>
      <c r="C976" s="271" t="n"/>
      <c r="D976" s="271" t="n"/>
      <c r="E976" s="290" t="n"/>
      <c r="F976" s="271" t="n"/>
      <c r="G976" s="271" t="n"/>
      <c r="H976" s="290" t="n"/>
      <c r="I976" s="271" t="n"/>
      <c r="J976" s="271" t="n"/>
      <c r="K976" s="186" t="n"/>
      <c r="L976" s="166" t="n"/>
    </row>
    <row r="977" ht="17.45" customHeight="1" s="2">
      <c r="A977" s="202" t="n"/>
      <c r="B977" s="289" t="n"/>
      <c r="C977" s="280" t="inlineStr">
        <is>
          <t>TOTAL</t>
        </is>
      </c>
      <c r="D977" s="280">
        <f>SUM(D963:D976)</f>
        <v/>
      </c>
      <c r="E977" s="290" t="n"/>
      <c r="F977" s="280" t="inlineStr">
        <is>
          <t>TOTAL</t>
        </is>
      </c>
      <c r="G977" s="280">
        <f>SUM(G963:G976)</f>
        <v/>
      </c>
      <c r="H977" s="290" t="n"/>
      <c r="I977" s="280" t="inlineStr">
        <is>
          <t>TOTAL</t>
        </is>
      </c>
      <c r="J977" s="280">
        <f>SUM(J963:J976)</f>
        <v/>
      </c>
      <c r="K977" s="186" t="n"/>
      <c r="L977" s="166" t="n"/>
    </row>
    <row r="978" ht="15" customHeight="1" s="2">
      <c r="A978" s="166" t="n"/>
      <c r="B978" s="166" t="n"/>
      <c r="C978" s="282" t="n"/>
      <c r="D978" s="282" t="n"/>
      <c r="E978" s="166" t="n"/>
      <c r="F978" s="282" t="n"/>
      <c r="G978" s="282" t="n"/>
      <c r="H978" s="166" t="n"/>
      <c r="I978" s="282" t="n"/>
      <c r="J978" s="282" t="n"/>
      <c r="K978" s="166" t="n"/>
      <c r="L978" s="166" t="n"/>
    </row>
    <row r="979" ht="15" customHeight="1" s="2">
      <c r="A979" s="166" t="n"/>
      <c r="B979" s="168" t="n"/>
      <c r="C979" s="168" t="n"/>
      <c r="D979" s="166" t="n"/>
      <c r="E979" s="168" t="n"/>
      <c r="F979" s="168" t="n"/>
      <c r="G979" s="166" t="n"/>
      <c r="H979" s="168" t="n"/>
      <c r="I979" s="168" t="n"/>
      <c r="J979" s="166" t="n"/>
      <c r="K979" s="166" t="n"/>
      <c r="L979" s="166" t="n"/>
    </row>
    <row r="980" ht="18" customHeight="1" s="2" thickBot="1">
      <c r="A980" s="238" t="n"/>
      <c r="B980" s="700" t="n">
        <v>43101</v>
      </c>
      <c r="C980" s="697" t="n">
        <v>43465</v>
      </c>
      <c r="D980" s="698" t="n">
        <v>43465</v>
      </c>
      <c r="E980" s="696" t="n">
        <v>43108</v>
      </c>
      <c r="F980" s="699" t="n">
        <v>43472</v>
      </c>
      <c r="G980" s="698" t="n"/>
      <c r="H980" s="700" t="n">
        <v>43115</v>
      </c>
      <c r="I980" s="699" t="n">
        <v>43114</v>
      </c>
      <c r="J980" s="701" t="n"/>
      <c r="K980" s="166" t="n"/>
      <c r="L980" s="166" t="n"/>
    </row>
    <row r="981" ht="18.6" customHeight="1" s="2" thickBot="1">
      <c r="A981" s="176" t="n"/>
      <c r="B981" s="184" t="inlineStr">
        <is>
          <t>Last Year</t>
        </is>
      </c>
      <c r="C981" s="178" t="inlineStr">
        <is>
          <t>Projected</t>
        </is>
      </c>
      <c r="D981" s="230" t="inlineStr">
        <is>
          <t>Actual</t>
        </is>
      </c>
      <c r="E981" s="177" t="inlineStr">
        <is>
          <t>Last Year</t>
        </is>
      </c>
      <c r="F981" s="178" t="inlineStr">
        <is>
          <t>Projected</t>
        </is>
      </c>
      <c r="G981" s="230" t="inlineStr">
        <is>
          <t>Actual</t>
        </is>
      </c>
      <c r="H981" s="184" t="inlineStr">
        <is>
          <t>Last Year</t>
        </is>
      </c>
      <c r="I981" s="178" t="inlineStr">
        <is>
          <t>Projected</t>
        </is>
      </c>
      <c r="J981" s="230" t="inlineStr">
        <is>
          <t>Actual</t>
        </is>
      </c>
      <c r="K981" s="180" t="n"/>
      <c r="L981" s="166" t="n"/>
    </row>
    <row r="982" ht="18" customHeight="1" s="2">
      <c r="A982" s="181" t="inlineStr">
        <is>
          <t>GROSS TOTAL</t>
        </is>
      </c>
      <c r="B982" s="184" t="n">
        <v>295517.33</v>
      </c>
      <c r="C982" s="215" t="n">
        <v>275084</v>
      </c>
      <c r="D982" s="184" t="n">
        <v>278840.91</v>
      </c>
      <c r="E982" s="184" t="n">
        <v>202137.82</v>
      </c>
      <c r="F982" s="215" t="n">
        <v>197359</v>
      </c>
      <c r="G982" s="184" t="n">
        <v>215559.9</v>
      </c>
      <c r="H982" s="184" t="n">
        <v>166156.99</v>
      </c>
      <c r="I982" s="215" t="n">
        <v>167935</v>
      </c>
      <c r="J982" s="185" t="n">
        <v>150249.51</v>
      </c>
      <c r="K982" s="186" t="n"/>
      <c r="L982" s="166" t="n"/>
    </row>
    <row r="983" ht="17.45" customHeight="1" s="2">
      <c r="A983" s="187" t="inlineStr">
        <is>
          <t>NETT  TOTAL</t>
        </is>
      </c>
      <c r="B983" s="10">
        <f>B982/1.1</f>
        <v/>
      </c>
      <c r="C983" s="28">
        <f>C982/1.1</f>
        <v/>
      </c>
      <c r="D983" s="32">
        <f>D982/1.1</f>
        <v/>
      </c>
      <c r="E983" s="184">
        <f>E982/1.1</f>
        <v/>
      </c>
      <c r="F983" s="28">
        <f>F982/1.1</f>
        <v/>
      </c>
      <c r="G983" s="32">
        <f>G982/1.1</f>
        <v/>
      </c>
      <c r="H983" s="22">
        <f>H982/1.1</f>
        <v/>
      </c>
      <c r="I983" s="9">
        <f>I982/1.1</f>
        <v/>
      </c>
      <c r="J983" s="39">
        <f>J982/1.1</f>
        <v/>
      </c>
      <c r="K983" s="186" t="n"/>
      <c r="L983" s="166" t="n"/>
    </row>
    <row r="984" ht="17.45" customHeight="1" s="2">
      <c r="A984" s="188" t="inlineStr">
        <is>
          <t>Customers</t>
        </is>
      </c>
      <c r="B984" s="10" t="n">
        <v>13811</v>
      </c>
      <c r="C984" s="28" t="n">
        <v>12480</v>
      </c>
      <c r="D984" s="10" t="n">
        <v>12795</v>
      </c>
      <c r="E984" s="10" t="n">
        <v>9903</v>
      </c>
      <c r="F984" s="28" t="n">
        <v>9455</v>
      </c>
      <c r="G984" s="10" t="n">
        <v>10374</v>
      </c>
      <c r="H984" s="10" t="n">
        <v>8324</v>
      </c>
      <c r="I984" s="28" t="n">
        <v>8340</v>
      </c>
      <c r="J984" s="11" t="n">
        <v>7590</v>
      </c>
      <c r="K984" s="171" t="n"/>
      <c r="L984" s="166" t="n"/>
    </row>
    <row r="985" ht="17.45" customHeight="1" s="2">
      <c r="A985" s="188" t="inlineStr">
        <is>
          <t>Average Customer Spend</t>
        </is>
      </c>
      <c r="B985" s="22">
        <f>B982/B984</f>
        <v/>
      </c>
      <c r="C985" s="9">
        <f>C982/C984</f>
        <v/>
      </c>
      <c r="D985" s="32">
        <f>D982/D984</f>
        <v/>
      </c>
      <c r="E985" s="22">
        <f>E982/E984</f>
        <v/>
      </c>
      <c r="F985" s="9">
        <f>F982/F984</f>
        <v/>
      </c>
      <c r="G985" s="32">
        <f>G982/G984</f>
        <v/>
      </c>
      <c r="H985" s="22">
        <f>H982/H984</f>
        <v/>
      </c>
      <c r="I985" s="9">
        <f>I982/I984</f>
        <v/>
      </c>
      <c r="J985" s="33">
        <f>J982/J984</f>
        <v/>
      </c>
      <c r="K985" s="171" t="n"/>
      <c r="L985" s="166" t="n"/>
    </row>
    <row r="986" ht="17.45" customHeight="1" s="2">
      <c r="A986" s="191" t="inlineStr">
        <is>
          <t>Wage % to Gross total</t>
        </is>
      </c>
      <c r="B986" s="210">
        <f>(B989*B990)/B982</f>
        <v/>
      </c>
      <c r="C986" s="265">
        <f>(C989*C990)/C982</f>
        <v/>
      </c>
      <c r="D986" s="291">
        <f>(D989*D990)/D982</f>
        <v/>
      </c>
      <c r="E986" s="22">
        <f>(E989*E990)/E982</f>
        <v/>
      </c>
      <c r="F986" s="265">
        <f>(F989*F990)/F982</f>
        <v/>
      </c>
      <c r="G986" s="266">
        <f>(G989*G990)/G982</f>
        <v/>
      </c>
      <c r="H986" s="210">
        <f>(H989*H990)/H982</f>
        <v/>
      </c>
      <c r="I986" s="265">
        <f>(I989*I990)/I982</f>
        <v/>
      </c>
      <c r="J986" s="267">
        <f>(J989*J990)/J982</f>
        <v/>
      </c>
      <c r="K986" s="171" t="n"/>
      <c r="L986" s="166" t="n"/>
    </row>
    <row r="987" ht="17.45" customHeight="1" s="2">
      <c r="A987" s="191" t="inlineStr">
        <is>
          <t>Wage % to Nett Total</t>
        </is>
      </c>
      <c r="B987" s="210">
        <f>(B989*B990)/B983</f>
        <v/>
      </c>
      <c r="C987" s="265">
        <f>(C989*C990)/C983</f>
        <v/>
      </c>
      <c r="D987" s="266">
        <f>(D989*D990)/D983</f>
        <v/>
      </c>
      <c r="E987" s="210">
        <f>(E989*E990)/E983</f>
        <v/>
      </c>
      <c r="F987" s="265">
        <f>(F989*F990)/F983</f>
        <v/>
      </c>
      <c r="G987" s="266">
        <f>(G989*G990)/G983</f>
        <v/>
      </c>
      <c r="H987" s="210">
        <f>(H989*H990)/H983</f>
        <v/>
      </c>
      <c r="I987" s="265">
        <f>(I989*I990)/I983</f>
        <v/>
      </c>
      <c r="J987" s="267">
        <f>(J989*J990)/J983</f>
        <v/>
      </c>
      <c r="K987" s="171" t="n"/>
      <c r="L987" s="166" t="n"/>
    </row>
    <row r="988" ht="17.45" customHeight="1" s="2">
      <c r="A988" s="188" t="inlineStr">
        <is>
          <t>Productivity</t>
        </is>
      </c>
      <c r="B988" s="10">
        <f>B984/B990</f>
        <v/>
      </c>
      <c r="C988" s="28">
        <f>C984/C990</f>
        <v/>
      </c>
      <c r="D988" s="39">
        <f>D984/D990</f>
        <v/>
      </c>
      <c r="E988" s="40">
        <f>E984/E990</f>
        <v/>
      </c>
      <c r="F988" s="28">
        <f>F984/F990</f>
        <v/>
      </c>
      <c r="G988" s="32">
        <f>G984/G990</f>
        <v/>
      </c>
      <c r="H988" s="10">
        <f>H984/H990</f>
        <v/>
      </c>
      <c r="I988" s="28">
        <f>I984/I990</f>
        <v/>
      </c>
      <c r="J988" s="33">
        <f>J984/J990</f>
        <v/>
      </c>
      <c r="K988" s="171" t="n"/>
      <c r="L988" s="166" t="n"/>
    </row>
    <row r="989" ht="17.45" customHeight="1" s="2">
      <c r="A989" s="188" t="inlineStr">
        <is>
          <t>Average Hourly Rate</t>
        </is>
      </c>
      <c r="B989" s="10" t="n">
        <v>36.67</v>
      </c>
      <c r="C989" s="28" t="n">
        <v>36</v>
      </c>
      <c r="D989" s="32" t="n">
        <v>38.32</v>
      </c>
      <c r="E989" s="10" t="n">
        <v>32.97</v>
      </c>
      <c r="F989" s="28" t="n">
        <v>35</v>
      </c>
      <c r="G989" s="32" t="n">
        <v>36.03</v>
      </c>
      <c r="H989" s="10" t="n">
        <v>31.73</v>
      </c>
      <c r="I989" s="189" t="n">
        <v>34</v>
      </c>
      <c r="J989" s="33" t="n">
        <v>33.27</v>
      </c>
      <c r="K989" s="171" t="n"/>
      <c r="L989" s="166" t="n"/>
    </row>
    <row r="990" ht="17.45" customHeight="1" s="2">
      <c r="A990" s="188" t="inlineStr">
        <is>
          <t>Total hours for productivity</t>
        </is>
      </c>
      <c r="B990" s="10" t="n">
        <v>2417.5</v>
      </c>
      <c r="C990" s="189" t="n">
        <v>2163</v>
      </c>
      <c r="D990" s="32" t="n">
        <v>2346</v>
      </c>
      <c r="E990" s="10" t="n">
        <v>1773.25</v>
      </c>
      <c r="F990" s="189" t="n">
        <v>1785</v>
      </c>
      <c r="G990" s="32" t="n">
        <v>1837.5</v>
      </c>
      <c r="H990" s="10" t="n">
        <v>1715.5</v>
      </c>
      <c r="I990" s="28" t="n">
        <v>1575.5</v>
      </c>
      <c r="J990" s="33" t="n">
        <v>1584</v>
      </c>
      <c r="K990" s="171" t="n"/>
      <c r="L990" s="166" t="n"/>
    </row>
    <row r="991" ht="17.45" customHeight="1" s="2">
      <c r="A991" s="188" t="inlineStr">
        <is>
          <t>Training Hours used</t>
        </is>
      </c>
      <c r="B991" s="10" t="n">
        <v>20</v>
      </c>
      <c r="C991" s="189" t="inlineStr">
        <is>
          <t xml:space="preserve">  </t>
        </is>
      </c>
      <c r="D991" s="32" t="n"/>
      <c r="E991" s="10" t="n">
        <v>43.5</v>
      </c>
      <c r="F991" s="28" t="n"/>
      <c r="G991" s="32" t="n"/>
      <c r="H991" s="10" t="n">
        <v>106.5</v>
      </c>
      <c r="I991" s="189" t="n"/>
      <c r="J991" s="39" t="n">
        <v>28.5</v>
      </c>
      <c r="K991" s="186" t="n"/>
      <c r="L991" s="166" t="n"/>
    </row>
    <row r="992" ht="18" customHeight="1" s="2" thickBot="1">
      <c r="A992" s="193" t="inlineStr">
        <is>
          <t>Number of hours used to cover sick leave</t>
        </is>
      </c>
      <c r="B992" s="15" t="n">
        <v>40</v>
      </c>
      <c r="C992" s="14" t="n"/>
      <c r="D992" s="34" t="n"/>
      <c r="E992" s="10" t="n">
        <v>47.5</v>
      </c>
      <c r="F992" s="41" t="n"/>
      <c r="G992" s="34" t="n">
        <v>49</v>
      </c>
      <c r="H992" s="10" t="n">
        <v>45</v>
      </c>
      <c r="I992" s="189" t="n"/>
      <c r="J992" s="233" t="n"/>
      <c r="K992" s="186" t="n"/>
      <c r="L992" s="166" t="n"/>
    </row>
    <row r="993" ht="18.6" customHeight="1" s="2" thickBot="1">
      <c r="A993" s="195" t="inlineStr">
        <is>
          <t>Minimum HOURS</t>
        </is>
      </c>
      <c r="B993" s="196" t="inlineStr">
        <is>
          <t xml:space="preserve">Kitchen </t>
        </is>
      </c>
      <c r="C993" s="16" t="n">
        <v>780</v>
      </c>
      <c r="D993" s="35" t="n"/>
      <c r="E993" s="10" t="n"/>
      <c r="F993" s="16" t="n">
        <v>640</v>
      </c>
      <c r="G993" s="36" t="n"/>
      <c r="H993" s="15" t="n"/>
      <c r="I993" s="14" t="n">
        <v>625</v>
      </c>
      <c r="J993" s="35" t="n"/>
      <c r="K993" s="180" t="n"/>
      <c r="L993" s="166" t="n"/>
    </row>
    <row r="994" ht="15.95" customHeight="1" s="2" thickBot="1">
      <c r="A994" s="197" t="n"/>
      <c r="B994" s="198" t="inlineStr">
        <is>
          <t xml:space="preserve">Floor </t>
        </is>
      </c>
      <c r="C994" s="18" t="n">
        <v>1161</v>
      </c>
      <c r="D994" s="35" t="n"/>
      <c r="E994" s="26" t="n"/>
      <c r="F994" s="18" t="n">
        <v>973</v>
      </c>
      <c r="G994" s="234" t="n"/>
      <c r="H994" s="31" t="n"/>
      <c r="I994" s="42" t="n">
        <v>918</v>
      </c>
      <c r="J994" s="35" t="n"/>
      <c r="K994" s="180" t="n"/>
      <c r="L994" s="166" t="n"/>
    </row>
    <row r="995" ht="15.95" customHeight="1" s="2" thickBot="1">
      <c r="A995" s="197" t="n"/>
      <c r="B995" s="199" t="inlineStr">
        <is>
          <t>TOTAL</t>
        </is>
      </c>
      <c r="C995" s="42">
        <f>SUM(C993:C994)</f>
        <v/>
      </c>
      <c r="D995" s="35">
        <f>SUM(D993:D994)</f>
        <v/>
      </c>
      <c r="E995" s="199" t="inlineStr">
        <is>
          <t>TOTAL</t>
        </is>
      </c>
      <c r="F995" s="42">
        <f>SUM(F993:F994)</f>
        <v/>
      </c>
      <c r="G995" s="35">
        <f>SUM(G993:G994)</f>
        <v/>
      </c>
      <c r="H995" s="199" t="inlineStr">
        <is>
          <t>TOTAL</t>
        </is>
      </c>
      <c r="I995" s="42">
        <f>SUM(I993:I994)</f>
        <v/>
      </c>
      <c r="J995" s="35">
        <f>SUM(J993:J994)</f>
        <v/>
      </c>
      <c r="K995" s="180" t="n"/>
      <c r="L995" s="166" t="n"/>
    </row>
    <row r="996" ht="18" customHeight="1" s="2">
      <c r="A996" s="202" t="n"/>
      <c r="B996" s="239" t="n"/>
      <c r="C996" s="286" t="n"/>
      <c r="D996" s="286" t="n"/>
      <c r="E996" s="239" t="n"/>
      <c r="F996" s="286" t="n"/>
      <c r="G996" s="286" t="n"/>
      <c r="H996" s="239" t="n"/>
      <c r="I996" s="286" t="n"/>
      <c r="J996" s="286" t="n"/>
      <c r="K996" s="166" t="n"/>
      <c r="L996" s="166" t="n"/>
    </row>
    <row r="997" ht="17.45" customHeight="1" s="2">
      <c r="A997" s="202" t="n"/>
      <c r="B997" s="287" t="n"/>
      <c r="C997" s="273" t="inlineStr">
        <is>
          <t>Trainings</t>
        </is>
      </c>
      <c r="D997" s="273" t="n"/>
      <c r="E997" s="288" t="n"/>
      <c r="F997" s="273" t="inlineStr">
        <is>
          <t>Trainings</t>
        </is>
      </c>
      <c r="G997" s="273" t="n"/>
      <c r="H997" s="288" t="n"/>
      <c r="I997" s="273" t="inlineStr">
        <is>
          <t>Trainings</t>
        </is>
      </c>
      <c r="J997" s="273" t="n"/>
      <c r="K997" s="171" t="n"/>
      <c r="L997" s="166" t="n"/>
    </row>
    <row r="998" ht="17.45" customHeight="1" s="2">
      <c r="A998" s="202" t="n"/>
      <c r="B998" s="289" t="n"/>
      <c r="C998" s="279" t="inlineStr">
        <is>
          <t>Kitchen</t>
        </is>
      </c>
      <c r="D998" s="271" t="n"/>
      <c r="E998" s="290" t="n"/>
      <c r="F998" s="279" t="inlineStr">
        <is>
          <t>Kitchen</t>
        </is>
      </c>
      <c r="G998" s="271" t="n"/>
      <c r="H998" s="290" t="n"/>
      <c r="I998" s="279" t="inlineStr">
        <is>
          <t>Kitchen</t>
        </is>
      </c>
      <c r="J998" s="271" t="n"/>
      <c r="K998" s="186" t="n"/>
      <c r="L998" s="166" t="n"/>
    </row>
    <row r="999" ht="17.45" customHeight="1" s="2">
      <c r="A999" s="202" t="n"/>
      <c r="B999" s="289" t="n"/>
      <c r="C999" s="271" t="n"/>
      <c r="D999" s="271" t="n">
        <v>8</v>
      </c>
      <c r="E999" s="290" t="n"/>
      <c r="F999" s="271" t="n"/>
      <c r="G999" s="271" t="n"/>
      <c r="H999" s="290" t="n"/>
      <c r="I999" s="271" t="inlineStr">
        <is>
          <t>Nayon(prep T3-T4)</t>
        </is>
      </c>
      <c r="J999" s="271" t="n">
        <v>16</v>
      </c>
      <c r="K999" s="186" t="n"/>
      <c r="L999" s="166" t="n"/>
    </row>
    <row r="1000" ht="17.45" customHeight="1" s="2">
      <c r="A1000" s="202" t="n"/>
      <c r="B1000" s="289" t="n"/>
      <c r="C1000" s="271" t="n"/>
      <c r="D1000" s="271" t="n"/>
      <c r="E1000" s="290" t="n"/>
      <c r="F1000" s="271" t="n"/>
      <c r="G1000" s="271" t="n"/>
      <c r="H1000" s="290" t="n"/>
      <c r="I1000" s="271" t="inlineStr">
        <is>
          <t>Ashim(delivery T1)</t>
        </is>
      </c>
      <c r="J1000" s="271" t="n">
        <v>5</v>
      </c>
      <c r="K1000" s="186" t="n"/>
      <c r="L1000" s="166" t="n"/>
    </row>
    <row r="1001" ht="17.45" customHeight="1" s="2">
      <c r="A1001" s="202" t="n"/>
      <c r="B1001" s="289" t="n"/>
      <c r="C1001" s="271" t="n"/>
      <c r="D1001" s="271" t="n"/>
      <c r="E1001" s="290" t="n"/>
      <c r="F1001" s="271" t="n"/>
      <c r="G1001" s="271" t="n"/>
      <c r="H1001" s="290" t="n"/>
      <c r="I1001" s="271" t="inlineStr">
        <is>
          <t>Rita(StockingT1)</t>
        </is>
      </c>
      <c r="J1001" s="271" t="n">
        <v>7.5</v>
      </c>
      <c r="K1001" s="186" t="n"/>
      <c r="L1001" s="166" t="n"/>
    </row>
    <row r="1002" ht="17.45" customHeight="1" s="2">
      <c r="A1002" s="202" t="n"/>
      <c r="B1002" s="289" t="n"/>
      <c r="C1002" s="271" t="n"/>
      <c r="D1002" s="271" t="n"/>
      <c r="E1002" s="290" t="n"/>
      <c r="F1002" s="271" t="n"/>
      <c r="G1002" s="271" t="n"/>
      <c r="H1002" s="290" t="n"/>
      <c r="I1002" s="271" t="n"/>
      <c r="J1002" s="271" t="n"/>
      <c r="K1002" s="186" t="n"/>
      <c r="L1002" s="166" t="n"/>
    </row>
    <row r="1003" ht="17.45" customHeight="1" s="2">
      <c r="A1003" s="202" t="n"/>
      <c r="B1003" s="289" t="n"/>
      <c r="C1003" s="275" t="n"/>
      <c r="D1003" s="271" t="n"/>
      <c r="E1003" s="290" t="n"/>
      <c r="F1003" s="271" t="n"/>
      <c r="G1003" s="271" t="n"/>
      <c r="H1003" s="290" t="n"/>
      <c r="I1003" s="271" t="n"/>
      <c r="J1003" s="271" t="n"/>
      <c r="K1003" s="186" t="n"/>
      <c r="L1003" s="166" t="n"/>
    </row>
    <row r="1004" ht="17.45" customHeight="1" s="2">
      <c r="A1004" s="202" t="n"/>
      <c r="B1004" s="289" t="n"/>
      <c r="C1004" s="275" t="n"/>
      <c r="D1004" s="271" t="n"/>
      <c r="E1004" s="290" t="n"/>
      <c r="F1004" s="271" t="n"/>
      <c r="G1004" s="271" t="n"/>
      <c r="H1004" s="290" t="n"/>
      <c r="I1004" s="275" t="n"/>
      <c r="J1004" s="271" t="n"/>
      <c r="K1004" s="186" t="n"/>
      <c r="L1004" s="166" t="n"/>
    </row>
    <row r="1005" ht="17.45" customHeight="1" s="2">
      <c r="A1005" s="202" t="n"/>
      <c r="B1005" s="289" t="n"/>
      <c r="C1005" s="277" t="n"/>
      <c r="D1005" s="271" t="n"/>
      <c r="E1005" s="290" t="n"/>
      <c r="F1005" s="271" t="n"/>
      <c r="G1005" s="271" t="n"/>
      <c r="H1005" s="290" t="n"/>
      <c r="I1005" s="275" t="inlineStr">
        <is>
          <t>Floor</t>
        </is>
      </c>
      <c r="J1005" s="271" t="n"/>
      <c r="K1005" s="186" t="n"/>
      <c r="L1005" s="166" t="n"/>
    </row>
    <row r="1006" ht="17.45" customHeight="1" s="2">
      <c r="A1006" s="202" t="n"/>
      <c r="B1006" s="289" t="n"/>
      <c r="C1006" s="271" t="n"/>
      <c r="D1006" s="271" t="n"/>
      <c r="E1006" s="290" t="n"/>
      <c r="F1006" s="277" t="n"/>
      <c r="G1006" s="271" t="n"/>
      <c r="H1006" s="290" t="n"/>
      <c r="I1006" s="277" t="n"/>
      <c r="J1006" s="271" t="n"/>
      <c r="K1006" s="186" t="n"/>
      <c r="L1006" s="166" t="n"/>
    </row>
    <row r="1007" ht="17.45" customHeight="1" s="2">
      <c r="A1007" s="202" t="n"/>
      <c r="B1007" s="289" t="n"/>
      <c r="C1007" s="275" t="inlineStr">
        <is>
          <t>Floor</t>
        </is>
      </c>
      <c r="D1007" s="271" t="n"/>
      <c r="E1007" s="290" t="n"/>
      <c r="F1007" s="275" t="inlineStr">
        <is>
          <t>Floor</t>
        </is>
      </c>
      <c r="G1007" s="271" t="n"/>
      <c r="H1007" s="290" t="n"/>
      <c r="I1007" s="271" t="n"/>
      <c r="J1007" s="271" t="n"/>
      <c r="K1007" s="186" t="n"/>
      <c r="L1007" s="166" t="n"/>
    </row>
    <row r="1008" ht="17.45" customHeight="1" s="2">
      <c r="A1008" s="202" t="n"/>
      <c r="B1008" s="289" t="n"/>
      <c r="C1008" s="277" t="n"/>
      <c r="D1008" s="271" t="n"/>
      <c r="E1008" s="290" t="n"/>
      <c r="F1008" s="277" t="n"/>
      <c r="G1008" s="271" t="n"/>
      <c r="H1008" s="290" t="n"/>
      <c r="I1008" s="271" t="n"/>
      <c r="J1008" s="271" t="n"/>
      <c r="K1008" s="186" t="n"/>
      <c r="L1008" s="166" t="n"/>
    </row>
    <row r="1009" ht="17.45" customHeight="1" s="2">
      <c r="A1009" s="202" t="n"/>
      <c r="B1009" s="289" t="n"/>
      <c r="C1009" s="277" t="n"/>
      <c r="D1009" s="271" t="n"/>
      <c r="E1009" s="290" t="n"/>
      <c r="F1009" s="277" t="n"/>
      <c r="G1009" s="271" t="n"/>
      <c r="H1009" s="290" t="n"/>
      <c r="I1009" s="271" t="n"/>
      <c r="J1009" s="271" t="n"/>
      <c r="K1009" s="186" t="n"/>
      <c r="L1009" s="166" t="n"/>
    </row>
    <row r="1010" ht="17.45" customHeight="1" s="2">
      <c r="A1010" s="202" t="n"/>
      <c r="B1010" s="289" t="n"/>
      <c r="C1010" s="271" t="n"/>
      <c r="D1010" s="271" t="n"/>
      <c r="E1010" s="290" t="n"/>
      <c r="F1010" s="271" t="n"/>
      <c r="G1010" s="271" t="n"/>
      <c r="H1010" s="290" t="n"/>
      <c r="I1010" s="271" t="n"/>
      <c r="J1010" s="271" t="n"/>
      <c r="K1010" s="186" t="n"/>
      <c r="L1010" s="166" t="n"/>
    </row>
    <row r="1011" ht="17.45" customHeight="1" s="2">
      <c r="A1011" s="202" t="n"/>
      <c r="B1011" s="289" t="n"/>
      <c r="C1011" s="277" t="n"/>
      <c r="D1011" s="271" t="n"/>
      <c r="E1011" s="290" t="n"/>
      <c r="F1011" s="271" t="n"/>
      <c r="G1011" s="271" t="n"/>
      <c r="H1011" s="290" t="n"/>
      <c r="I1011" s="271" t="n"/>
      <c r="J1011" s="271" t="n"/>
      <c r="K1011" s="186" t="n"/>
      <c r="L1011" s="166" t="n"/>
    </row>
    <row r="1012" ht="17.45" customHeight="1" s="2">
      <c r="A1012" s="202" t="n"/>
      <c r="B1012" s="289" t="n"/>
      <c r="C1012" s="271" t="n"/>
      <c r="D1012" s="271" t="n"/>
      <c r="E1012" s="290" t="n"/>
      <c r="F1012" s="271" t="n"/>
      <c r="G1012" s="271" t="n"/>
      <c r="H1012" s="290" t="n"/>
      <c r="I1012" s="271" t="n"/>
      <c r="J1012" s="271" t="n"/>
      <c r="K1012" s="186" t="n"/>
      <c r="L1012" s="166" t="n"/>
    </row>
    <row r="1013" ht="17.45" customHeight="1" s="2">
      <c r="A1013" s="202" t="n"/>
      <c r="B1013" s="289" t="n"/>
      <c r="C1013" s="280" t="inlineStr">
        <is>
          <t>TOTAL</t>
        </is>
      </c>
      <c r="D1013" s="280">
        <f>SUM(D999:D1012)</f>
        <v/>
      </c>
      <c r="E1013" s="290" t="n"/>
      <c r="F1013" s="280" t="inlineStr">
        <is>
          <t>TOTAL</t>
        </is>
      </c>
      <c r="G1013" s="280">
        <f>SUM(G999:G1012)</f>
        <v/>
      </c>
      <c r="H1013" s="290" t="n"/>
      <c r="I1013" s="280" t="inlineStr">
        <is>
          <t>TOTAL</t>
        </is>
      </c>
      <c r="J1013" s="280">
        <f>SUM(J999:J1012)</f>
        <v/>
      </c>
      <c r="K1013" s="186" t="n"/>
      <c r="L1013" s="166" t="n"/>
    </row>
    <row r="1014" ht="15" customHeight="1" s="2">
      <c r="A1014" s="166" t="n"/>
      <c r="B1014" s="166" t="n"/>
      <c r="C1014" s="282" t="n"/>
      <c r="D1014" s="282" t="n"/>
      <c r="E1014" s="166" t="n"/>
      <c r="F1014" s="282" t="n"/>
      <c r="G1014" s="282" t="n"/>
      <c r="H1014" s="166" t="n"/>
      <c r="I1014" s="282" t="n"/>
      <c r="J1014" s="282" t="n"/>
      <c r="K1014" s="166" t="n"/>
      <c r="L1014" s="166" t="n"/>
    </row>
    <row r="1015" ht="15" customHeight="1" s="2">
      <c r="A1015" s="166" t="n"/>
      <c r="B1015" s="166" t="n"/>
      <c r="C1015" s="166" t="n"/>
      <c r="D1015" s="166" t="n"/>
      <c r="E1015" s="166" t="n"/>
      <c r="F1015" s="166" t="n"/>
      <c r="G1015" s="166" t="n"/>
      <c r="H1015" s="166" t="n"/>
      <c r="I1015" s="166" t="n"/>
      <c r="J1015" s="166" t="n"/>
      <c r="K1015" s="166" t="n"/>
      <c r="L1015" s="166" t="n"/>
    </row>
    <row r="1016" ht="15" customHeight="1" s="2">
      <c r="A1016" s="166" t="n"/>
      <c r="B1016" s="168" t="n"/>
      <c r="C1016" s="168" t="n"/>
      <c r="D1016" s="166" t="n"/>
      <c r="E1016" s="168" t="n"/>
      <c r="F1016" s="168" t="n"/>
      <c r="G1016" s="166" t="n"/>
      <c r="H1016" s="168" t="n"/>
      <c r="I1016" s="168" t="n"/>
      <c r="J1016" s="166" t="n"/>
      <c r="K1016" s="166" t="n"/>
      <c r="L1016" s="166" t="n"/>
    </row>
    <row r="1017" ht="18" customHeight="1" s="2" thickBot="1">
      <c r="A1017" s="238" t="n"/>
      <c r="B1017" s="700" t="n">
        <v>43122</v>
      </c>
      <c r="C1017" s="697" t="n">
        <v>43486</v>
      </c>
      <c r="D1017" s="698" t="n"/>
      <c r="E1017" s="696" t="n">
        <v>43129</v>
      </c>
      <c r="F1017" s="699" t="n">
        <v>43493</v>
      </c>
      <c r="G1017" s="698" t="n"/>
      <c r="H1017" s="700" t="n">
        <v>43136</v>
      </c>
      <c r="I1017" s="699" t="n">
        <v>43500</v>
      </c>
      <c r="J1017" s="701" t="n"/>
      <c r="K1017" s="166" t="n"/>
      <c r="L1017" s="166" t="n"/>
    </row>
    <row r="1018" ht="18.6" customHeight="1" s="2" thickBot="1">
      <c r="A1018" s="176" t="n"/>
      <c r="B1018" s="184" t="inlineStr">
        <is>
          <t>Last Year</t>
        </is>
      </c>
      <c r="C1018" s="178" t="inlineStr">
        <is>
          <t>Projected</t>
        </is>
      </c>
      <c r="D1018" s="230" t="inlineStr">
        <is>
          <t>Actual</t>
        </is>
      </c>
      <c r="E1018" s="177" t="inlineStr">
        <is>
          <t>Last Year</t>
        </is>
      </c>
      <c r="F1018" s="178" t="inlineStr">
        <is>
          <t>Projected</t>
        </is>
      </c>
      <c r="G1018" s="230" t="inlineStr">
        <is>
          <t>Actual</t>
        </is>
      </c>
      <c r="H1018" s="184" t="inlineStr">
        <is>
          <t>Last Year</t>
        </is>
      </c>
      <c r="I1018" s="178" t="inlineStr">
        <is>
          <t>Projected</t>
        </is>
      </c>
      <c r="J1018" s="230" t="inlineStr">
        <is>
          <t>Actual</t>
        </is>
      </c>
      <c r="K1018" s="180" t="n"/>
      <c r="L1018" s="166" t="n"/>
    </row>
    <row r="1019" ht="18" customHeight="1" s="2">
      <c r="A1019" s="181" t="inlineStr">
        <is>
          <t>GROSS TOTAL</t>
        </is>
      </c>
      <c r="B1019" s="184" t="n">
        <v>160666.14</v>
      </c>
      <c r="C1019" s="215" t="n">
        <v>167759</v>
      </c>
      <c r="D1019" s="184" t="n">
        <v>142705.73</v>
      </c>
      <c r="E1019" s="184" t="n">
        <v>182066.72</v>
      </c>
      <c r="F1019" s="215" t="n">
        <v>198909</v>
      </c>
      <c r="G1019" s="184" t="n">
        <v>178719</v>
      </c>
      <c r="H1019" s="184" t="n">
        <v>151066.57</v>
      </c>
      <c r="I1019" s="215" t="n">
        <v>153849</v>
      </c>
      <c r="J1019" s="185" t="n">
        <v>155567.55</v>
      </c>
      <c r="K1019" s="186" t="n"/>
      <c r="L1019" s="166" t="n"/>
    </row>
    <row r="1020" ht="17.45" customHeight="1" s="2">
      <c r="A1020" s="187" t="inlineStr">
        <is>
          <t>NETT  TOTAL</t>
        </is>
      </c>
      <c r="B1020" s="32">
        <f>B1019/1.1</f>
        <v/>
      </c>
      <c r="C1020" s="28">
        <f>C1019/1.1</f>
        <v/>
      </c>
      <c r="D1020" s="32">
        <f>D1019/1.1</f>
        <v/>
      </c>
      <c r="E1020" s="32">
        <f>E1019/1.1</f>
        <v/>
      </c>
      <c r="F1020" s="28">
        <f>F1019/1.1</f>
        <v/>
      </c>
      <c r="G1020" s="32" t="n">
        <v>155199</v>
      </c>
      <c r="H1020" s="32">
        <f>H1019/1.1</f>
        <v/>
      </c>
      <c r="I1020" s="28">
        <f>I1019/1.1</f>
        <v/>
      </c>
      <c r="J1020" s="39">
        <f>J1019/1.1</f>
        <v/>
      </c>
      <c r="K1020" s="186" t="n"/>
      <c r="L1020" s="166" t="n"/>
    </row>
    <row r="1021" ht="17.45" customHeight="1" s="2">
      <c r="A1021" s="188" t="inlineStr">
        <is>
          <t>Customers</t>
        </is>
      </c>
      <c r="B1021" s="10" t="n">
        <v>8097</v>
      </c>
      <c r="C1021" s="28" t="n">
        <v>8215</v>
      </c>
      <c r="D1021" s="10" t="n">
        <v>7099</v>
      </c>
      <c r="E1021" s="10" t="n">
        <v>8757</v>
      </c>
      <c r="F1021" s="28" t="n">
        <v>9500</v>
      </c>
      <c r="G1021" s="10" t="n">
        <v>8221</v>
      </c>
      <c r="H1021" s="10" t="n">
        <v>7284</v>
      </c>
      <c r="I1021" s="28" t="n">
        <v>7720</v>
      </c>
      <c r="J1021" s="11" t="n">
        <v>6487</v>
      </c>
      <c r="K1021" s="171" t="n"/>
      <c r="L1021" s="166" t="n"/>
    </row>
    <row r="1022" ht="17.45" customHeight="1" s="2">
      <c r="A1022" s="188" t="inlineStr">
        <is>
          <t>Average Customer Spend</t>
        </is>
      </c>
      <c r="B1022" s="39">
        <f>B1019/B1021</f>
        <v/>
      </c>
      <c r="C1022" s="9">
        <f>C1019/C1021</f>
        <v/>
      </c>
      <c r="D1022" s="32">
        <f>D1019/D1021</f>
        <v/>
      </c>
      <c r="E1022" s="39">
        <f>E1019/E1021</f>
        <v/>
      </c>
      <c r="F1022" s="9">
        <f>F1019/F1021</f>
        <v/>
      </c>
      <c r="G1022" s="32" t="n">
        <v>20.76</v>
      </c>
      <c r="H1022" s="39">
        <f>H1019/H1021</f>
        <v/>
      </c>
      <c r="I1022" s="9">
        <f>I1019/I1021</f>
        <v/>
      </c>
      <c r="J1022" s="33">
        <f>J1019/J1021</f>
        <v/>
      </c>
      <c r="K1022" s="171" t="n"/>
      <c r="L1022" s="166" t="n"/>
    </row>
    <row r="1023" ht="17.45" customHeight="1" s="2">
      <c r="A1023" s="191" t="inlineStr">
        <is>
          <t>Wage % to Gross total</t>
        </is>
      </c>
      <c r="B1023" s="794">
        <f>(B1026*B1027)/B1019</f>
        <v/>
      </c>
      <c r="C1023" s="795">
        <f>(C1026*C1027)/C1019</f>
        <v/>
      </c>
      <c r="D1023" s="794">
        <f>(D1026*D1027)/D1019</f>
        <v/>
      </c>
      <c r="E1023" s="794">
        <f>(E1026*E1027)/E1019</f>
        <v/>
      </c>
      <c r="F1023" s="795">
        <f>(F1026*F1027)/F1019</f>
        <v/>
      </c>
      <c r="G1023" s="794" t="n">
        <v>0.3733</v>
      </c>
      <c r="H1023" s="794">
        <f>(H1026*H1027)/H1019</f>
        <v/>
      </c>
      <c r="I1023" s="795">
        <f>(I1026*I1027)/I1019</f>
        <v/>
      </c>
      <c r="J1023" s="728" t="n">
        <v>0.332</v>
      </c>
      <c r="K1023" s="171" t="n"/>
      <c r="L1023" s="166" t="n"/>
    </row>
    <row r="1024" ht="17.45" customHeight="1" s="2">
      <c r="A1024" s="191" t="inlineStr">
        <is>
          <t>Wage % to Nett Total</t>
        </is>
      </c>
      <c r="B1024" s="794">
        <f>(B1026*B1027)/B1020</f>
        <v/>
      </c>
      <c r="C1024" s="795">
        <f>(C1026*C1027)/C1020</f>
        <v/>
      </c>
      <c r="D1024" s="794">
        <f>(D1026*D1027)/D1020</f>
        <v/>
      </c>
      <c r="E1024" s="794">
        <f>(E1026*E1027)/E1020</f>
        <v/>
      </c>
      <c r="F1024" s="795">
        <f>(F1026*F1027)/F1020</f>
        <v/>
      </c>
      <c r="G1024" s="794" t="n">
        <v>0.4107</v>
      </c>
      <c r="H1024" s="794">
        <f>(H1026*H1027)/H1020</f>
        <v/>
      </c>
      <c r="I1024" s="795">
        <f>(I1026*I1027)/I1020</f>
        <v/>
      </c>
      <c r="J1024" s="728" t="n">
        <v>0.364</v>
      </c>
      <c r="K1024" s="171" t="n"/>
      <c r="L1024" s="166" t="n"/>
    </row>
    <row r="1025" ht="17.45" customHeight="1" s="2">
      <c r="A1025" s="188" t="inlineStr">
        <is>
          <t>Productivity</t>
        </is>
      </c>
      <c r="B1025" s="32">
        <f>B1021/B1027</f>
        <v/>
      </c>
      <c r="C1025" s="28">
        <f>C1021/C1027</f>
        <v/>
      </c>
      <c r="D1025" s="32">
        <f>D1021/D1027</f>
        <v/>
      </c>
      <c r="E1025" s="32">
        <f>E1021/E1027</f>
        <v/>
      </c>
      <c r="F1025" s="28">
        <f>F1021/F1027</f>
        <v/>
      </c>
      <c r="G1025" s="32" t="n">
        <v>4.76</v>
      </c>
      <c r="H1025" s="32">
        <f>H1021/H1027</f>
        <v/>
      </c>
      <c r="I1025" s="28">
        <f>I1021/I1027</f>
        <v/>
      </c>
      <c r="J1025" s="33" t="n">
        <v>4.96</v>
      </c>
      <c r="K1025" s="171" t="n"/>
      <c r="L1025" s="166" t="n"/>
    </row>
    <row r="1026" ht="17.45" customHeight="1" s="2">
      <c r="A1026" s="188" t="inlineStr">
        <is>
          <t>Average Hourly Rate</t>
        </is>
      </c>
      <c r="B1026" s="32" t="n">
        <v>31.86</v>
      </c>
      <c r="C1026" s="28" t="n">
        <v>34</v>
      </c>
      <c r="D1026" s="32" t="n">
        <v>33.94</v>
      </c>
      <c r="E1026" s="32" t="n">
        <v>37.5</v>
      </c>
      <c r="F1026" s="28" t="n">
        <v>36</v>
      </c>
      <c r="G1026" s="32" t="n">
        <v>36.92</v>
      </c>
      <c r="H1026" s="32" t="n">
        <v>33.35</v>
      </c>
      <c r="I1026" s="28" t="n">
        <v>34</v>
      </c>
      <c r="J1026" s="33" t="n">
        <v>34.03</v>
      </c>
      <c r="K1026" s="171" t="n"/>
      <c r="L1026" s="166" t="n"/>
    </row>
    <row r="1027" ht="17.45" customHeight="1" s="2">
      <c r="A1027" s="188" t="inlineStr">
        <is>
          <t>Total hours for productivity</t>
        </is>
      </c>
      <c r="B1027" s="32" t="n">
        <v>1657.75</v>
      </c>
      <c r="C1027" s="189" t="n">
        <v>1680.5</v>
      </c>
      <c r="D1027" s="32" t="n">
        <v>1611.25</v>
      </c>
      <c r="E1027" s="32" t="n">
        <v>1700.75</v>
      </c>
      <c r="F1027" s="189" t="n">
        <v>1738</v>
      </c>
      <c r="G1027" s="32" t="n">
        <v>1726</v>
      </c>
      <c r="H1027" s="32" t="n">
        <v>1524.5</v>
      </c>
      <c r="I1027" s="189" t="n">
        <v>1603.5</v>
      </c>
      <c r="J1027" s="33" t="n">
        <v>1514</v>
      </c>
      <c r="K1027" s="171" t="n"/>
      <c r="L1027" s="166" t="n"/>
    </row>
    <row r="1028" ht="17.45" customHeight="1" s="2">
      <c r="A1028" s="188" t="inlineStr">
        <is>
          <t>Training Hours used</t>
        </is>
      </c>
      <c r="B1028" s="32" t="n">
        <v>73</v>
      </c>
      <c r="C1028" s="28" t="n"/>
      <c r="D1028" s="32" t="n">
        <v>117</v>
      </c>
      <c r="E1028" s="32" t="n">
        <v>37.5</v>
      </c>
      <c r="F1028" s="28" t="n"/>
      <c r="G1028" s="32" t="n"/>
      <c r="H1028" s="32" t="n">
        <v>50</v>
      </c>
      <c r="I1028" s="28" t="n"/>
      <c r="J1028" s="39" t="n"/>
      <c r="K1028" s="186" t="n"/>
      <c r="L1028" s="166" t="n"/>
    </row>
    <row r="1029" ht="18" customHeight="1" s="2" thickBot="1">
      <c r="A1029" s="193" t="inlineStr">
        <is>
          <t>Number of hours used to cover sick leave</t>
        </is>
      </c>
      <c r="B1029" s="34" t="n">
        <v>19.5</v>
      </c>
      <c r="C1029" s="41" t="n"/>
      <c r="D1029" s="34" t="n"/>
      <c r="E1029" s="34" t="n">
        <v>61</v>
      </c>
      <c r="F1029" s="41" t="n"/>
      <c r="G1029" s="34" t="n"/>
      <c r="H1029" s="32" t="n">
        <v>57</v>
      </c>
      <c r="I1029" s="41" t="n"/>
      <c r="J1029" s="233" t="n"/>
      <c r="K1029" s="186" t="n"/>
      <c r="L1029" s="166" t="n"/>
    </row>
    <row r="1030" ht="18.6" customHeight="1" s="2" thickBot="1">
      <c r="A1030" s="195" t="inlineStr">
        <is>
          <t>Minimum HOURS</t>
        </is>
      </c>
      <c r="B1030" s="196" t="inlineStr">
        <is>
          <t xml:space="preserve">Kitchen </t>
        </is>
      </c>
      <c r="C1030" s="16" t="n">
        <v>685</v>
      </c>
      <c r="D1030" s="35" t="n"/>
      <c r="E1030" s="292" t="n"/>
      <c r="F1030" s="16" t="n">
        <v>671</v>
      </c>
      <c r="G1030" s="36" t="n"/>
      <c r="H1030" s="15" t="n"/>
      <c r="I1030" s="16" t="n"/>
      <c r="J1030" s="35" t="n"/>
      <c r="K1030" s="180" t="n"/>
      <c r="L1030" s="166" t="n"/>
    </row>
    <row r="1031" ht="15.95" customHeight="1" s="2" thickBot="1">
      <c r="A1031" s="197" t="n"/>
      <c r="B1031" s="198" t="inlineStr">
        <is>
          <t xml:space="preserve">Floor </t>
        </is>
      </c>
      <c r="C1031" s="18" t="n">
        <v>873</v>
      </c>
      <c r="D1031" s="35" t="n"/>
      <c r="E1031" s="26" t="n"/>
      <c r="F1031" s="18" t="n">
        <v>966</v>
      </c>
      <c r="G1031" s="234" t="n"/>
      <c r="H1031" s="31" t="n"/>
      <c r="I1031" s="18" t="n"/>
      <c r="J1031" s="35" t="n"/>
      <c r="K1031" s="180" t="n"/>
      <c r="L1031" s="166" t="n"/>
    </row>
    <row r="1032" ht="15.95" customHeight="1" s="2" thickBot="1">
      <c r="A1032" s="197" t="n"/>
      <c r="B1032" s="199" t="inlineStr">
        <is>
          <t>TOTAL</t>
        </is>
      </c>
      <c r="C1032" s="42">
        <f>SUM(C1030:C1031)</f>
        <v/>
      </c>
      <c r="D1032" s="35">
        <f>SUM(D1030:D1031)</f>
        <v/>
      </c>
      <c r="E1032" s="199" t="inlineStr">
        <is>
          <t>TOTAL</t>
        </is>
      </c>
      <c r="F1032" s="42">
        <f>SUM(F1030:F1031)</f>
        <v/>
      </c>
      <c r="G1032" s="35">
        <f>SUM(G1030:G1031)</f>
        <v/>
      </c>
      <c r="H1032" s="199" t="inlineStr">
        <is>
          <t>TOTAL</t>
        </is>
      </c>
      <c r="I1032" s="42">
        <f>SUM(I1030:I1031)</f>
        <v/>
      </c>
      <c r="J1032" s="35">
        <f>SUM(J1030:J1031)</f>
        <v/>
      </c>
      <c r="K1032" s="180" t="n"/>
      <c r="L1032" s="166" t="n"/>
    </row>
    <row r="1033" ht="18" customHeight="1" s="2">
      <c r="A1033" s="202" t="n"/>
      <c r="B1033" s="239" t="n"/>
      <c r="C1033" s="286" t="n"/>
      <c r="D1033" s="286" t="n"/>
      <c r="E1033" s="239" t="n"/>
      <c r="F1033" s="286" t="n"/>
      <c r="G1033" s="286" t="n"/>
      <c r="H1033" s="239" t="n"/>
      <c r="I1033" s="286" t="n"/>
      <c r="J1033" s="286" t="n"/>
      <c r="K1033" s="166" t="n"/>
      <c r="L1033" s="166" t="n"/>
    </row>
    <row r="1034" ht="17.45" customHeight="1" s="2">
      <c r="A1034" s="202" t="n"/>
      <c r="B1034" s="287" t="n"/>
      <c r="C1034" s="273" t="inlineStr">
        <is>
          <t>Trainings</t>
        </is>
      </c>
      <c r="D1034" s="273" t="n"/>
      <c r="E1034" s="288" t="n"/>
      <c r="F1034" s="273" t="inlineStr">
        <is>
          <t>Trainings</t>
        </is>
      </c>
      <c r="G1034" s="273" t="n"/>
      <c r="H1034" s="288" t="n"/>
      <c r="I1034" s="273" t="inlineStr">
        <is>
          <t>Trainings</t>
        </is>
      </c>
      <c r="J1034" s="273" t="n"/>
      <c r="K1034" s="171" t="n"/>
      <c r="L1034" s="166" t="n"/>
    </row>
    <row r="1035" ht="17.45" customHeight="1" s="2">
      <c r="A1035" s="202" t="n"/>
      <c r="B1035" s="289" t="n"/>
      <c r="C1035" s="279" t="inlineStr">
        <is>
          <t>Kitchen</t>
        </is>
      </c>
      <c r="D1035" s="271" t="n"/>
      <c r="E1035" s="290" t="n"/>
      <c r="F1035" s="279" t="inlineStr">
        <is>
          <t>Kitchen</t>
        </is>
      </c>
      <c r="G1035" s="271" t="n"/>
      <c r="H1035" s="290" t="n"/>
      <c r="I1035" s="279" t="inlineStr">
        <is>
          <t>Kitchen</t>
        </is>
      </c>
      <c r="J1035" s="271" t="n"/>
      <c r="K1035" s="186" t="n"/>
      <c r="L1035" s="166" t="n"/>
    </row>
    <row r="1036" ht="17.45" customHeight="1" s="2">
      <c r="A1036" s="202" t="n"/>
      <c r="B1036" s="289" t="n"/>
      <c r="C1036" s="275" t="inlineStr">
        <is>
          <t>Jyotirmoy(Ind + pizza T1-T3)</t>
        </is>
      </c>
      <c r="D1036" s="271" t="n">
        <v>18</v>
      </c>
      <c r="E1036" s="290" t="n"/>
      <c r="F1036" s="271" t="n"/>
      <c r="G1036" s="271" t="n"/>
      <c r="H1036" s="290" t="n"/>
      <c r="I1036" s="271" t="n"/>
      <c r="J1036" s="271" t="n"/>
      <c r="K1036" s="186" t="n"/>
      <c r="L1036" s="166" t="n"/>
    </row>
    <row r="1037" ht="17.45" customHeight="1" s="2">
      <c r="A1037" s="202" t="n"/>
      <c r="B1037" s="289" t="n"/>
      <c r="C1037" s="275" t="inlineStr">
        <is>
          <t>Kiran(Ind + grill T1-t4) 5 HRS CXLD</t>
        </is>
      </c>
      <c r="D1037" s="271" t="n">
        <v>23</v>
      </c>
      <c r="E1037" s="290" t="n"/>
      <c r="F1037" s="271" t="n"/>
      <c r="G1037" s="271" t="n"/>
      <c r="H1037" s="290" t="n"/>
      <c r="I1037" s="271" t="n"/>
      <c r="J1037" s="271" t="n"/>
      <c r="K1037" s="186" t="n"/>
      <c r="L1037" s="166" t="n"/>
    </row>
    <row r="1038" ht="17.45" customHeight="1" s="2">
      <c r="A1038" s="202" t="n"/>
      <c r="B1038" s="289" t="n"/>
      <c r="C1038" s="275" t="inlineStr">
        <is>
          <t>Umar(Ind + stockingT1-T4)</t>
        </is>
      </c>
      <c r="D1038" s="271" t="n">
        <v>30.5</v>
      </c>
      <c r="E1038" s="290" t="n"/>
      <c r="F1038" s="271" t="n"/>
      <c r="G1038" s="271" t="n"/>
      <c r="H1038" s="290" t="n"/>
      <c r="I1038" s="271" t="n"/>
      <c r="J1038" s="271" t="n"/>
      <c r="K1038" s="186" t="n"/>
      <c r="L1038" s="166" t="n"/>
    </row>
    <row r="1039" ht="17.45" customHeight="1" s="2">
      <c r="A1039" s="202" t="n"/>
      <c r="B1039" s="289" t="n"/>
      <c r="C1039" s="275" t="inlineStr">
        <is>
          <t>Ashim (Delivery T1)</t>
        </is>
      </c>
      <c r="D1039" s="271" t="n">
        <v>7.5</v>
      </c>
      <c r="E1039" s="290" t="n"/>
      <c r="F1039" s="271" t="n"/>
      <c r="G1039" s="271" t="n"/>
      <c r="H1039" s="290" t="n"/>
      <c r="I1039" s="271" t="n"/>
      <c r="J1039" s="271" t="n"/>
      <c r="K1039" s="186" t="n"/>
      <c r="L1039" s="166" t="n"/>
    </row>
    <row r="1040" ht="17.45" customHeight="1" s="2">
      <c r="A1040" s="202" t="n"/>
      <c r="B1040" s="289" t="n"/>
      <c r="C1040" s="275" t="inlineStr">
        <is>
          <t>Nayon(prep T5)</t>
        </is>
      </c>
      <c r="D1040" s="271" t="n">
        <v>8</v>
      </c>
      <c r="E1040" s="290" t="n"/>
      <c r="F1040" s="271" t="n"/>
      <c r="G1040" s="271" t="n"/>
      <c r="H1040" s="290" t="n"/>
      <c r="I1040" s="271" t="n"/>
      <c r="J1040" s="271" t="n"/>
      <c r="K1040" s="186" t="n"/>
      <c r="L1040" s="166" t="n"/>
    </row>
    <row r="1041" ht="17.45" customHeight="1" s="2">
      <c r="A1041" s="202" t="n"/>
      <c r="B1041" s="289" t="n"/>
      <c r="C1041" s="275" t="inlineStr">
        <is>
          <t>Tanzil(Topping T1-T4)</t>
        </is>
      </c>
      <c r="D1041" s="271" t="n">
        <v>30</v>
      </c>
      <c r="E1041" s="290" t="n"/>
      <c r="F1041" s="271" t="n"/>
      <c r="G1041" s="271" t="n"/>
      <c r="H1041" s="290" t="n"/>
      <c r="I1041" s="275" t="n"/>
      <c r="J1041" s="271" t="n"/>
      <c r="K1041" s="186" t="n"/>
      <c r="L1041" s="166" t="n"/>
    </row>
    <row r="1042" ht="17.45" customHeight="1" s="2">
      <c r="A1042" s="202" t="n"/>
      <c r="B1042" s="289" t="n"/>
      <c r="C1042" s="277" t="n"/>
      <c r="D1042" s="271" t="n"/>
      <c r="E1042" s="290" t="n"/>
      <c r="F1042" s="271" t="n"/>
      <c r="G1042" s="271" t="n"/>
      <c r="H1042" s="290" t="n"/>
      <c r="I1042" s="275" t="inlineStr">
        <is>
          <t>Floor</t>
        </is>
      </c>
      <c r="J1042" s="271" t="n"/>
      <c r="K1042" s="186" t="n"/>
      <c r="L1042" s="166" t="n"/>
    </row>
    <row r="1043" ht="17.45" customHeight="1" s="2">
      <c r="A1043" s="202" t="n"/>
      <c r="B1043" s="289" t="n"/>
      <c r="C1043" s="271" t="n"/>
      <c r="D1043" s="271" t="n"/>
      <c r="E1043" s="290" t="n"/>
      <c r="F1043" s="277" t="n"/>
      <c r="G1043" s="271" t="n"/>
      <c r="H1043" s="290" t="n"/>
      <c r="I1043" s="277" t="n"/>
      <c r="J1043" s="271" t="n"/>
      <c r="K1043" s="186" t="n"/>
      <c r="L1043" s="166" t="n"/>
    </row>
    <row r="1044" ht="17.45" customHeight="1" s="2">
      <c r="A1044" s="202" t="n"/>
      <c r="B1044" s="289" t="n"/>
      <c r="C1044" s="275" t="inlineStr">
        <is>
          <t>Floor</t>
        </is>
      </c>
      <c r="D1044" s="271" t="n"/>
      <c r="E1044" s="290" t="n"/>
      <c r="F1044" s="275" t="inlineStr">
        <is>
          <t>Floor</t>
        </is>
      </c>
      <c r="G1044" s="271" t="n"/>
      <c r="H1044" s="290" t="n"/>
      <c r="I1044" s="271" t="n"/>
      <c r="J1044" s="271" t="n"/>
      <c r="K1044" s="186" t="n"/>
      <c r="L1044" s="166" t="n"/>
    </row>
    <row r="1045" ht="17.45" customHeight="1" s="2">
      <c r="A1045" s="202" t="n"/>
      <c r="B1045" s="289" t="n"/>
      <c r="C1045" s="277" t="n"/>
      <c r="D1045" s="271" t="n"/>
      <c r="E1045" s="290" t="n"/>
      <c r="F1045" s="277" t="n"/>
      <c r="G1045" s="271" t="n"/>
      <c r="H1045" s="290" t="n"/>
      <c r="I1045" s="271" t="n"/>
      <c r="J1045" s="271" t="n"/>
      <c r="K1045" s="186" t="n"/>
      <c r="L1045" s="166" t="n"/>
    </row>
    <row r="1046" ht="17.45" customHeight="1" s="2">
      <c r="A1046" s="202" t="n"/>
      <c r="B1046" s="289" t="n"/>
      <c r="C1046" s="277" t="n"/>
      <c r="D1046" s="271" t="n"/>
      <c r="E1046" s="290" t="n"/>
      <c r="F1046" s="277" t="n"/>
      <c r="G1046" s="271" t="n"/>
      <c r="H1046" s="290" t="n"/>
      <c r="I1046" s="271" t="n"/>
      <c r="J1046" s="271" t="n"/>
      <c r="K1046" s="186" t="n"/>
      <c r="L1046" s="166" t="n"/>
    </row>
    <row r="1047" ht="17.45" customHeight="1" s="2">
      <c r="A1047" s="202" t="n"/>
      <c r="B1047" s="289" t="n"/>
      <c r="C1047" s="271" t="n"/>
      <c r="D1047" s="271" t="n"/>
      <c r="E1047" s="290" t="n"/>
      <c r="F1047" s="271" t="n"/>
      <c r="G1047" s="271" t="n"/>
      <c r="H1047" s="290" t="n"/>
      <c r="I1047" s="271" t="n"/>
      <c r="J1047" s="271" t="n"/>
      <c r="K1047" s="186" t="n"/>
      <c r="L1047" s="166" t="n"/>
    </row>
    <row r="1048" ht="17.45" customHeight="1" s="2">
      <c r="A1048" s="202" t="n"/>
      <c r="B1048" s="289" t="n"/>
      <c r="C1048" s="277" t="n"/>
      <c r="D1048" s="271" t="n"/>
      <c r="E1048" s="290" t="n"/>
      <c r="F1048" s="271" t="n"/>
      <c r="G1048" s="271" t="n"/>
      <c r="H1048" s="290" t="n"/>
      <c r="I1048" s="271" t="n"/>
      <c r="J1048" s="271" t="n"/>
      <c r="K1048" s="186" t="n"/>
      <c r="L1048" s="166" t="n"/>
    </row>
    <row r="1049" ht="17.45" customHeight="1" s="2">
      <c r="A1049" s="202" t="n"/>
      <c r="B1049" s="289" t="n"/>
      <c r="C1049" s="271" t="n"/>
      <c r="D1049" s="271" t="n"/>
      <c r="E1049" s="290" t="n"/>
      <c r="F1049" s="271" t="n"/>
      <c r="G1049" s="271" t="n"/>
      <c r="H1049" s="290" t="n"/>
      <c r="I1049" s="271" t="n"/>
      <c r="J1049" s="271" t="n"/>
      <c r="K1049" s="186" t="n"/>
      <c r="L1049" s="166" t="n"/>
    </row>
    <row r="1050" ht="17.45" customHeight="1" s="2">
      <c r="A1050" s="202" t="n"/>
      <c r="B1050" s="289" t="n"/>
      <c r="C1050" s="293" t="inlineStr">
        <is>
          <t>TOTAL</t>
        </is>
      </c>
      <c r="D1050" s="293">
        <f>SUM(D1036:D1049)</f>
        <v/>
      </c>
      <c r="E1050" s="290" t="n"/>
      <c r="F1050" s="293" t="inlineStr">
        <is>
          <t>TOTAL</t>
        </is>
      </c>
      <c r="G1050" s="293">
        <f>SUM(G1036:G1049)</f>
        <v/>
      </c>
      <c r="H1050" s="290" t="n"/>
      <c r="I1050" s="293" t="inlineStr">
        <is>
          <t>TOTAL</t>
        </is>
      </c>
      <c r="J1050" s="293">
        <f>SUM(J1036:J1049)</f>
        <v/>
      </c>
      <c r="K1050" s="186" t="n"/>
      <c r="L1050" s="166" t="n"/>
    </row>
    <row r="1051" ht="15.75" customHeight="1" s="2">
      <c r="A1051" s="166" t="n"/>
      <c r="B1051" s="168" t="n"/>
      <c r="C1051" s="168" t="n"/>
      <c r="D1051" s="166" t="n"/>
      <c r="E1051" s="168" t="n"/>
      <c r="F1051" s="168" t="n"/>
      <c r="G1051" s="166" t="n"/>
      <c r="H1051" s="168" t="n"/>
      <c r="I1051" s="168" t="n"/>
      <c r="J1051" s="166" t="n"/>
      <c r="K1051" s="294" t="n"/>
      <c r="L1051" s="295" t="n"/>
    </row>
    <row r="1052" ht="15.75" customHeight="1" s="2" thickBot="1">
      <c r="A1052" s="238" t="n"/>
      <c r="B1052" s="700" t="n">
        <v>43143</v>
      </c>
      <c r="C1052" s="697" t="n">
        <v>43507</v>
      </c>
      <c r="D1052" s="698" t="n"/>
      <c r="E1052" s="696" t="n">
        <v>43150</v>
      </c>
      <c r="F1052" s="699" t="n">
        <v>43514</v>
      </c>
      <c r="G1052" s="698" t="n"/>
      <c r="H1052" s="700" t="n">
        <v>43157</v>
      </c>
      <c r="I1052" s="699" t="n">
        <v>43521</v>
      </c>
      <c r="J1052" s="701" t="n"/>
      <c r="K1052" s="296" t="n"/>
      <c r="L1052" s="297" t="n"/>
    </row>
    <row r="1053" ht="15.75" customHeight="1" s="2" thickBot="1">
      <c r="A1053" s="176" t="n"/>
      <c r="B1053" s="184" t="inlineStr">
        <is>
          <t>Last Year</t>
        </is>
      </c>
      <c r="C1053" s="178" t="inlineStr">
        <is>
          <t>Projected</t>
        </is>
      </c>
      <c r="D1053" s="230" t="inlineStr">
        <is>
          <t>Actual</t>
        </is>
      </c>
      <c r="E1053" s="177" t="inlineStr">
        <is>
          <t>Last Year</t>
        </is>
      </c>
      <c r="F1053" s="178" t="inlineStr">
        <is>
          <t>Projected</t>
        </is>
      </c>
      <c r="G1053" s="230" t="inlineStr">
        <is>
          <t>Actual</t>
        </is>
      </c>
      <c r="H1053" s="184" t="inlineStr">
        <is>
          <t>Last Year</t>
        </is>
      </c>
      <c r="I1053" s="178" t="inlineStr">
        <is>
          <t>Projected</t>
        </is>
      </c>
      <c r="J1053" s="230" t="inlineStr">
        <is>
          <t>Actual</t>
        </is>
      </c>
      <c r="K1053" s="298" t="n"/>
      <c r="L1053" s="297" t="n"/>
    </row>
    <row r="1054" ht="15.75" customHeight="1" s="2">
      <c r="A1054" s="181" t="inlineStr">
        <is>
          <t>GROSS TOTAL</t>
        </is>
      </c>
      <c r="B1054" s="184" t="n">
        <v>172282.33</v>
      </c>
      <c r="C1054" s="215" t="n">
        <v>173404</v>
      </c>
      <c r="D1054" s="184" t="n">
        <v>190681.87</v>
      </c>
      <c r="E1054" s="184" t="n">
        <v>214179.7</v>
      </c>
      <c r="F1054" s="215" t="n">
        <v>159516</v>
      </c>
      <c r="G1054" s="184" t="n"/>
      <c r="H1054" s="184" t="n">
        <v>191347.46</v>
      </c>
      <c r="I1054" s="215" t="n"/>
      <c r="J1054" s="185" t="n"/>
      <c r="K1054" s="299" t="n"/>
      <c r="L1054" s="297" t="n"/>
    </row>
    <row r="1055" ht="15.75" customHeight="1" s="2">
      <c r="A1055" s="187" t="inlineStr">
        <is>
          <t>NETT  TOTAL</t>
        </is>
      </c>
      <c r="B1055" s="32">
        <f>B1054/1.1</f>
        <v/>
      </c>
      <c r="C1055" s="32">
        <f>C1054/1.1</f>
        <v/>
      </c>
      <c r="D1055" s="32">
        <f>D1054/1.1</f>
        <v/>
      </c>
      <c r="E1055" s="32">
        <f>E1054/1.1</f>
        <v/>
      </c>
      <c r="F1055" s="32">
        <f>F1054/1.1</f>
        <v/>
      </c>
      <c r="G1055" s="32">
        <f>G1054/1.1</f>
        <v/>
      </c>
      <c r="H1055" s="32">
        <f>H1054/1.1</f>
        <v/>
      </c>
      <c r="I1055" s="32">
        <f>I1054/1.1</f>
        <v/>
      </c>
      <c r="J1055" s="32">
        <f>J1054/1.1</f>
        <v/>
      </c>
      <c r="K1055" s="298" t="n"/>
      <c r="L1055" s="297" t="n"/>
    </row>
    <row r="1056" ht="15.75" customHeight="1" s="2">
      <c r="A1056" s="188" t="inlineStr">
        <is>
          <t>Customers</t>
        </is>
      </c>
      <c r="B1056" s="10" t="n">
        <v>7922</v>
      </c>
      <c r="C1056" s="28" t="n">
        <v>8690</v>
      </c>
      <c r="D1056" s="10" t="n">
        <v>9031</v>
      </c>
      <c r="E1056" s="10" t="n">
        <v>9741</v>
      </c>
      <c r="F1056" s="28" t="n"/>
      <c r="G1056" s="10" t="n"/>
      <c r="H1056" s="10" t="n">
        <v>9000</v>
      </c>
      <c r="I1056" s="28" t="n"/>
      <c r="J1056" s="11" t="n"/>
      <c r="K1056" s="300" t="n"/>
      <c r="L1056" s="297" t="n"/>
    </row>
    <row r="1057" ht="15.75" customHeight="1" s="2">
      <c r="A1057" s="188" t="inlineStr">
        <is>
          <t>Average Customer Spend</t>
        </is>
      </c>
      <c r="B1057" s="32">
        <f>B1054/B1056</f>
        <v/>
      </c>
      <c r="C1057" s="32">
        <f>C1054/C1056</f>
        <v/>
      </c>
      <c r="D1057" s="32">
        <f>D1054/D1056</f>
        <v/>
      </c>
      <c r="E1057" s="32">
        <f>E1054/E1056</f>
        <v/>
      </c>
      <c r="F1057" s="32">
        <f>F1054/F1056</f>
        <v/>
      </c>
      <c r="G1057" s="32">
        <f>G1054/G1056</f>
        <v/>
      </c>
      <c r="H1057" s="32">
        <f>H1054/H1056</f>
        <v/>
      </c>
      <c r="I1057" s="32">
        <f>I1054/I1056</f>
        <v/>
      </c>
      <c r="J1057" s="32">
        <f>J1054/J1056</f>
        <v/>
      </c>
      <c r="K1057" s="298" t="n"/>
      <c r="L1057" s="297" t="n"/>
    </row>
    <row r="1058" ht="15.75" customHeight="1" s="2">
      <c r="A1058" s="188" t="inlineStr">
        <is>
          <t>Wage % to Gross total</t>
        </is>
      </c>
      <c r="B1058" s="32">
        <f>(B1061*B1062)/B1054</f>
        <v/>
      </c>
      <c r="C1058" s="32">
        <f>(C1061*C1062)/C1054</f>
        <v/>
      </c>
      <c r="D1058" s="32" t="n">
        <v>0.3188</v>
      </c>
      <c r="E1058" s="32">
        <f>(E1061*E1062)/E1054</f>
        <v/>
      </c>
      <c r="F1058" s="39">
        <f>(F1061*F1062)/F1054</f>
        <v/>
      </c>
      <c r="G1058" s="291">
        <f>(G1061*G1062)/G1054</f>
        <v/>
      </c>
      <c r="H1058" s="32">
        <f>(H1061*H1062)/H1054</f>
        <v/>
      </c>
      <c r="I1058" s="32">
        <f>(I1061*I1062)/I1054</f>
        <v/>
      </c>
      <c r="J1058" s="39">
        <f>(J1061*J1062)/J1054</f>
        <v/>
      </c>
      <c r="K1058" s="299" t="n"/>
      <c r="L1058" s="297" t="n"/>
    </row>
    <row r="1059" ht="15.75" customHeight="1" s="2">
      <c r="A1059" s="188" t="inlineStr">
        <is>
          <t>Wage % to Nett Total</t>
        </is>
      </c>
      <c r="B1059" s="32">
        <f>(B1061*B1062)/B1055</f>
        <v/>
      </c>
      <c r="C1059" s="32">
        <f>(C1061*C1062)/C1055</f>
        <v/>
      </c>
      <c r="D1059" s="32" t="n">
        <v>0.3027</v>
      </c>
      <c r="E1059" s="32">
        <f>(E1061*E1062)/E1055</f>
        <v/>
      </c>
      <c r="F1059" s="39">
        <f>(F1061*F1062)/F1055</f>
        <v/>
      </c>
      <c r="G1059" s="291">
        <f>(G1061*G1062)/G1055</f>
        <v/>
      </c>
      <c r="H1059" s="32">
        <f>(H1061*H1062)/H1055</f>
        <v/>
      </c>
      <c r="I1059" s="32">
        <f>(I1061*I1062)/I1055</f>
        <v/>
      </c>
      <c r="J1059" s="39">
        <f>(J1061*J1062)/J1055</f>
        <v/>
      </c>
      <c r="K1059" s="299" t="n"/>
      <c r="L1059" s="297" t="n"/>
    </row>
    <row r="1060" ht="15.75" customHeight="1" s="2">
      <c r="A1060" s="188" t="inlineStr">
        <is>
          <t>Productivity</t>
        </is>
      </c>
      <c r="B1060" s="32">
        <f>B1056/B1062</f>
        <v/>
      </c>
      <c r="C1060" s="32">
        <f>C1056/C1062</f>
        <v/>
      </c>
      <c r="D1060" s="32">
        <f>D1056/D1062</f>
        <v/>
      </c>
      <c r="E1060" s="32">
        <f>E1056/E1062</f>
        <v/>
      </c>
      <c r="F1060" s="32">
        <f>F1056/F1062</f>
        <v/>
      </c>
      <c r="G1060" s="32">
        <f>G1056/G1062</f>
        <v/>
      </c>
      <c r="H1060" s="32">
        <f>H1056/H1062</f>
        <v/>
      </c>
      <c r="I1060" s="32">
        <f>I1056/I1062</f>
        <v/>
      </c>
      <c r="J1060" s="32">
        <f>J1056/J1062</f>
        <v/>
      </c>
      <c r="K1060" s="298" t="n"/>
      <c r="L1060" s="297" t="n"/>
    </row>
    <row r="1061" ht="15.75" customHeight="1" s="2">
      <c r="A1061" s="188" t="inlineStr">
        <is>
          <t>Average Hourly Rate</t>
        </is>
      </c>
      <c r="B1061" s="32" t="n">
        <v>32.6</v>
      </c>
      <c r="C1061" s="32" t="n">
        <v>34</v>
      </c>
      <c r="D1061" s="32" t="n">
        <v>34</v>
      </c>
      <c r="E1061" s="32" t="n">
        <v>32.99</v>
      </c>
      <c r="F1061" s="28" t="n">
        <v>34</v>
      </c>
      <c r="G1061" s="32" t="n"/>
      <c r="H1061" s="32" t="n">
        <v>33.01</v>
      </c>
      <c r="I1061" s="28" t="n">
        <v>34</v>
      </c>
      <c r="J1061" s="33" t="n"/>
      <c r="K1061" s="300" t="n"/>
      <c r="L1061" s="297" t="n"/>
    </row>
    <row r="1062" ht="15.75" customHeight="1" s="2">
      <c r="A1062" s="188" t="inlineStr">
        <is>
          <t>Total hours for productivity</t>
        </is>
      </c>
      <c r="B1062" s="32" t="n">
        <v>1503.75</v>
      </c>
      <c r="C1062" s="189" t="n">
        <v>1603.5</v>
      </c>
      <c r="D1062" s="32" t="n"/>
      <c r="E1062" s="32" t="n">
        <v>1761.25</v>
      </c>
      <c r="F1062" s="189" t="n">
        <v>1450</v>
      </c>
      <c r="G1062" s="32" t="n"/>
      <c r="H1062" s="32" t="n">
        <v>1624.75</v>
      </c>
      <c r="I1062" s="189" t="n"/>
      <c r="J1062" s="33" t="n"/>
      <c r="K1062" s="300" t="n"/>
      <c r="L1062" s="297" t="n"/>
    </row>
    <row r="1063" ht="15.75" customHeight="1" s="2">
      <c r="A1063" s="188" t="inlineStr">
        <is>
          <t>Training Hours used</t>
        </is>
      </c>
      <c r="B1063" s="32" t="n">
        <v>112.5</v>
      </c>
      <c r="C1063" s="28" t="n">
        <v>0</v>
      </c>
      <c r="D1063" s="32" t="n"/>
      <c r="E1063" s="32" t="n">
        <v>70.5</v>
      </c>
      <c r="F1063" s="28" t="n"/>
      <c r="G1063" s="32" t="n"/>
      <c r="H1063" s="32" t="n">
        <v>112.5</v>
      </c>
      <c r="I1063" s="28" t="n"/>
      <c r="J1063" s="39" t="n"/>
      <c r="K1063" s="299" t="n"/>
      <c r="L1063" s="297" t="n"/>
    </row>
    <row r="1064" ht="15.75" customHeight="1" s="2" thickBot="1">
      <c r="A1064" s="193" t="inlineStr">
        <is>
          <t>Number of hours used to cover sick leave</t>
        </is>
      </c>
      <c r="B1064" s="34" t="n">
        <v>26</v>
      </c>
      <c r="C1064" s="41" t="n"/>
      <c r="D1064" s="34" t="n"/>
      <c r="E1064" s="34" t="n"/>
      <c r="F1064" s="41" t="n"/>
      <c r="G1064" s="34" t="n"/>
      <c r="H1064" s="34" t="n">
        <v>29</v>
      </c>
      <c r="I1064" s="41" t="n"/>
      <c r="J1064" s="233" t="n"/>
      <c r="K1064" s="299" t="n"/>
      <c r="L1064" s="297" t="n"/>
    </row>
    <row r="1065" ht="15.75" customHeight="1" s="2" thickBot="1">
      <c r="A1065" s="195" t="inlineStr">
        <is>
          <t>Minimum HOURS</t>
        </is>
      </c>
      <c r="B1065" s="196" t="inlineStr">
        <is>
          <t xml:space="preserve">Kitchen </t>
        </is>
      </c>
      <c r="C1065" s="16" t="n">
        <v>640</v>
      </c>
      <c r="D1065" s="35" t="n"/>
      <c r="E1065" s="292" t="n"/>
      <c r="F1065" s="16" t="n">
        <v>640</v>
      </c>
      <c r="G1065" s="36" t="n"/>
      <c r="H1065" s="301" t="n"/>
      <c r="I1065" s="16" t="n"/>
      <c r="J1065" s="35" t="n"/>
      <c r="K1065" s="298" t="n"/>
      <c r="L1065" s="297" t="n"/>
    </row>
    <row r="1066" ht="15.75" customHeight="1" s="2" thickBot="1">
      <c r="A1066" s="197" t="n"/>
      <c r="B1066" s="198" t="inlineStr">
        <is>
          <t xml:space="preserve">Floor </t>
        </is>
      </c>
      <c r="C1066" s="18" t="n">
        <v>880</v>
      </c>
      <c r="D1066" s="35" t="n"/>
      <c r="E1066" s="26" t="n"/>
      <c r="F1066" s="18" t="n">
        <v>880</v>
      </c>
      <c r="G1066" s="234" t="n"/>
      <c r="H1066" s="31" t="n"/>
      <c r="I1066" s="18" t="n"/>
      <c r="J1066" s="35" t="n"/>
      <c r="K1066" s="298" t="n"/>
      <c r="L1066" s="297" t="n"/>
    </row>
    <row r="1067" ht="15.75" customHeight="1" s="2" thickBot="1">
      <c r="A1067" s="197" t="n"/>
      <c r="B1067" s="199" t="inlineStr">
        <is>
          <t>TOTAL</t>
        </is>
      </c>
      <c r="C1067" s="42">
        <f>SUM(C1065:C1066)</f>
        <v/>
      </c>
      <c r="D1067" s="35">
        <f>SUM(D1065:D1066)</f>
        <v/>
      </c>
      <c r="E1067" s="199" t="inlineStr">
        <is>
          <t>TOTAL</t>
        </is>
      </c>
      <c r="F1067" s="42">
        <f>SUM(F1065:F1066)</f>
        <v/>
      </c>
      <c r="G1067" s="35">
        <f>SUM(G1065:G1066)</f>
        <v/>
      </c>
      <c r="H1067" s="199" t="inlineStr">
        <is>
          <t>TOTAL</t>
        </is>
      </c>
      <c r="I1067" s="42">
        <f>SUM(I1065:I1066)</f>
        <v/>
      </c>
      <c r="J1067" s="35">
        <f>SUM(J1065:J1066)</f>
        <v/>
      </c>
      <c r="K1067" s="298" t="n"/>
      <c r="L1067" s="297" t="n"/>
    </row>
    <row r="1068" ht="15.6" customHeight="1" s="2">
      <c r="A1068" s="294" t="n"/>
      <c r="B1068" s="302" t="n"/>
      <c r="C1068" s="302" t="n"/>
      <c r="D1068" s="302" t="n"/>
      <c r="E1068" s="302" t="n"/>
      <c r="F1068" s="302" t="n"/>
      <c r="G1068" s="302" t="n"/>
      <c r="H1068" s="302" t="n"/>
      <c r="I1068" s="302" t="n"/>
      <c r="J1068" s="302" t="n"/>
      <c r="K1068" s="300" t="n"/>
      <c r="L1068" s="297" t="n"/>
    </row>
    <row r="1069" ht="15" customHeight="1" s="2">
      <c r="A1069" s="296" t="n"/>
      <c r="B1069" s="300" t="n"/>
      <c r="C1069" s="300" t="n"/>
      <c r="D1069" s="300" t="n"/>
      <c r="E1069" s="300" t="n"/>
      <c r="F1069" s="300" t="n"/>
      <c r="G1069" s="300" t="n"/>
      <c r="H1069" s="300" t="n"/>
      <c r="I1069" s="300" t="n"/>
      <c r="J1069" s="300" t="n"/>
      <c r="K1069" s="300" t="n"/>
      <c r="L1069" s="297" t="n"/>
    </row>
    <row r="1070" ht="15" customHeight="1" s="2">
      <c r="A1070" s="296" t="n"/>
      <c r="B1070" s="300" t="n"/>
      <c r="C1070" s="300" t="n"/>
      <c r="D1070" s="300" t="n"/>
      <c r="E1070" s="300" t="n"/>
      <c r="F1070" s="300" t="n"/>
      <c r="G1070" s="300" t="n"/>
      <c r="H1070" s="300" t="n"/>
      <c r="I1070" s="300" t="n"/>
      <c r="J1070" s="300" t="n"/>
      <c r="K1070" s="300" t="n"/>
      <c r="L1070" s="297" t="n"/>
    </row>
    <row r="1071" ht="15" customHeight="1" s="2">
      <c r="A1071" s="303" t="n"/>
      <c r="B1071" s="300" t="n"/>
      <c r="C1071" s="300" t="n"/>
      <c r="D1071" s="304" t="n"/>
      <c r="E1071" s="300" t="n"/>
      <c r="F1071" s="300" t="n"/>
      <c r="G1071" s="304" t="n"/>
      <c r="H1071" s="300" t="n"/>
      <c r="I1071" s="300" t="n"/>
      <c r="J1071" s="304" t="n"/>
      <c r="K1071" s="304" t="n"/>
      <c r="L1071" s="305" t="n"/>
    </row>
    <row r="1072" ht="18" customHeight="1" s="2" thickBot="1">
      <c r="A1072" s="238" t="n"/>
      <c r="B1072" s="696" t="n">
        <v>43164</v>
      </c>
      <c r="C1072" s="697" t="n">
        <v>43528</v>
      </c>
      <c r="D1072" s="698" t="n"/>
      <c r="E1072" s="696" t="n">
        <v>43171</v>
      </c>
      <c r="F1072" s="699" t="n">
        <v>43535</v>
      </c>
      <c r="G1072" s="698" t="n"/>
      <c r="H1072" s="696" t="n">
        <v>43178</v>
      </c>
      <c r="I1072" s="699" t="n">
        <v>43542</v>
      </c>
      <c r="J1072" s="701" t="n"/>
      <c r="K1072" s="166" t="n"/>
      <c r="L1072" s="166" t="n"/>
    </row>
    <row r="1073" ht="17.85" customHeight="1" s="2" thickBot="1">
      <c r="A1073" s="176" t="n"/>
      <c r="B1073" s="177" t="inlineStr">
        <is>
          <t>Last Year</t>
        </is>
      </c>
      <c r="C1073" s="178" t="inlineStr">
        <is>
          <t>Projected</t>
        </is>
      </c>
      <c r="D1073" s="306" t="inlineStr">
        <is>
          <t>Actual</t>
        </is>
      </c>
      <c r="E1073" s="177" t="inlineStr">
        <is>
          <t>Last Year</t>
        </is>
      </c>
      <c r="F1073" s="178" t="inlineStr">
        <is>
          <t>Projected</t>
        </is>
      </c>
      <c r="G1073" s="306" t="inlineStr">
        <is>
          <t>Actual</t>
        </is>
      </c>
      <c r="H1073" s="177" t="inlineStr">
        <is>
          <t>Last Year</t>
        </is>
      </c>
      <c r="I1073" s="178" t="inlineStr">
        <is>
          <t>Projected</t>
        </is>
      </c>
      <c r="J1073" s="306" t="inlineStr">
        <is>
          <t>Actual</t>
        </is>
      </c>
      <c r="K1073" s="180" t="n"/>
      <c r="L1073" s="166" t="n"/>
    </row>
    <row r="1074" ht="18" customHeight="1" s="2">
      <c r="A1074" s="181" t="inlineStr">
        <is>
          <t>GROSS TOTAL</t>
        </is>
      </c>
      <c r="B1074" s="231" t="n">
        <v>182756</v>
      </c>
      <c r="C1074" s="231" t="n">
        <v>130174</v>
      </c>
      <c r="D1074" s="231" t="n">
        <v>131326</v>
      </c>
      <c r="E1074" s="231" t="n">
        <v>146890</v>
      </c>
      <c r="F1074" s="231" t="n">
        <v>140118</v>
      </c>
      <c r="G1074" s="231" t="n">
        <v>142681</v>
      </c>
      <c r="H1074" s="231" t="n">
        <v>146890</v>
      </c>
      <c r="I1074" s="231" t="n">
        <v>144622</v>
      </c>
      <c r="J1074" s="232" t="n">
        <v>137661.27</v>
      </c>
      <c r="K1074" s="186" t="n"/>
      <c r="L1074" s="166" t="n"/>
    </row>
    <row r="1075" ht="17.45" customHeight="1" s="2">
      <c r="A1075" s="187" t="inlineStr">
        <is>
          <t>NETT  TOTAL</t>
        </is>
      </c>
      <c r="B1075" s="39">
        <f>B1074/1.1</f>
        <v/>
      </c>
      <c r="C1075" s="9">
        <f>C1074/1.1</f>
        <v/>
      </c>
      <c r="D1075" s="43">
        <f>D1074/1.1</f>
        <v/>
      </c>
      <c r="E1075" s="39">
        <f>E1074/1.1</f>
        <v/>
      </c>
      <c r="F1075" s="9">
        <f>F1074/1.1</f>
        <v/>
      </c>
      <c r="G1075" s="43">
        <f>G1074/1.1</f>
        <v/>
      </c>
      <c r="H1075" s="39">
        <f>H1074/1.1</f>
        <v/>
      </c>
      <c r="I1075" s="9">
        <f>I1074/1.1</f>
        <v/>
      </c>
      <c r="J1075" s="307">
        <f>J1074/1.1</f>
        <v/>
      </c>
      <c r="K1075" s="186" t="n"/>
      <c r="L1075" s="166" t="n"/>
    </row>
    <row r="1076" ht="17.45" customHeight="1" s="2">
      <c r="A1076" s="188" t="inlineStr">
        <is>
          <t>Customers</t>
        </is>
      </c>
      <c r="B1076" s="32" t="n">
        <v>8340</v>
      </c>
      <c r="C1076" s="32">
        <f>2395+3165+880</f>
        <v/>
      </c>
      <c r="D1076" s="32" t="n">
        <v>6370</v>
      </c>
      <c r="E1076" s="32" t="n">
        <v>7138</v>
      </c>
      <c r="F1076" s="32" t="n">
        <v>6800</v>
      </c>
      <c r="G1076" s="32" t="n">
        <v>6891</v>
      </c>
      <c r="H1076" s="32" t="n">
        <v>7653</v>
      </c>
      <c r="I1076" s="32" t="n">
        <v>7055</v>
      </c>
      <c r="J1076" s="33" t="n">
        <v>6785</v>
      </c>
      <c r="K1076" s="171" t="n"/>
      <c r="L1076" s="166" t="n"/>
    </row>
    <row r="1077" ht="17.45" customHeight="1" s="2">
      <c r="A1077" s="188" t="inlineStr">
        <is>
          <t>Average Customer Spend</t>
        </is>
      </c>
      <c r="B1077" s="39">
        <f>B1074/B1076</f>
        <v/>
      </c>
      <c r="C1077" s="9">
        <f>C1074/C1076</f>
        <v/>
      </c>
      <c r="D1077" s="43">
        <f>D1074/D1076</f>
        <v/>
      </c>
      <c r="E1077" s="39">
        <f>E1074/E1076</f>
        <v/>
      </c>
      <c r="F1077" s="9">
        <f>F1074/F1076</f>
        <v/>
      </c>
      <c r="G1077" s="43">
        <f>G1074/G1076</f>
        <v/>
      </c>
      <c r="H1077" s="39">
        <f>H1074/H1076</f>
        <v/>
      </c>
      <c r="I1077" s="9">
        <f>I1074/I1076</f>
        <v/>
      </c>
      <c r="J1077" s="44">
        <f>J1074/J1076</f>
        <v/>
      </c>
      <c r="K1077" s="171" t="n"/>
      <c r="L1077" s="166" t="n"/>
    </row>
    <row r="1078" ht="17.45" customHeight="1" s="2">
      <c r="A1078" s="191" t="inlineStr">
        <is>
          <t>Wage % to Gross total</t>
        </is>
      </c>
      <c r="B1078" s="266">
        <f>(B1081*B1082)/B1074</f>
        <v/>
      </c>
      <c r="C1078" s="9">
        <f>(C1081*C1082)/C1074</f>
        <v/>
      </c>
      <c r="D1078" s="307">
        <f>(D1081*D1082)/D1074</f>
        <v/>
      </c>
      <c r="E1078" s="266">
        <f>(E1081*E1082)/E1074</f>
        <v/>
      </c>
      <c r="F1078" s="9">
        <f>(F1081*F1082)/F1074</f>
        <v/>
      </c>
      <c r="G1078" s="307" t="n">
        <v>0.346</v>
      </c>
      <c r="H1078" s="266">
        <f>(H1081*H1082)/H1074</f>
        <v/>
      </c>
      <c r="I1078" s="9">
        <f>(I1081*I1082)/I1074</f>
        <v/>
      </c>
      <c r="J1078" s="44">
        <f>(J1081*J1082)/J1074</f>
        <v/>
      </c>
      <c r="K1078" s="171" t="n"/>
      <c r="L1078" s="166" t="n"/>
    </row>
    <row r="1079" ht="17.45" customHeight="1" s="2">
      <c r="A1079" s="191" t="inlineStr">
        <is>
          <t>Wage % to Nett Total</t>
        </is>
      </c>
      <c r="B1079" s="266">
        <f>(B1081*B1082)/B1075</f>
        <v/>
      </c>
      <c r="C1079" s="9">
        <f>(C1081*C1082)/C1075</f>
        <v/>
      </c>
      <c r="D1079" s="307">
        <f>(D1081*D1082)/D1075</f>
        <v/>
      </c>
      <c r="E1079" s="266">
        <f>(E1081*E1082)/E1075</f>
        <v/>
      </c>
      <c r="F1079" s="9">
        <f>(F1081*F1082)/F1075</f>
        <v/>
      </c>
      <c r="G1079" s="307" t="n">
        <v>0.3806</v>
      </c>
      <c r="H1079" s="266">
        <f>(H1081*H1082)/H1075</f>
        <v/>
      </c>
      <c r="I1079" s="9">
        <f>(I1081*I1082)/I1075</f>
        <v/>
      </c>
      <c r="J1079" s="44">
        <f>(J1081*J1082)/J1075</f>
        <v/>
      </c>
      <c r="K1079" s="171" t="n"/>
      <c r="L1079" s="166" t="n"/>
    </row>
    <row r="1080" ht="17.45" customHeight="1" s="2">
      <c r="A1080" s="188" t="inlineStr">
        <is>
          <t>Productivity</t>
        </is>
      </c>
      <c r="B1080" s="39">
        <f>B1076/B1082</f>
        <v/>
      </c>
      <c r="C1080" s="9">
        <f>C1076/C1082</f>
        <v/>
      </c>
      <c r="D1080" s="43">
        <f>D1076/D1082</f>
        <v/>
      </c>
      <c r="E1080" s="39">
        <f>E1076/E1082</f>
        <v/>
      </c>
      <c r="F1080" s="9">
        <f>F1076/F1082</f>
        <v/>
      </c>
      <c r="G1080" s="43" t="n">
        <v>4.72</v>
      </c>
      <c r="H1080" s="39">
        <f>H1076/H1082</f>
        <v/>
      </c>
      <c r="I1080" s="9">
        <f>I1076/I1082</f>
        <v/>
      </c>
      <c r="J1080" s="44">
        <f>J1076/J1082</f>
        <v/>
      </c>
      <c r="K1080" s="171" t="n"/>
      <c r="L1080" s="166" t="n"/>
    </row>
    <row r="1081" ht="17.45" customHeight="1" s="2">
      <c r="A1081" s="188" t="inlineStr">
        <is>
          <t>Average Hourly Rate</t>
        </is>
      </c>
      <c r="B1081" s="32" t="n">
        <v>32</v>
      </c>
      <c r="C1081" s="189" t="n">
        <v>32</v>
      </c>
      <c r="D1081" s="43" t="n">
        <v>34.23</v>
      </c>
      <c r="E1081" s="32" t="n">
        <v>33.59</v>
      </c>
      <c r="F1081" s="189" t="n">
        <v>32</v>
      </c>
      <c r="G1081" s="43" t="n">
        <v>33.81</v>
      </c>
      <c r="H1081" s="32" t="n">
        <v>33.86</v>
      </c>
      <c r="I1081" s="189" t="n">
        <v>33</v>
      </c>
      <c r="J1081" s="44" t="n">
        <v>33.99</v>
      </c>
      <c r="K1081" s="171" t="n"/>
      <c r="L1081" s="166" t="n"/>
    </row>
    <row r="1082" ht="17.45" customHeight="1" s="2">
      <c r="A1082" s="188" t="inlineStr">
        <is>
          <t>Total hours for productivity</t>
        </is>
      </c>
      <c r="B1082" s="32" t="n">
        <v>1664</v>
      </c>
      <c r="C1082" s="189">
        <f>786.5+642</f>
        <v/>
      </c>
      <c r="D1082" s="43" t="n">
        <v>1361</v>
      </c>
      <c r="E1082" s="32" t="n">
        <v>1458.25</v>
      </c>
      <c r="F1082" s="189">
        <f>801.5+677</f>
        <v/>
      </c>
      <c r="G1082" s="43" t="n">
        <v>1460</v>
      </c>
      <c r="H1082" s="32" t="n">
        <v>1491</v>
      </c>
      <c r="I1082" s="189" t="n">
        <v>1365</v>
      </c>
      <c r="J1082" s="44" t="n">
        <v>1368.25</v>
      </c>
      <c r="K1082" s="171" t="n"/>
      <c r="L1082" s="166" t="n"/>
    </row>
    <row r="1083" ht="17.45" customHeight="1" s="2">
      <c r="A1083" s="188" t="inlineStr">
        <is>
          <t>Training Hours used</t>
        </is>
      </c>
      <c r="B1083" s="32" t="n"/>
      <c r="C1083" s="189" t="n"/>
      <c r="D1083" s="43" t="n"/>
      <c r="E1083" s="32" t="n">
        <v>88.5</v>
      </c>
      <c r="F1083" s="189" t="n"/>
      <c r="G1083" s="43" t="n"/>
      <c r="H1083" s="32" t="n">
        <v>75</v>
      </c>
      <c r="I1083" s="189" t="n"/>
      <c r="J1083" s="307" t="n"/>
      <c r="K1083" s="186" t="n"/>
      <c r="L1083" s="166" t="n"/>
    </row>
    <row r="1084" ht="18" customHeight="1" s="2" thickBot="1">
      <c r="A1084" s="193" t="inlineStr">
        <is>
          <t>Number of hours used to cover sick leave</t>
        </is>
      </c>
      <c r="B1084" s="34" t="n"/>
      <c r="C1084" s="14" t="n"/>
      <c r="D1084" s="45" t="n"/>
      <c r="E1084" s="34" t="n">
        <v>20</v>
      </c>
      <c r="F1084" s="194" t="n"/>
      <c r="G1084" s="45" t="n"/>
      <c r="H1084" s="34" t="n">
        <v>30.5</v>
      </c>
      <c r="I1084" s="194" t="n"/>
      <c r="J1084" s="308" t="n"/>
      <c r="K1084" s="186" t="n"/>
      <c r="L1084" s="166" t="n"/>
    </row>
    <row r="1085" ht="15.95" customHeight="1" s="2" thickBot="1">
      <c r="A1085" s="195" t="inlineStr">
        <is>
          <t>Minimum HOURS</t>
        </is>
      </c>
      <c r="B1085" s="196" t="inlineStr">
        <is>
          <t xml:space="preserve">Kitchen </t>
        </is>
      </c>
      <c r="C1085" s="16" t="n">
        <v>595</v>
      </c>
      <c r="D1085" s="46" t="n"/>
      <c r="E1085" s="196" t="inlineStr">
        <is>
          <t xml:space="preserve">Kitchen </t>
        </is>
      </c>
      <c r="F1085" s="16" t="n"/>
      <c r="G1085" s="47" t="n"/>
      <c r="H1085" s="196" t="inlineStr">
        <is>
          <t xml:space="preserve">Kitchen </t>
        </is>
      </c>
      <c r="I1085" s="16" t="n"/>
      <c r="J1085" s="46" t="n"/>
      <c r="K1085" s="180" t="n"/>
      <c r="L1085" s="166" t="n"/>
    </row>
    <row r="1086" ht="15.95" customHeight="1" s="2" thickBot="1">
      <c r="A1086" s="197" t="n"/>
      <c r="B1086" s="198" t="inlineStr">
        <is>
          <t xml:space="preserve">Floor </t>
        </is>
      </c>
      <c r="C1086" s="18" t="n">
        <v>808</v>
      </c>
      <c r="D1086" s="46" t="n"/>
      <c r="E1086" s="198" t="inlineStr">
        <is>
          <t xml:space="preserve">Floor </t>
        </is>
      </c>
      <c r="F1086" s="18" t="n"/>
      <c r="G1086" s="309" t="n"/>
      <c r="H1086" s="198" t="inlineStr">
        <is>
          <t xml:space="preserve">Floor </t>
        </is>
      </c>
      <c r="I1086" s="18" t="n"/>
      <c r="J1086" s="46" t="n"/>
      <c r="K1086" s="180" t="n"/>
      <c r="L1086" s="166" t="n"/>
    </row>
    <row r="1087" ht="15.95" customHeight="1" s="2" thickBot="1">
      <c r="A1087" s="197" t="n"/>
      <c r="B1087" s="199" t="inlineStr">
        <is>
          <t>TOTAL</t>
        </is>
      </c>
      <c r="C1087" s="42">
        <f>SUM(C1085:C1086)</f>
        <v/>
      </c>
      <c r="D1087" s="46">
        <f>SUM(D1085:D1086)</f>
        <v/>
      </c>
      <c r="E1087" s="199" t="inlineStr">
        <is>
          <t>TOTAL</t>
        </is>
      </c>
      <c r="F1087" s="42">
        <f>SUM(F1085:F1086)</f>
        <v/>
      </c>
      <c r="G1087" s="46">
        <f>SUM(G1085:G1086)</f>
        <v/>
      </c>
      <c r="H1087" s="199" t="inlineStr">
        <is>
          <t>TOTAL</t>
        </is>
      </c>
      <c r="I1087" s="42">
        <f>SUM(I1085:I1086)</f>
        <v/>
      </c>
      <c r="J1087" s="46">
        <f>SUM(J1085:J1086)</f>
        <v/>
      </c>
      <c r="K1087" s="180" t="n"/>
      <c r="L1087" s="166" t="n"/>
    </row>
    <row r="1088" ht="15.6" customHeight="1" s="2">
      <c r="A1088" s="310" t="n"/>
      <c r="B1088" s="311" t="n"/>
      <c r="C1088" s="311" t="n"/>
      <c r="D1088" s="311" t="n"/>
      <c r="E1088" s="311" t="n"/>
      <c r="F1088" s="311" t="n"/>
      <c r="G1088" s="311" t="n"/>
      <c r="H1088" s="311" t="n"/>
      <c r="I1088" s="311" t="n"/>
      <c r="J1088" s="311" t="n"/>
      <c r="K1088" s="312" t="n"/>
      <c r="L1088" s="313" t="n"/>
    </row>
    <row r="1089" ht="15" customHeight="1" s="2">
      <c r="A1089" s="314" t="n"/>
      <c r="B1089" s="315" t="n"/>
      <c r="C1089" s="316" t="n"/>
      <c r="D1089" s="316" t="n"/>
      <c r="E1089" s="315" t="n"/>
      <c r="F1089" s="316" t="n"/>
      <c r="G1089" s="316" t="n"/>
      <c r="H1089" s="315" t="n"/>
      <c r="I1089" s="316" t="n"/>
      <c r="J1089" s="316" t="n"/>
      <c r="K1089" s="315" t="n"/>
      <c r="L1089" s="317" t="n"/>
    </row>
    <row r="1090" ht="17.45" customHeight="1" s="2">
      <c r="A1090" s="202" t="n"/>
      <c r="B1090" s="287" t="n"/>
      <c r="C1090" s="273" t="inlineStr">
        <is>
          <t>Trainings</t>
        </is>
      </c>
      <c r="D1090" s="273" t="n"/>
      <c r="E1090" s="288" t="n"/>
      <c r="F1090" s="273" t="inlineStr">
        <is>
          <t>Trainings</t>
        </is>
      </c>
      <c r="G1090" s="273" t="n"/>
      <c r="H1090" s="288" t="n"/>
      <c r="I1090" s="273" t="inlineStr">
        <is>
          <t>Trainings</t>
        </is>
      </c>
      <c r="J1090" s="273" t="n"/>
      <c r="K1090" s="171" t="n"/>
      <c r="L1090" s="166" t="n"/>
    </row>
    <row r="1091" ht="17.45" customHeight="1" s="2">
      <c r="A1091" s="202" t="n"/>
      <c r="B1091" s="289" t="n"/>
      <c r="C1091" s="279" t="inlineStr">
        <is>
          <t>Kitchen</t>
        </is>
      </c>
      <c r="D1091" s="271" t="n"/>
      <c r="E1091" s="290" t="n"/>
      <c r="F1091" s="279" t="inlineStr">
        <is>
          <t>Kitchen</t>
        </is>
      </c>
      <c r="G1091" s="271" t="n"/>
      <c r="H1091" s="290" t="n"/>
      <c r="I1091" s="279" t="inlineStr">
        <is>
          <t>Kitchen</t>
        </is>
      </c>
      <c r="J1091" s="271" t="n"/>
      <c r="K1091" s="186" t="n"/>
      <c r="L1091" s="166" t="n"/>
    </row>
    <row r="1092" ht="17.45" customHeight="1" s="2">
      <c r="A1092" s="202" t="n"/>
      <c r="B1092" s="289" t="n"/>
      <c r="C1092" s="275" t="n"/>
      <c r="D1092" s="271" t="n">
        <v>19</v>
      </c>
      <c r="E1092" s="290" t="n"/>
      <c r="F1092" s="271" t="n"/>
      <c r="G1092" s="271" t="n"/>
      <c r="H1092" s="290" t="n"/>
      <c r="I1092" s="271" t="n"/>
      <c r="J1092" s="271" t="n">
        <v>21.5</v>
      </c>
      <c r="K1092" s="186" t="n"/>
      <c r="L1092" s="166" t="n"/>
    </row>
    <row r="1093" ht="17.45" customHeight="1" s="2">
      <c r="A1093" s="202" t="n"/>
      <c r="B1093" s="289" t="n"/>
      <c r="C1093" s="275" t="n"/>
      <c r="D1093" s="271" t="n"/>
      <c r="E1093" s="290" t="n"/>
      <c r="F1093" s="271" t="n"/>
      <c r="G1093" s="271" t="n"/>
      <c r="H1093" s="290" t="n"/>
      <c r="I1093" s="271" t="n"/>
      <c r="J1093" s="271" t="n"/>
      <c r="K1093" s="186" t="n"/>
      <c r="L1093" s="166" t="n"/>
    </row>
    <row r="1094" ht="17.45" customHeight="1" s="2">
      <c r="A1094" s="202" t="n"/>
      <c r="B1094" s="289" t="n"/>
      <c r="C1094" s="275" t="n"/>
      <c r="D1094" s="271" t="n"/>
      <c r="E1094" s="290" t="n"/>
      <c r="F1094" s="271" t="n"/>
      <c r="G1094" s="271" t="n"/>
      <c r="H1094" s="290" t="n"/>
      <c r="I1094" s="271" t="inlineStr">
        <is>
          <t xml:space="preserve">FIRE TRAINING </t>
        </is>
      </c>
      <c r="J1094" s="271" t="n">
        <v>12</v>
      </c>
      <c r="K1094" s="186" t="n"/>
      <c r="L1094" s="166" t="n"/>
    </row>
    <row r="1095" ht="17.45" customHeight="1" s="2">
      <c r="A1095" s="202" t="n"/>
      <c r="B1095" s="289" t="n"/>
      <c r="C1095" s="275" t="n"/>
      <c r="D1095" s="271" t="n"/>
      <c r="E1095" s="290" t="n"/>
      <c r="F1095" s="271" t="n"/>
      <c r="G1095" s="271" t="n"/>
      <c r="H1095" s="290" t="n"/>
      <c r="I1095" s="271" t="n"/>
      <c r="J1095" s="271" t="n"/>
      <c r="K1095" s="186" t="n"/>
      <c r="L1095" s="166" t="n"/>
    </row>
    <row r="1096" ht="17.45" customHeight="1" s="2">
      <c r="A1096" s="202" t="n"/>
      <c r="B1096" s="289" t="n"/>
      <c r="C1096" s="275" t="n"/>
      <c r="D1096" s="271" t="n"/>
      <c r="E1096" s="290" t="n"/>
      <c r="F1096" s="271" t="n"/>
      <c r="G1096" s="271" t="n"/>
      <c r="H1096" s="290" t="n"/>
      <c r="I1096" s="271" t="n"/>
      <c r="J1096" s="271" t="n"/>
      <c r="K1096" s="186" t="n"/>
      <c r="L1096" s="166" t="n"/>
    </row>
    <row r="1097" ht="17.45" customHeight="1" s="2">
      <c r="A1097" s="202" t="n"/>
      <c r="B1097" s="289" t="n"/>
      <c r="C1097" s="275" t="n"/>
      <c r="D1097" s="271" t="n"/>
      <c r="E1097" s="290" t="n"/>
      <c r="F1097" s="271" t="n"/>
      <c r="G1097" s="271" t="n"/>
      <c r="H1097" s="290" t="n"/>
      <c r="I1097" s="275" t="n"/>
      <c r="J1097" s="271" t="n"/>
      <c r="K1097" s="186" t="n"/>
      <c r="L1097" s="166" t="n"/>
    </row>
    <row r="1098" ht="17.45" customHeight="1" s="2">
      <c r="A1098" s="202" t="n"/>
      <c r="B1098" s="289" t="n"/>
      <c r="C1098" s="277" t="n"/>
      <c r="D1098" s="271" t="n"/>
      <c r="E1098" s="290" t="n"/>
      <c r="F1098" s="271" t="n"/>
      <c r="G1098" s="271" t="n"/>
      <c r="H1098" s="290" t="n"/>
      <c r="I1098" s="275" t="inlineStr">
        <is>
          <t>Floor</t>
        </is>
      </c>
      <c r="J1098" s="271" t="n"/>
      <c r="K1098" s="186" t="n"/>
      <c r="L1098" s="166" t="n"/>
    </row>
    <row r="1099" ht="17.45" customHeight="1" s="2">
      <c r="A1099" s="202" t="n"/>
      <c r="B1099" s="289" t="n"/>
      <c r="C1099" s="271" t="n"/>
      <c r="D1099" s="271" t="n"/>
      <c r="E1099" s="290" t="n"/>
      <c r="F1099" s="277" t="n"/>
      <c r="G1099" s="271" t="n"/>
      <c r="H1099" s="290" t="n"/>
      <c r="I1099" s="277" t="n"/>
      <c r="J1099" s="271" t="n"/>
      <c r="K1099" s="186" t="n"/>
      <c r="L1099" s="166" t="n"/>
    </row>
    <row r="1100" ht="17.45" customHeight="1" s="2">
      <c r="A1100" s="202" t="n"/>
      <c r="B1100" s="289" t="n"/>
      <c r="C1100" s="275" t="inlineStr">
        <is>
          <t>Floor</t>
        </is>
      </c>
      <c r="D1100" s="271" t="n"/>
      <c r="E1100" s="290" t="n"/>
      <c r="F1100" s="275" t="inlineStr">
        <is>
          <t>Floor</t>
        </is>
      </c>
      <c r="G1100" s="271" t="n"/>
      <c r="H1100" s="290" t="n"/>
      <c r="I1100" s="271" t="n"/>
      <c r="J1100" s="271" t="n"/>
      <c r="K1100" s="186" t="n"/>
      <c r="L1100" s="166" t="n"/>
    </row>
    <row r="1101" ht="17.45" customHeight="1" s="2">
      <c r="A1101" s="202" t="n"/>
      <c r="B1101" s="289" t="n"/>
      <c r="C1101" s="277" t="inlineStr">
        <is>
          <t>INDUCTION</t>
        </is>
      </c>
      <c r="D1101" s="271" t="n"/>
      <c r="E1101" s="290" t="n"/>
      <c r="F1101" s="277" t="inlineStr">
        <is>
          <t>T1 T2 T3</t>
        </is>
      </c>
      <c r="G1101" s="271" t="n"/>
      <c r="H1101" s="290" t="n"/>
      <c r="I1101" s="271" t="inlineStr">
        <is>
          <t xml:space="preserve">T4 T5 </t>
        </is>
      </c>
      <c r="J1101" s="271" t="n"/>
      <c r="K1101" s="186" t="n"/>
      <c r="L1101" s="166" t="n"/>
    </row>
    <row r="1102" ht="17.45" customHeight="1" s="2">
      <c r="A1102" s="202" t="n"/>
      <c r="B1102" s="289" t="n"/>
      <c r="C1102" s="277" t="inlineStr">
        <is>
          <t xml:space="preserve">Ella </t>
        </is>
      </c>
      <c r="D1102" s="271" t="n">
        <v>3</v>
      </c>
      <c r="E1102" s="290" t="n"/>
      <c r="F1102" s="277" t="inlineStr">
        <is>
          <t xml:space="preserve">SEGI </t>
        </is>
      </c>
      <c r="G1102" s="271" t="n">
        <v>15</v>
      </c>
      <c r="H1102" s="290" t="n"/>
      <c r="I1102" s="271" t="inlineStr">
        <is>
          <t>SEGI</t>
        </is>
      </c>
      <c r="J1102" s="271" t="n">
        <v>10</v>
      </c>
      <c r="K1102" s="186" t="n"/>
      <c r="L1102" s="166" t="n"/>
    </row>
    <row r="1103" ht="17.45" customHeight="1" s="2">
      <c r="A1103" s="202" t="n"/>
      <c r="B1103" s="289" t="n"/>
      <c r="C1103" s="271" t="inlineStr">
        <is>
          <t xml:space="preserve">Segi </t>
        </is>
      </c>
      <c r="D1103" s="271" t="n">
        <v>3</v>
      </c>
      <c r="E1103" s="290" t="n"/>
      <c r="F1103" s="271" t="inlineStr">
        <is>
          <t>ELLA</t>
        </is>
      </c>
      <c r="G1103" s="271" t="n">
        <v>15</v>
      </c>
      <c r="H1103" s="290" t="n"/>
      <c r="I1103" s="271" t="inlineStr">
        <is>
          <t>ELLA</t>
        </is>
      </c>
      <c r="J1103" s="271" t="n">
        <v>10</v>
      </c>
      <c r="K1103" s="186" t="n"/>
      <c r="L1103" s="166" t="n"/>
    </row>
    <row r="1104" ht="17.45" customHeight="1" s="2">
      <c r="A1104" s="202" t="n"/>
      <c r="B1104" s="289" t="n"/>
      <c r="C1104" s="277" t="n"/>
      <c r="D1104" s="271" t="n"/>
      <c r="E1104" s="290" t="n"/>
      <c r="F1104" s="271" t="n"/>
      <c r="G1104" s="271" t="n"/>
      <c r="H1104" s="290" t="n"/>
      <c r="I1104" s="271" t="n"/>
      <c r="J1104" s="271" t="n"/>
      <c r="K1104" s="186" t="n"/>
      <c r="L1104" s="166" t="n"/>
    </row>
    <row r="1105" ht="17.45" customHeight="1" s="2">
      <c r="A1105" s="202" t="n"/>
      <c r="B1105" s="289" t="n"/>
      <c r="C1105" s="271" t="n"/>
      <c r="D1105" s="271" t="n"/>
      <c r="E1105" s="290" t="n"/>
      <c r="F1105" s="271" t="n"/>
      <c r="G1105" s="271" t="n"/>
      <c r="H1105" s="290" t="n"/>
      <c r="I1105" s="271" t="n"/>
      <c r="J1105" s="271" t="n"/>
      <c r="K1105" s="186" t="n"/>
      <c r="L1105" s="166" t="n"/>
    </row>
    <row r="1106" ht="17.45" customHeight="1" s="2">
      <c r="A1106" s="202" t="n"/>
      <c r="B1106" s="289" t="n"/>
      <c r="C1106" s="280" t="inlineStr">
        <is>
          <t>TOTAL</t>
        </is>
      </c>
      <c r="D1106" s="280">
        <f>SUM(D1092:D1105)</f>
        <v/>
      </c>
      <c r="E1106" s="290" t="n"/>
      <c r="F1106" s="280" t="inlineStr">
        <is>
          <t>TOTAL</t>
        </is>
      </c>
      <c r="G1106" s="280">
        <f>SUM(G1092:G1105)</f>
        <v/>
      </c>
      <c r="H1106" s="290" t="n"/>
      <c r="I1106" s="280" t="inlineStr">
        <is>
          <t>TOTAL</t>
        </is>
      </c>
      <c r="J1106" s="280">
        <f>SUM(J1092:J1105)</f>
        <v/>
      </c>
      <c r="K1106" s="186" t="n"/>
      <c r="L1106" s="166" t="n"/>
    </row>
    <row r="1107" ht="15.75" customHeight="1" s="2" thickBot="1">
      <c r="A1107" s="294" t="n"/>
      <c r="B1107" s="318" t="n"/>
      <c r="C1107" s="319" t="n"/>
      <c r="D1107" s="319" t="n"/>
      <c r="E1107" s="318" t="n"/>
      <c r="F1107" s="319" t="n"/>
      <c r="G1107" s="320" t="n"/>
      <c r="H1107" s="318" t="n"/>
      <c r="I1107" s="319" t="n"/>
      <c r="J1107" s="319" t="n"/>
      <c r="K1107" s="318" t="n"/>
      <c r="L1107" s="295" t="n"/>
    </row>
    <row r="1108" ht="15.75" customHeight="1" s="2" thickBot="1"/>
    <row r="1109" ht="18" customHeight="1" s="2" thickBot="1">
      <c r="A1109" s="321" t="n"/>
      <c r="B1109" s="709" t="n"/>
      <c r="C1109" s="711" t="n">
        <v>43549</v>
      </c>
      <c r="D1109" s="712" t="n"/>
      <c r="E1109" s="713" t="n"/>
      <c r="F1109" s="714" t="n">
        <v>43556</v>
      </c>
      <c r="G1109" s="715" t="n"/>
      <c r="H1109" s="709" t="n"/>
      <c r="I1109" s="716" t="n">
        <v>43563</v>
      </c>
      <c r="J1109" s="717" t="n"/>
      <c r="K1109" s="166" t="n"/>
      <c r="L1109" s="166" t="n"/>
    </row>
    <row r="1110" ht="17.85" customHeight="1" s="2" thickBot="1">
      <c r="A1110" s="330" t="n"/>
      <c r="B1110" s="331" t="inlineStr">
        <is>
          <t>Last Year</t>
        </is>
      </c>
      <c r="C1110" s="332" t="inlineStr">
        <is>
          <t>Projected</t>
        </is>
      </c>
      <c r="D1110" s="333" t="inlineStr">
        <is>
          <t>Actual</t>
        </is>
      </c>
      <c r="E1110" s="331" t="inlineStr">
        <is>
          <t>Last Year</t>
        </is>
      </c>
      <c r="F1110" s="332" t="inlineStr">
        <is>
          <t>Projected</t>
        </is>
      </c>
      <c r="G1110" s="333" t="inlineStr">
        <is>
          <t>Actual</t>
        </is>
      </c>
      <c r="H1110" s="331" t="inlineStr">
        <is>
          <t>Last Year</t>
        </is>
      </c>
      <c r="I1110" s="332" t="inlineStr">
        <is>
          <t>Projected</t>
        </is>
      </c>
      <c r="J1110" s="333" t="inlineStr">
        <is>
          <t>Actual</t>
        </is>
      </c>
      <c r="K1110" s="180" t="n"/>
      <c r="L1110" s="166" t="n"/>
    </row>
    <row r="1111" ht="18" customHeight="1" s="2">
      <c r="A1111" s="334" t="inlineStr">
        <is>
          <t>GROSS TOTAL</t>
        </is>
      </c>
      <c r="B1111" s="335" t="n">
        <v>141351.82</v>
      </c>
      <c r="C1111" s="336" t="n">
        <v>134880</v>
      </c>
      <c r="D1111" s="336" t="n">
        <v>139162</v>
      </c>
      <c r="E1111" s="336" t="n">
        <v>224647.12</v>
      </c>
      <c r="F1111" s="336" t="n">
        <v>131780</v>
      </c>
      <c r="G1111" s="336" t="n">
        <v>133449.19</v>
      </c>
      <c r="H1111" s="335" t="n">
        <v>165011.26</v>
      </c>
      <c r="I1111" s="336" t="n">
        <v>132150</v>
      </c>
      <c r="J1111" s="337" t="n">
        <v>134028</v>
      </c>
      <c r="K1111" s="186" t="n"/>
      <c r="L1111" s="166" t="n"/>
    </row>
    <row r="1112" ht="17.45" customHeight="1" s="2">
      <c r="A1112" s="338" t="inlineStr">
        <is>
          <t>NETT  TOTAL</t>
        </is>
      </c>
      <c r="B1112" s="63">
        <f>B1111/1.1</f>
        <v/>
      </c>
      <c r="C1112" s="64">
        <f>C1111/1.1</f>
        <v/>
      </c>
      <c r="D1112" s="65">
        <f>D1111/1.1</f>
        <v/>
      </c>
      <c r="E1112" s="63" t="n">
        <v>204224.6545454545</v>
      </c>
      <c r="F1112" s="64">
        <f>F1111/1.1</f>
        <v/>
      </c>
      <c r="G1112" s="65">
        <f>G1111/1.1</f>
        <v/>
      </c>
      <c r="H1112" s="66">
        <f>H1111/1.1</f>
        <v/>
      </c>
      <c r="I1112" s="64">
        <f>I1111/1.1</f>
        <v/>
      </c>
      <c r="J1112" s="339">
        <f>J1111/1.1</f>
        <v/>
      </c>
      <c r="K1112" s="186" t="n"/>
      <c r="L1112" s="166" t="n"/>
    </row>
    <row r="1113" ht="17.45" customHeight="1" s="2">
      <c r="A1113" s="340" t="inlineStr">
        <is>
          <t>Customers</t>
        </is>
      </c>
      <c r="B1113" s="341" t="n">
        <v>6872</v>
      </c>
      <c r="C1113" s="66" t="n">
        <v>6690</v>
      </c>
      <c r="D1113" s="66" t="n">
        <v>6592</v>
      </c>
      <c r="E1113" s="66" t="n">
        <v>9649</v>
      </c>
      <c r="F1113" s="66">
        <f>6550</f>
        <v/>
      </c>
      <c r="G1113" s="66" t="n">
        <v>6503</v>
      </c>
      <c r="H1113" s="341" t="n">
        <v>7722</v>
      </c>
      <c r="I1113" s="66" t="n">
        <v>6515</v>
      </c>
      <c r="J1113" s="74" t="n">
        <v>6356</v>
      </c>
      <c r="K1113" s="171" t="n"/>
      <c r="L1113" s="166" t="n"/>
    </row>
    <row r="1114" ht="17.45" customHeight="1" s="2">
      <c r="A1114" s="340" t="inlineStr">
        <is>
          <t>Average Customer Spend</t>
        </is>
      </c>
      <c r="B1114" s="63">
        <f>B1111/B1113</f>
        <v/>
      </c>
      <c r="C1114" s="64">
        <f>C1111/C1113</f>
        <v/>
      </c>
      <c r="D1114" s="65">
        <f>D1111/D1113</f>
        <v/>
      </c>
      <c r="E1114" s="63" t="n">
        <v>23.28190693336097</v>
      </c>
      <c r="F1114" s="64">
        <f>F1111/F1113</f>
        <v/>
      </c>
      <c r="G1114" s="65">
        <f>G1111/G1113</f>
        <v/>
      </c>
      <c r="H1114" s="66">
        <f>H1111/H1113</f>
        <v/>
      </c>
      <c r="I1114" s="64">
        <f>I1111/I1113</f>
        <v/>
      </c>
      <c r="J1114" s="67">
        <f>J1111/J1113</f>
        <v/>
      </c>
      <c r="K1114" s="171" t="n"/>
      <c r="L1114" s="166" t="n"/>
    </row>
    <row r="1115" ht="17.45" customHeight="1" s="2">
      <c r="A1115" s="340" t="inlineStr">
        <is>
          <t>Wage % to Gross total</t>
        </is>
      </c>
      <c r="B1115" s="63">
        <f>(B1118*B1119)/B1111</f>
        <v/>
      </c>
      <c r="C1115" s="64">
        <f>(C1118*C1119)/C1111</f>
        <v/>
      </c>
      <c r="D1115" s="339">
        <f>(D1118*D1119)/D1111</f>
        <v/>
      </c>
      <c r="E1115" s="342" t="n">
        <v>0.3663842207280468</v>
      </c>
      <c r="F1115" s="64">
        <f>(F1118*F1119)/F1111</f>
        <v/>
      </c>
      <c r="G1115" s="339">
        <f>(G1118*G1119)/G1111</f>
        <v/>
      </c>
      <c r="H1115" s="63">
        <f>(H1118*H1119)/H1111</f>
        <v/>
      </c>
      <c r="I1115" s="64">
        <f>(I1118*I1119)/I1111</f>
        <v/>
      </c>
      <c r="J1115" s="67">
        <f>(J1118*J1119)/J1111</f>
        <v/>
      </c>
      <c r="K1115" s="171" t="n"/>
      <c r="L1115" s="166" t="n"/>
    </row>
    <row r="1116" ht="17.45" customHeight="1" s="2">
      <c r="A1116" s="340" t="inlineStr">
        <is>
          <t>Wage % to Nett Total</t>
        </is>
      </c>
      <c r="B1116" s="63">
        <f>(B1118*B1119)/B1112</f>
        <v/>
      </c>
      <c r="C1116" s="64">
        <f>(C1118*C1119)/C1112</f>
        <v/>
      </c>
      <c r="D1116" s="339">
        <f>(D1118*D1119)/D1112</f>
        <v/>
      </c>
      <c r="E1116" s="342" t="n">
        <v>0.4030226428008515</v>
      </c>
      <c r="F1116" s="64">
        <f>(F1118*F1119)/F1112</f>
        <v/>
      </c>
      <c r="G1116" s="339">
        <f>(G1118*G1119)/G1112</f>
        <v/>
      </c>
      <c r="H1116" s="63">
        <f>(H1118*H1119)/H1112</f>
        <v/>
      </c>
      <c r="I1116" s="64">
        <f>(I1118*I1119)/I1112</f>
        <v/>
      </c>
      <c r="J1116" s="67">
        <f>(J1118*J1119)/J1112</f>
        <v/>
      </c>
      <c r="K1116" s="171" t="n"/>
      <c r="L1116" s="166" t="n"/>
    </row>
    <row r="1117" ht="17.45" customHeight="1" s="2">
      <c r="A1117" s="340" t="inlineStr">
        <is>
          <t>Productivity</t>
        </is>
      </c>
      <c r="B1117" s="63">
        <f>B1113/B1119</f>
        <v/>
      </c>
      <c r="C1117" s="64">
        <f>C1113/C1119</f>
        <v/>
      </c>
      <c r="D1117" s="65">
        <f>D1113/D1119</f>
        <v/>
      </c>
      <c r="E1117" s="63" t="n">
        <v>5.242597120347732</v>
      </c>
      <c r="F1117" s="64">
        <f>F1113/F1119</f>
        <v/>
      </c>
      <c r="G1117" s="65">
        <f>G1113/G1119</f>
        <v/>
      </c>
      <c r="H1117" s="66">
        <f>H1113/H1119</f>
        <v/>
      </c>
      <c r="I1117" s="64">
        <f>I1113/I1119</f>
        <v/>
      </c>
      <c r="J1117" s="67" t="n">
        <v>5.06</v>
      </c>
      <c r="K1117" s="171" t="n"/>
      <c r="L1117" s="166" t="n"/>
    </row>
    <row r="1118" ht="17.45" customHeight="1" s="2">
      <c r="A1118" s="340" t="inlineStr">
        <is>
          <t>Average Hourly Rate</t>
        </is>
      </c>
      <c r="B1118" s="66" t="n">
        <v>35.47</v>
      </c>
      <c r="C1118" s="343" t="n">
        <v>32.38</v>
      </c>
      <c r="D1118" s="65" t="n">
        <v>35.2</v>
      </c>
      <c r="E1118" s="66" t="n">
        <v>44.72</v>
      </c>
      <c r="F1118" s="343" t="n">
        <v>32</v>
      </c>
      <c r="G1118" s="65" t="n">
        <v>33.31</v>
      </c>
      <c r="H1118" s="66" t="n">
        <v>34.42</v>
      </c>
      <c r="I1118" s="343" t="n">
        <v>33</v>
      </c>
      <c r="J1118" s="67" t="n">
        <v>34.36</v>
      </c>
      <c r="K1118" s="171" t="n"/>
      <c r="L1118" s="166" t="n"/>
    </row>
    <row r="1119" ht="17.45" customHeight="1" s="2">
      <c r="A1119" s="340" t="inlineStr">
        <is>
          <t>Total hours for productivity</t>
        </is>
      </c>
      <c r="B1119" s="66" t="n">
        <v>1464</v>
      </c>
      <c r="C1119" s="343">
        <f>723+630.5</f>
        <v/>
      </c>
      <c r="D1119" s="65" t="n">
        <v>1359.75</v>
      </c>
      <c r="E1119" s="66" t="n">
        <v>1840.5</v>
      </c>
      <c r="F1119" s="343">
        <f>735.5+623.5</f>
        <v/>
      </c>
      <c r="G1119" s="65" t="n">
        <v>1316.25</v>
      </c>
      <c r="H1119" s="66" t="n">
        <v>1484.5</v>
      </c>
      <c r="I1119" s="343">
        <f>655+709</f>
        <v/>
      </c>
      <c r="J1119" s="67" t="n">
        <v>1339.5</v>
      </c>
      <c r="K1119" s="171" t="n"/>
      <c r="L1119" s="166" t="n"/>
    </row>
    <row r="1120" ht="17.45" customHeight="1" s="2">
      <c r="A1120" s="340" t="inlineStr">
        <is>
          <t>Training Hours used</t>
        </is>
      </c>
      <c r="B1120" s="66" t="n">
        <v>103.25</v>
      </c>
      <c r="C1120" s="343" t="n"/>
      <c r="D1120" s="65" t="n"/>
      <c r="E1120" s="66" t="n"/>
      <c r="F1120" s="343" t="n"/>
      <c r="G1120" s="65" t="n"/>
      <c r="H1120" s="66" t="n">
        <v>39.5</v>
      </c>
      <c r="I1120" s="343" t="n"/>
      <c r="J1120" s="339" t="n"/>
      <c r="K1120" s="186" t="n"/>
      <c r="L1120" s="166" t="n"/>
    </row>
    <row r="1121" ht="18" customHeight="1" s="2" thickBot="1">
      <c r="A1121" s="344" t="inlineStr">
        <is>
          <t>Number of hours used to cover sick leave</t>
        </is>
      </c>
      <c r="B1121" s="345" t="n"/>
      <c r="C1121" s="68" t="n"/>
      <c r="D1121" s="69" t="n"/>
      <c r="E1121" s="346" t="n"/>
      <c r="F1121" s="345" t="n"/>
      <c r="G1121" s="69" t="n"/>
      <c r="H1121" s="346" t="n"/>
      <c r="I1121" s="345" t="n"/>
      <c r="J1121" s="347" t="n"/>
      <c r="K1121" s="186" t="n"/>
      <c r="L1121" s="166" t="n"/>
    </row>
    <row r="1122" ht="15.95" customHeight="1" s="2" thickBot="1">
      <c r="A1122" s="348" t="inlineStr">
        <is>
          <t>Minimum HOURS</t>
        </is>
      </c>
      <c r="B1122" s="349" t="inlineStr">
        <is>
          <t xml:space="preserve">Kitchen </t>
        </is>
      </c>
      <c r="C1122" s="70" t="n">
        <v>595</v>
      </c>
      <c r="D1122" s="71" t="n"/>
      <c r="E1122" s="349" t="n"/>
      <c r="F1122" s="70" t="n"/>
      <c r="G1122" s="72" t="n"/>
      <c r="H1122" s="349" t="inlineStr">
        <is>
          <t xml:space="preserve">Kitchen </t>
        </is>
      </c>
      <c r="I1122" s="70" t="n"/>
      <c r="J1122" s="71" t="n"/>
      <c r="K1122" s="180" t="n"/>
      <c r="L1122" s="166" t="n"/>
    </row>
    <row r="1123" ht="15.95" customHeight="1" s="2" thickBot="1">
      <c r="A1123" s="350" t="n"/>
      <c r="B1123" s="351" t="inlineStr">
        <is>
          <t xml:space="preserve">Floor </t>
        </is>
      </c>
      <c r="C1123" s="73" t="n">
        <v>750</v>
      </c>
      <c r="D1123" s="71" t="n"/>
      <c r="E1123" s="351" t="n"/>
      <c r="F1123" s="73" t="n"/>
      <c r="G1123" s="352" t="n"/>
      <c r="H1123" s="351" t="inlineStr">
        <is>
          <t xml:space="preserve">Floor </t>
        </is>
      </c>
      <c r="I1123" s="73" t="n"/>
      <c r="J1123" s="71" t="n"/>
      <c r="K1123" s="180" t="n"/>
      <c r="L1123" s="166" t="n"/>
    </row>
    <row r="1124" ht="15.95" customHeight="1" s="2" thickBot="1">
      <c r="A1124" s="350" t="n"/>
      <c r="B1124" s="199" t="inlineStr">
        <is>
          <t>TOTAL</t>
        </is>
      </c>
      <c r="C1124" s="353">
        <f>SUM(C1122:C1123)</f>
        <v/>
      </c>
      <c r="D1124" s="71">
        <f>SUM(D1122:D1123)</f>
        <v/>
      </c>
      <c r="E1124" s="199" t="inlineStr">
        <is>
          <t>0</t>
        </is>
      </c>
      <c r="F1124" s="353">
        <f>SUM(F1122:F1123)</f>
        <v/>
      </c>
      <c r="G1124" s="71">
        <f>SUM(G1122:G1123)</f>
        <v/>
      </c>
      <c r="H1124" s="199" t="inlineStr">
        <is>
          <t>TOTAL</t>
        </is>
      </c>
      <c r="I1124" s="353">
        <f>SUM(I1122:I1123)</f>
        <v/>
      </c>
      <c r="J1124" s="71">
        <f>SUM(J1122:J1123)</f>
        <v/>
      </c>
      <c r="K1124" s="180" t="n"/>
      <c r="L1124" s="166" t="n"/>
    </row>
    <row r="1125" ht="15.6" customHeight="1" s="2">
      <c r="A1125" s="310" t="n"/>
      <c r="B1125" s="311" t="n"/>
      <c r="C1125" s="311" t="n"/>
      <c r="D1125" s="311" t="n"/>
      <c r="E1125" s="311" t="n"/>
      <c r="F1125" s="311" t="n"/>
      <c r="G1125" s="311" t="n"/>
      <c r="H1125" s="311" t="n"/>
      <c r="I1125" s="311" t="n"/>
      <c r="J1125" s="311" t="n"/>
      <c r="K1125" s="312" t="n"/>
      <c r="L1125" s="313" t="n"/>
    </row>
    <row r="1126" ht="15" customHeight="1" s="2">
      <c r="A1126" s="314" t="n"/>
      <c r="B1126" s="315" t="n"/>
      <c r="C1126" s="316" t="n"/>
      <c r="D1126" s="316" t="n"/>
      <c r="E1126" s="315" t="n"/>
      <c r="F1126" s="316" t="n"/>
      <c r="G1126" s="316" t="n"/>
      <c r="H1126" s="315" t="n"/>
      <c r="I1126" s="316" t="n"/>
      <c r="J1126" s="316" t="n"/>
      <c r="K1126" s="315" t="n"/>
      <c r="L1126" s="317" t="n"/>
    </row>
    <row r="1127" ht="17.45" customHeight="1" s="2">
      <c r="A1127" s="354" t="n"/>
      <c r="B1127" s="355" t="n"/>
      <c r="C1127" s="356" t="inlineStr">
        <is>
          <t>Trainings</t>
        </is>
      </c>
      <c r="D1127" s="356" t="n"/>
      <c r="E1127" s="357" t="n"/>
      <c r="F1127" s="356" t="inlineStr">
        <is>
          <t>Trainings</t>
        </is>
      </c>
      <c r="G1127" s="356" t="n"/>
      <c r="H1127" s="357" t="n"/>
      <c r="I1127" s="356" t="inlineStr">
        <is>
          <t>Trainings</t>
        </is>
      </c>
      <c r="J1127" s="356" t="n"/>
      <c r="K1127" s="171" t="n"/>
      <c r="L1127" s="166" t="n"/>
    </row>
    <row r="1128" ht="17.45" customHeight="1" s="2">
      <c r="A1128" s="354" t="n"/>
      <c r="B1128" s="358" t="n"/>
      <c r="C1128" s="359" t="inlineStr">
        <is>
          <t>Kitchen</t>
        </is>
      </c>
      <c r="D1128" s="360" t="n"/>
      <c r="E1128" s="361" t="n"/>
      <c r="F1128" s="359" t="inlineStr">
        <is>
          <t>Kitchen</t>
        </is>
      </c>
      <c r="G1128" s="360" t="n">
        <v>15</v>
      </c>
      <c r="H1128" s="361" t="n"/>
      <c r="I1128" s="359" t="inlineStr">
        <is>
          <t>Kitchen</t>
        </is>
      </c>
      <c r="J1128" s="360" t="n"/>
      <c r="K1128" s="186" t="n"/>
      <c r="L1128" s="166" t="n"/>
    </row>
    <row r="1129" ht="17.45" customHeight="1" s="2">
      <c r="A1129" s="354" t="n"/>
      <c r="B1129" s="358" t="n"/>
      <c r="C1129" s="362" t="n"/>
      <c r="D1129" s="360" t="n"/>
      <c r="E1129" s="361" t="n"/>
      <c r="F1129" s="360" t="n"/>
      <c r="G1129" s="360" t="n"/>
      <c r="H1129" s="361" t="n"/>
      <c r="I1129" s="360" t="inlineStr">
        <is>
          <t xml:space="preserve">induction </t>
        </is>
      </c>
      <c r="J1129" s="360" t="n"/>
      <c r="K1129" s="186" t="n"/>
      <c r="L1129" s="166" t="n"/>
    </row>
    <row r="1130" ht="17.45" customHeight="1" s="2">
      <c r="A1130" s="354" t="n"/>
      <c r="B1130" s="358" t="n"/>
      <c r="C1130" s="362" t="n"/>
      <c r="D1130" s="360" t="n"/>
      <c r="E1130" s="361" t="n"/>
      <c r="F1130" s="360" t="n"/>
      <c r="G1130" s="360" t="n"/>
      <c r="H1130" s="361" t="n"/>
      <c r="I1130" s="360" t="inlineStr">
        <is>
          <t xml:space="preserve"> SALIM T1,T2,T3 </t>
        </is>
      </c>
      <c r="J1130" s="360" t="n">
        <v>18</v>
      </c>
      <c r="K1130" s="186" t="n"/>
      <c r="L1130" s="166" t="n"/>
    </row>
    <row r="1131" ht="17.45" customHeight="1" s="2">
      <c r="A1131" s="354" t="n"/>
      <c r="B1131" s="358" t="n"/>
      <c r="C1131" s="362" t="n"/>
      <c r="D1131" s="360" t="n"/>
      <c r="E1131" s="361" t="n"/>
      <c r="F1131" s="360" t="n"/>
      <c r="G1131" s="360" t="n"/>
      <c r="H1131" s="361" t="n"/>
      <c r="I1131" s="360" t="inlineStr">
        <is>
          <t>ASIF T1,T2,T3</t>
        </is>
      </c>
      <c r="J1131" s="360" t="n">
        <v>18</v>
      </c>
      <c r="K1131" s="186" t="n"/>
      <c r="L1131" s="166" t="n"/>
    </row>
    <row r="1132" ht="17.45" customHeight="1" s="2">
      <c r="A1132" s="354" t="n"/>
      <c r="B1132" s="358" t="n"/>
      <c r="C1132" s="362" t="n"/>
      <c r="D1132" s="360" t="n"/>
      <c r="E1132" s="361" t="n"/>
      <c r="F1132" s="360" t="n"/>
      <c r="G1132" s="360" t="n"/>
      <c r="H1132" s="361" t="n"/>
      <c r="I1132" s="360" t="n"/>
      <c r="J1132" s="360" t="n"/>
      <c r="K1132" s="186" t="n"/>
      <c r="L1132" s="166" t="n"/>
    </row>
    <row r="1133" ht="17.45" customHeight="1" s="2">
      <c r="A1133" s="354" t="n"/>
      <c r="B1133" s="358" t="n"/>
      <c r="C1133" s="362" t="n"/>
      <c r="D1133" s="360" t="n"/>
      <c r="E1133" s="361" t="n"/>
      <c r="F1133" s="360" t="n"/>
      <c r="G1133" s="360" t="n"/>
      <c r="H1133" s="361" t="n"/>
      <c r="I1133" s="360" t="n"/>
      <c r="J1133" s="360" t="n"/>
      <c r="K1133" s="186" t="n"/>
      <c r="L1133" s="166" t="n"/>
    </row>
    <row r="1134" ht="17.45" customHeight="1" s="2">
      <c r="A1134" s="354" t="n"/>
      <c r="B1134" s="358" t="n"/>
      <c r="C1134" s="362" t="n"/>
      <c r="D1134" s="360" t="n"/>
      <c r="E1134" s="361" t="n"/>
      <c r="F1134" s="360" t="n"/>
      <c r="G1134" s="360" t="n"/>
      <c r="H1134" s="361" t="n"/>
      <c r="I1134" s="362" t="n"/>
      <c r="J1134" s="360" t="n"/>
      <c r="K1134" s="186" t="n"/>
      <c r="L1134" s="166" t="n"/>
    </row>
    <row r="1135" ht="17.45" customHeight="1" s="2">
      <c r="A1135" s="354" t="n"/>
      <c r="B1135" s="358" t="n"/>
      <c r="C1135" s="363" t="n"/>
      <c r="D1135" s="360" t="n"/>
      <c r="E1135" s="361" t="n"/>
      <c r="F1135" s="360" t="n"/>
      <c r="G1135" s="360" t="n"/>
      <c r="H1135" s="361" t="n"/>
      <c r="I1135" s="362" t="inlineStr">
        <is>
          <t>Floor</t>
        </is>
      </c>
      <c r="J1135" s="360" t="n"/>
      <c r="K1135" s="186" t="n"/>
      <c r="L1135" s="166" t="n"/>
    </row>
    <row r="1136" ht="17.45" customHeight="1" s="2">
      <c r="A1136" s="354" t="n"/>
      <c r="B1136" s="358" t="n"/>
      <c r="C1136" s="360" t="n"/>
      <c r="D1136" s="360" t="n"/>
      <c r="E1136" s="361" t="n"/>
      <c r="F1136" s="363" t="n"/>
      <c r="G1136" s="360" t="n"/>
      <c r="H1136" s="361" t="n"/>
      <c r="I1136" s="363" t="n"/>
      <c r="J1136" s="360" t="n"/>
      <c r="K1136" s="186" t="n"/>
      <c r="L1136" s="166" t="n"/>
    </row>
    <row r="1137" ht="17.45" customHeight="1" s="2">
      <c r="A1137" s="354" t="n"/>
      <c r="B1137" s="358" t="n"/>
      <c r="C1137" s="362" t="inlineStr">
        <is>
          <t>Floor</t>
        </is>
      </c>
      <c r="D1137" s="360" t="n"/>
      <c r="E1137" s="361" t="n"/>
      <c r="F1137" s="362" t="inlineStr">
        <is>
          <t>Floor</t>
        </is>
      </c>
      <c r="G1137" s="360" t="n"/>
      <c r="H1137" s="361" t="n"/>
      <c r="I1137" s="360" t="n"/>
      <c r="J1137" s="360" t="n"/>
      <c r="K1137" s="186" t="n"/>
      <c r="L1137" s="166" t="n"/>
    </row>
    <row r="1138" ht="17.45" customHeight="1" s="2">
      <c r="A1138" s="354" t="n"/>
      <c r="B1138" s="358" t="n"/>
      <c r="C1138" s="363" t="n"/>
      <c r="D1138" s="360" t="n"/>
      <c r="E1138" s="361" t="n"/>
      <c r="F1138" s="363" t="n"/>
      <c r="G1138" s="360" t="n"/>
      <c r="H1138" s="361" t="n"/>
      <c r="I1138" s="360" t="n"/>
      <c r="J1138" s="360" t="n"/>
      <c r="K1138" s="186" t="n"/>
      <c r="L1138" s="166" t="n"/>
    </row>
    <row r="1139" ht="17.45" customHeight="1" s="2">
      <c r="A1139" s="354" t="n"/>
      <c r="B1139" s="358" t="n"/>
      <c r="C1139" s="363" t="n"/>
      <c r="D1139" s="360" t="n"/>
      <c r="E1139" s="361" t="n"/>
      <c r="F1139" s="363" t="n"/>
      <c r="G1139" s="360" t="n"/>
      <c r="H1139" s="361" t="n"/>
      <c r="I1139" s="360" t="n"/>
      <c r="J1139" s="360" t="n"/>
      <c r="K1139" s="186" t="n"/>
      <c r="L1139" s="166" t="n"/>
    </row>
    <row r="1140" ht="17.45" customHeight="1" s="2">
      <c r="A1140" s="354" t="n"/>
      <c r="B1140" s="358" t="n"/>
      <c r="C1140" s="360" t="n"/>
      <c r="D1140" s="360" t="n"/>
      <c r="E1140" s="361" t="n"/>
      <c r="F1140" s="360" t="n"/>
      <c r="G1140" s="360" t="n"/>
      <c r="H1140" s="361" t="n"/>
      <c r="I1140" s="360" t="n"/>
      <c r="J1140" s="360" t="n"/>
      <c r="K1140" s="186" t="n"/>
      <c r="L1140" s="166" t="n"/>
    </row>
    <row r="1141" ht="17.45" customHeight="1" s="2">
      <c r="A1141" s="354" t="n"/>
      <c r="B1141" s="358" t="n"/>
      <c r="C1141" s="363" t="n"/>
      <c r="D1141" s="360" t="n"/>
      <c r="E1141" s="361" t="n"/>
      <c r="F1141" s="360" t="n"/>
      <c r="G1141" s="360" t="n"/>
      <c r="H1141" s="361" t="n"/>
      <c r="I1141" s="360" t="n"/>
      <c r="J1141" s="360" t="n"/>
      <c r="K1141" s="186" t="n"/>
      <c r="L1141" s="166" t="n"/>
    </row>
    <row r="1142" ht="17.45" customHeight="1" s="2">
      <c r="A1142" s="354" t="n"/>
      <c r="B1142" s="358" t="n"/>
      <c r="C1142" s="360" t="n"/>
      <c r="D1142" s="360" t="n"/>
      <c r="E1142" s="361" t="n"/>
      <c r="F1142" s="360" t="n"/>
      <c r="G1142" s="360" t="n"/>
      <c r="H1142" s="361" t="n"/>
      <c r="I1142" s="360" t="n"/>
      <c r="J1142" s="360" t="n"/>
      <c r="K1142" s="186" t="n"/>
      <c r="L1142" s="166" t="n"/>
    </row>
    <row r="1143" ht="17.45" customHeight="1" s="2">
      <c r="A1143" s="354" t="n"/>
      <c r="B1143" s="358" t="n"/>
      <c r="C1143" s="364" t="inlineStr">
        <is>
          <t>TOTAL</t>
        </is>
      </c>
      <c r="D1143" s="364">
        <f>SUM(D1129:D1142)</f>
        <v/>
      </c>
      <c r="E1143" s="361" t="n"/>
      <c r="F1143" s="364" t="inlineStr">
        <is>
          <t>TOTAL</t>
        </is>
      </c>
      <c r="G1143" s="364">
        <f>SUM(G1129:G1142)</f>
        <v/>
      </c>
      <c r="H1143" s="361" t="n"/>
      <c r="I1143" s="364" t="inlineStr">
        <is>
          <t>TOTAL</t>
        </is>
      </c>
      <c r="J1143" s="364">
        <f>SUM(J1129:J1142)</f>
        <v/>
      </c>
      <c r="K1143" s="186" t="n"/>
      <c r="L1143" s="166" t="n"/>
    </row>
    <row r="1145" ht="15.75" customHeight="1" s="2" thickBot="1"/>
    <row r="1146" ht="18" customHeight="1" s="2" thickBot="1">
      <c r="A1146" s="321" t="n"/>
      <c r="B1146" s="329" t="n">
        <v>43571</v>
      </c>
      <c r="C1146" s="323" t="n"/>
      <c r="D1146" s="324" t="inlineStr">
        <is>
          <t>15.04.19</t>
        </is>
      </c>
      <c r="E1146" s="325" t="inlineStr">
        <is>
          <t>23/04/19</t>
        </is>
      </c>
      <c r="F1146" s="326" t="n"/>
      <c r="G1146" s="327" t="n">
        <v>43577</v>
      </c>
      <c r="H1146" s="322" t="n"/>
      <c r="I1146" s="328" t="n"/>
      <c r="J1146" s="329" t="inlineStr">
        <is>
          <t>29.04.2019</t>
        </is>
      </c>
      <c r="K1146" s="166" t="n"/>
      <c r="L1146" s="166" t="n"/>
    </row>
    <row r="1147" ht="17.85" customHeight="1" s="2" thickBot="1">
      <c r="A1147" s="330" t="n"/>
      <c r="B1147" s="365" t="inlineStr">
        <is>
          <t xml:space="preserve">LAST YEAR </t>
        </is>
      </c>
      <c r="C1147" s="332" t="inlineStr">
        <is>
          <t>Projected</t>
        </is>
      </c>
      <c r="D1147" s="333" t="inlineStr">
        <is>
          <t>Actual</t>
        </is>
      </c>
      <c r="E1147" s="331" t="inlineStr">
        <is>
          <t>Last Year</t>
        </is>
      </c>
      <c r="F1147" s="332" t="inlineStr">
        <is>
          <t>Projected</t>
        </is>
      </c>
      <c r="G1147" s="333" t="inlineStr">
        <is>
          <t>Actual</t>
        </is>
      </c>
      <c r="H1147" s="331" t="inlineStr">
        <is>
          <t>Last Year</t>
        </is>
      </c>
      <c r="I1147" s="332" t="inlineStr">
        <is>
          <t>Projected</t>
        </is>
      </c>
      <c r="J1147" s="333" t="inlineStr">
        <is>
          <t>Actual</t>
        </is>
      </c>
      <c r="K1147" s="180" t="n"/>
      <c r="L1147" s="166" t="n"/>
    </row>
    <row r="1148" ht="18" customHeight="1" s="2">
      <c r="A1148" s="334" t="inlineStr">
        <is>
          <t>GROSS TOTAL</t>
        </is>
      </c>
      <c r="B1148" s="366" t="n">
        <v>152717.97</v>
      </c>
      <c r="C1148" s="336" t="n">
        <v>143693</v>
      </c>
      <c r="D1148" s="336" t="n">
        <v>145055.48</v>
      </c>
      <c r="E1148" s="367" t="n">
        <v>178334.9</v>
      </c>
      <c r="F1148" s="368" t="n">
        <v>211356</v>
      </c>
      <c r="G1148" s="336" t="n">
        <v>223389.53</v>
      </c>
      <c r="H1148" s="184" t="n">
        <v>169461.73</v>
      </c>
      <c r="I1148" s="336" t="n">
        <v>178265</v>
      </c>
      <c r="J1148" s="369" t="n">
        <v>162348.63</v>
      </c>
      <c r="K1148" s="186" t="n"/>
      <c r="L1148" s="166" t="n"/>
    </row>
    <row r="1149" ht="17.45" customHeight="1" s="2">
      <c r="A1149" s="338" t="inlineStr">
        <is>
          <t>NETT  TOTAL</t>
        </is>
      </c>
      <c r="B1149" s="63">
        <f>B1148/1.1</f>
        <v/>
      </c>
      <c r="C1149" s="64">
        <f>C1148/1.1</f>
        <v/>
      </c>
      <c r="D1149" s="65">
        <f>D1148/1.1</f>
        <v/>
      </c>
      <c r="E1149" s="78" t="n">
        <v>162122.6363636364</v>
      </c>
      <c r="F1149" s="76" t="n">
        <v>192141.8181818182</v>
      </c>
      <c r="G1149" s="65">
        <f>G1148/1.1</f>
        <v/>
      </c>
      <c r="H1149" s="32">
        <f>H1148/1.1</f>
        <v/>
      </c>
      <c r="I1149" s="64">
        <f>I1148/1.1</f>
        <v/>
      </c>
      <c r="J1149" s="339">
        <f>J1148/1.1</f>
        <v/>
      </c>
      <c r="K1149" s="186" t="n"/>
      <c r="L1149" s="166" t="n"/>
    </row>
    <row r="1150" ht="17.45" customHeight="1" s="2">
      <c r="A1150" s="340" t="inlineStr">
        <is>
          <t>Customers</t>
        </is>
      </c>
      <c r="B1150" s="370" t="n">
        <v>7290</v>
      </c>
      <c r="C1150" s="66" t="n">
        <v>6690</v>
      </c>
      <c r="D1150" s="66" t="n">
        <v>7061</v>
      </c>
      <c r="E1150" s="77" t="n">
        <v>8241</v>
      </c>
      <c r="F1150" s="371" t="n">
        <v>9500</v>
      </c>
      <c r="G1150" s="66" t="n">
        <v>10227</v>
      </c>
      <c r="H1150" s="10" t="n">
        <v>8160</v>
      </c>
      <c r="I1150" s="66" t="n">
        <v>8360</v>
      </c>
      <c r="J1150" s="79" t="n">
        <v>7775</v>
      </c>
      <c r="K1150" s="171" t="n"/>
      <c r="L1150" s="166" t="n"/>
    </row>
    <row r="1151" ht="17.45" customHeight="1" s="2">
      <c r="A1151" s="340" t="inlineStr">
        <is>
          <t>Average Customer Spend</t>
        </is>
      </c>
      <c r="B1151" s="74">
        <f>B1148/B1150</f>
        <v/>
      </c>
      <c r="C1151" s="64">
        <f>C1148/C1150</f>
        <v/>
      </c>
      <c r="D1151" s="65">
        <f>D1148/D1150</f>
        <v/>
      </c>
      <c r="E1151" s="78" t="n">
        <v>21.63995874287101</v>
      </c>
      <c r="F1151" s="76" t="n">
        <v>22.248</v>
      </c>
      <c r="G1151" s="65">
        <f>G1148/G1150</f>
        <v/>
      </c>
      <c r="H1151" s="32">
        <f>H1148/H1150</f>
        <v/>
      </c>
      <c r="I1151" s="64">
        <f>I1148/I1150</f>
        <v/>
      </c>
      <c r="J1151" s="67">
        <f>J1148/J1150</f>
        <v/>
      </c>
      <c r="K1151" s="171" t="n"/>
      <c r="L1151" s="166" t="n"/>
    </row>
    <row r="1152" ht="17.45" customHeight="1" s="2">
      <c r="A1152" s="340" t="inlineStr">
        <is>
          <t>Wage % to Gross total</t>
        </is>
      </c>
      <c r="B1152" s="74">
        <f>(B1155*B1156)/B1148</f>
        <v/>
      </c>
      <c r="C1152" s="64">
        <f>(C1155*C1156)/C1148</f>
        <v/>
      </c>
      <c r="D1152" s="339">
        <f>(D1155*D1156)/D1148</f>
        <v/>
      </c>
      <c r="E1152" s="372" t="n">
        <v>0.2886092963295463</v>
      </c>
      <c r="F1152" s="76" t="n">
        <v>0.3172845814644486</v>
      </c>
      <c r="G1152" s="63">
        <f>(G1155*G1156)/G1148</f>
        <v/>
      </c>
      <c r="H1152" s="39">
        <f>(H1155*H1156)/H1148</f>
        <v/>
      </c>
      <c r="I1152" s="64">
        <f>(I1155*I1156)/I1148</f>
        <v/>
      </c>
      <c r="J1152" s="67">
        <f>(J1155*J1156)/J1148</f>
        <v/>
      </c>
      <c r="K1152" s="171" t="n"/>
      <c r="L1152" s="166" t="n"/>
    </row>
    <row r="1153" ht="17.45" customHeight="1" s="2">
      <c r="A1153" s="340" t="inlineStr">
        <is>
          <t>Wage % to Nett Total</t>
        </is>
      </c>
      <c r="B1153" s="74">
        <f>(B1155*B1156)/B1149</f>
        <v/>
      </c>
      <c r="C1153" s="64">
        <f>(C1155*C1156)/C1149</f>
        <v/>
      </c>
      <c r="D1153" s="339">
        <f>(D1155*D1156)/D1149</f>
        <v/>
      </c>
      <c r="E1153" s="372" t="n">
        <v>0.317470225962501</v>
      </c>
      <c r="F1153" s="76" t="n">
        <v>0.3490130396108935</v>
      </c>
      <c r="G1153" s="63">
        <f>(G1155*G1156)/G1149</f>
        <v/>
      </c>
      <c r="H1153" s="39">
        <f>(H1155*H1156)/H1149</f>
        <v/>
      </c>
      <c r="I1153" s="64">
        <f>(I1155*I1156)/I1149</f>
        <v/>
      </c>
      <c r="J1153" s="67">
        <f>(J1155*J1156)/J1149</f>
        <v/>
      </c>
      <c r="K1153" s="171" t="n"/>
      <c r="L1153" s="166" t="n"/>
    </row>
    <row r="1154" ht="17.45" customHeight="1" s="2">
      <c r="A1154" s="340" t="inlineStr">
        <is>
          <t>Productivity</t>
        </is>
      </c>
      <c r="B1154" s="74">
        <f>B1150/B1156</f>
        <v/>
      </c>
      <c r="C1154" s="64">
        <f>C1150/C1156</f>
        <v/>
      </c>
      <c r="D1154" s="65">
        <f>D1150/D1156</f>
        <v/>
      </c>
      <c r="E1154" s="78" t="n">
        <v>5.17813383600377</v>
      </c>
      <c r="F1154" s="76" t="n">
        <v>5.666567253206084</v>
      </c>
      <c r="G1154" s="65">
        <f>G1150/G1156</f>
        <v/>
      </c>
      <c r="H1154" s="32">
        <f>H1150/H1156</f>
        <v/>
      </c>
      <c r="I1154" s="64">
        <f>I1150/I1156</f>
        <v/>
      </c>
      <c r="J1154" s="79">
        <f>J1150/J1156</f>
        <v/>
      </c>
      <c r="K1154" s="171" t="n"/>
      <c r="L1154" s="166" t="n"/>
    </row>
    <row r="1155" ht="17.45" customHeight="1" s="2">
      <c r="A1155" s="340" t="inlineStr">
        <is>
          <t>Average Hourly Rate</t>
        </is>
      </c>
      <c r="B1155" s="74" t="n">
        <v>33.15</v>
      </c>
      <c r="C1155" s="343" t="n">
        <v>34</v>
      </c>
      <c r="D1155" s="65" t="n">
        <v>33.56</v>
      </c>
      <c r="E1155" s="77" t="n">
        <v>32.34</v>
      </c>
      <c r="F1155" s="373" t="n">
        <v>42.5</v>
      </c>
      <c r="G1155" s="65" t="n">
        <v>45.95</v>
      </c>
      <c r="H1155" s="32" t="n">
        <v>38.63</v>
      </c>
      <c r="I1155" s="343" t="n">
        <v>36</v>
      </c>
      <c r="J1155" s="67" t="n">
        <v>37.32</v>
      </c>
      <c r="K1155" s="171" t="n"/>
      <c r="L1155" s="166">
        <f>0.94*379</f>
        <v/>
      </c>
    </row>
    <row r="1156" ht="17.45" customHeight="1" s="2">
      <c r="A1156" s="340" t="inlineStr">
        <is>
          <t>Total hours for productivity</t>
        </is>
      </c>
      <c r="B1156" s="74" t="n">
        <v>1589.25</v>
      </c>
      <c r="C1156" s="343">
        <f>640+762.5</f>
        <v/>
      </c>
      <c r="D1156" s="65" t="n">
        <v>1354</v>
      </c>
      <c r="E1156" s="77" t="n">
        <v>1591.5</v>
      </c>
      <c r="F1156" s="373">
        <f>977.5+780.5</f>
        <v/>
      </c>
      <c r="G1156" s="65" t="n">
        <v>1734.75</v>
      </c>
      <c r="H1156" s="32" t="n">
        <v>1675.25</v>
      </c>
      <c r="I1156" s="343" t="n">
        <v>1619</v>
      </c>
      <c r="J1156" s="79" t="n">
        <v>1583</v>
      </c>
      <c r="K1156" s="171" t="n"/>
      <c r="L1156" s="166" t="n"/>
    </row>
    <row r="1157" ht="17.45" customHeight="1" s="2">
      <c r="A1157" s="340" t="inlineStr">
        <is>
          <t>Training Hours used</t>
        </is>
      </c>
      <c r="B1157" s="63" t="n">
        <v>15</v>
      </c>
      <c r="C1157" s="343" t="n">
        <v>36</v>
      </c>
      <c r="D1157" s="65" t="n">
        <v>36</v>
      </c>
      <c r="E1157" s="77" t="n"/>
      <c r="F1157" s="373" t="n"/>
      <c r="G1157" s="65" t="n"/>
      <c r="H1157" s="32" t="n">
        <v>32.5</v>
      </c>
      <c r="I1157" s="343" t="n"/>
      <c r="J1157" s="339" t="n">
        <v>55</v>
      </c>
      <c r="K1157" s="186" t="n"/>
      <c r="L1157" s="166" t="n"/>
    </row>
    <row r="1158" ht="18" customHeight="1" s="2" thickBot="1">
      <c r="A1158" s="344" t="inlineStr">
        <is>
          <t>Number of hours used to cover sick leave</t>
        </is>
      </c>
      <c r="B1158" s="374" t="n"/>
      <c r="C1158" s="68" t="n"/>
      <c r="D1158" s="69" t="n"/>
      <c r="E1158" s="375" t="n"/>
      <c r="F1158" s="376" t="n"/>
      <c r="G1158" s="69" t="n"/>
      <c r="H1158" s="346" t="n"/>
      <c r="I1158" s="345" t="n"/>
      <c r="J1158" s="347" t="n"/>
      <c r="K1158" s="186" t="n"/>
      <c r="L1158" s="166" t="n"/>
    </row>
    <row r="1159" ht="15.95" customHeight="1" s="2" thickBot="1">
      <c r="A1159" s="348" t="inlineStr">
        <is>
          <t>Minimum HOURS</t>
        </is>
      </c>
      <c r="B1159" s="75" t="n"/>
      <c r="C1159" s="70" t="n"/>
      <c r="D1159" s="71" t="n">
        <v>734</v>
      </c>
      <c r="E1159" s="349" t="n"/>
      <c r="F1159" s="70" t="n"/>
      <c r="G1159" s="72" t="n"/>
      <c r="H1159" s="349" t="inlineStr">
        <is>
          <t xml:space="preserve">Kitchen </t>
        </is>
      </c>
      <c r="I1159" s="70" t="n">
        <v>641</v>
      </c>
      <c r="J1159" s="71" t="n"/>
      <c r="K1159" s="180" t="n"/>
      <c r="L1159" s="166" t="n"/>
    </row>
    <row r="1160" ht="15.95" customHeight="1" s="2" thickBot="1">
      <c r="A1160" s="350" t="n"/>
      <c r="B1160" s="75" t="n"/>
      <c r="C1160" s="73" t="n"/>
      <c r="D1160" s="71" t="n">
        <v>580</v>
      </c>
      <c r="E1160" s="351" t="n"/>
      <c r="F1160" s="73" t="n"/>
      <c r="G1160" s="352" t="n"/>
      <c r="H1160" s="351" t="inlineStr">
        <is>
          <t xml:space="preserve">Floor </t>
        </is>
      </c>
      <c r="I1160" s="73" t="n">
        <v>732</v>
      </c>
      <c r="J1160" s="71" t="n"/>
      <c r="K1160" s="180" t="n"/>
      <c r="L1160" s="166" t="n"/>
    </row>
    <row r="1161" ht="15.95" customHeight="1" s="2" thickBot="1">
      <c r="A1161" s="350" t="n"/>
      <c r="B1161" s="75">
        <f>SUM(B1159:B1160)</f>
        <v/>
      </c>
      <c r="C1161" s="353">
        <f>SUM(C1159:C1160)</f>
        <v/>
      </c>
      <c r="D1161" s="71">
        <f>SUM(D1159:D1160)</f>
        <v/>
      </c>
      <c r="E1161" s="199" t="inlineStr">
        <is>
          <t>0</t>
        </is>
      </c>
      <c r="F1161" s="353">
        <f>SUM(F1159:F1160)</f>
        <v/>
      </c>
      <c r="G1161" s="71">
        <f>SUM(G1159:G1160)</f>
        <v/>
      </c>
      <c r="H1161" s="199" t="inlineStr">
        <is>
          <t>TOTAL</t>
        </is>
      </c>
      <c r="I1161" s="353">
        <f>SUM(I1159:I1160)</f>
        <v/>
      </c>
      <c r="J1161" s="71">
        <f>SUM(J1159:J1160)</f>
        <v/>
      </c>
      <c r="K1161" s="180" t="n"/>
      <c r="L1161" s="166" t="n"/>
    </row>
    <row r="1162" ht="15.6" customHeight="1" s="2">
      <c r="A1162" s="310" t="n"/>
      <c r="B1162" s="311" t="n"/>
      <c r="C1162" s="311" t="n"/>
      <c r="D1162" s="311" t="n"/>
      <c r="E1162" s="311" t="n"/>
      <c r="F1162" s="311" t="n"/>
      <c r="G1162" s="311" t="n"/>
      <c r="H1162" s="311" t="n"/>
      <c r="I1162" s="311" t="n"/>
      <c r="J1162" s="311" t="n"/>
      <c r="K1162" s="312" t="n"/>
      <c r="L1162" s="313" t="n"/>
    </row>
    <row r="1163" ht="15" customHeight="1" s="2">
      <c r="A1163" s="314" t="n"/>
      <c r="B1163" s="315" t="n"/>
      <c r="C1163" s="316" t="n"/>
      <c r="D1163" s="316" t="n"/>
      <c r="E1163" s="315" t="n"/>
      <c r="F1163" s="316" t="n"/>
      <c r="G1163" s="316" t="n"/>
      <c r="H1163" s="315" t="n"/>
      <c r="I1163" s="316" t="n"/>
      <c r="J1163" s="316" t="n"/>
      <c r="K1163" s="315" t="n"/>
      <c r="L1163" s="317" t="n"/>
    </row>
    <row r="1164" ht="17.45" customHeight="1" s="2">
      <c r="A1164" s="354" t="n"/>
      <c r="B1164" s="355" t="n"/>
      <c r="C1164" s="356" t="inlineStr">
        <is>
          <t>Trainings</t>
        </is>
      </c>
      <c r="D1164" s="356" t="n"/>
      <c r="E1164" s="357" t="n"/>
      <c r="F1164" s="356" t="inlineStr">
        <is>
          <t>Trainings</t>
        </is>
      </c>
      <c r="G1164" s="356" t="n"/>
      <c r="H1164" s="357" t="n"/>
      <c r="I1164" s="356" t="inlineStr">
        <is>
          <t>Trainings</t>
        </is>
      </c>
      <c r="J1164" s="356" t="n"/>
      <c r="K1164" s="171" t="n"/>
      <c r="L1164" s="166" t="n"/>
    </row>
    <row r="1165" ht="17.45" customHeight="1" s="2">
      <c r="A1165" s="354" t="n"/>
      <c r="B1165" s="358" t="n"/>
      <c r="C1165" s="359" t="inlineStr">
        <is>
          <t>Kitchen</t>
        </is>
      </c>
      <c r="D1165" s="360" t="n">
        <v>36</v>
      </c>
      <c r="E1165" s="361" t="n"/>
      <c r="F1165" s="359" t="inlineStr">
        <is>
          <t>Kitchen</t>
        </is>
      </c>
      <c r="G1165" s="360" t="n">
        <v>15</v>
      </c>
      <c r="H1165" s="361" t="n"/>
      <c r="I1165" s="359" t="inlineStr">
        <is>
          <t>Kitchen</t>
        </is>
      </c>
      <c r="J1165" s="360" t="n"/>
      <c r="K1165" s="186" t="n"/>
      <c r="L1165" s="166" t="n"/>
    </row>
    <row r="1166" ht="17.45" customHeight="1" s="2">
      <c r="A1166" s="354" t="n"/>
      <c r="B1166" s="358" t="n"/>
      <c r="C1166" s="362" t="n"/>
      <c r="D1166" s="360" t="n"/>
      <c r="E1166" s="361" t="n"/>
      <c r="F1166" s="360" t="n"/>
      <c r="G1166" s="360" t="n"/>
      <c r="H1166" s="361" t="n"/>
      <c r="I1166" s="360" t="inlineStr">
        <is>
          <t>Salim, Antonius (Pizza T1+T2)</t>
        </is>
      </c>
      <c r="J1166" s="360" t="n">
        <v>10</v>
      </c>
      <c r="K1166" s="186" t="n"/>
      <c r="L1166" s="166" t="n"/>
    </row>
    <row r="1167" ht="17.45" customHeight="1" s="2">
      <c r="A1167" s="354" t="n"/>
      <c r="B1167" s="358" t="n"/>
      <c r="C1167" s="362" t="n"/>
      <c r="D1167" s="360" t="n"/>
      <c r="E1167" s="361" t="n"/>
      <c r="F1167" s="360" t="n"/>
      <c r="G1167" s="360" t="n"/>
      <c r="H1167" s="361" t="n"/>
      <c r="I1167" s="360" t="inlineStr">
        <is>
          <t>Ashif( Grill T1+T3 )</t>
        </is>
      </c>
      <c r="J1167" s="360" t="n">
        <v>15</v>
      </c>
      <c r="K1167" s="186" t="n"/>
      <c r="L1167" s="166" t="n"/>
    </row>
    <row r="1168" ht="17.45" customHeight="1" s="2">
      <c r="A1168" s="354" t="n"/>
      <c r="B1168" s="358" t="n"/>
      <c r="C1168" s="362" t="n"/>
      <c r="D1168" s="360" t="n"/>
      <c r="E1168" s="361" t="n"/>
      <c r="F1168" s="360" t="n"/>
      <c r="G1168" s="360" t="n"/>
      <c r="H1168" s="361" t="n"/>
      <c r="I1168" s="360" t="n"/>
      <c r="J1168" s="360" t="n"/>
      <c r="K1168" s="186" t="n"/>
      <c r="L1168" s="166" t="n"/>
    </row>
    <row r="1169" ht="17.45" customHeight="1" s="2">
      <c r="A1169" s="354" t="n"/>
      <c r="B1169" s="358" t="n"/>
      <c r="C1169" s="362" t="n"/>
      <c r="D1169" s="360" t="n"/>
      <c r="E1169" s="361" t="n"/>
      <c r="F1169" s="360" t="n"/>
      <c r="G1169" s="360" t="n"/>
      <c r="H1169" s="361" t="n"/>
      <c r="I1169" s="360" t="n"/>
      <c r="J1169" s="360" t="n"/>
      <c r="K1169" s="186" t="n"/>
      <c r="L1169" s="166" t="n"/>
    </row>
    <row r="1170" ht="17.45" customHeight="1" s="2">
      <c r="A1170" s="354" t="n"/>
      <c r="B1170" s="358" t="n"/>
      <c r="C1170" s="362" t="n"/>
      <c r="D1170" s="360" t="n"/>
      <c r="E1170" s="361" t="n"/>
      <c r="F1170" s="360" t="n"/>
      <c r="G1170" s="360" t="n"/>
      <c r="H1170" s="361" t="n"/>
      <c r="I1170" s="360" t="n"/>
      <c r="J1170" s="360" t="n"/>
      <c r="K1170" s="186" t="n"/>
      <c r="L1170" s="166" t="n"/>
    </row>
    <row r="1171" ht="17.45" customHeight="1" s="2">
      <c r="A1171" s="354" t="n"/>
      <c r="B1171" s="358" t="n"/>
      <c r="C1171" s="362" t="n"/>
      <c r="D1171" s="360" t="n"/>
      <c r="E1171" s="361" t="n"/>
      <c r="F1171" s="360" t="n"/>
      <c r="G1171" s="360" t="n"/>
      <c r="H1171" s="361" t="n"/>
      <c r="I1171" s="362" t="n"/>
      <c r="J1171" s="360" t="n"/>
      <c r="K1171" s="186" t="n"/>
      <c r="L1171" s="166" t="n"/>
    </row>
    <row r="1172" ht="17.45" customHeight="1" s="2">
      <c r="A1172" s="354" t="n"/>
      <c r="B1172" s="358" t="n"/>
      <c r="C1172" s="363" t="n"/>
      <c r="D1172" s="360" t="n"/>
      <c r="E1172" s="361" t="n"/>
      <c r="F1172" s="360" t="n"/>
      <c r="G1172" s="360" t="n"/>
      <c r="H1172" s="361" t="n"/>
      <c r="I1172" s="362" t="inlineStr">
        <is>
          <t>Floor</t>
        </is>
      </c>
      <c r="J1172" s="360" t="n"/>
      <c r="K1172" s="186" t="n"/>
      <c r="L1172" s="166" t="n"/>
    </row>
    <row r="1173" ht="17.45" customHeight="1" s="2">
      <c r="A1173" s="354" t="n"/>
      <c r="B1173" s="358" t="n"/>
      <c r="C1173" s="360" t="n"/>
      <c r="D1173" s="360" t="n"/>
      <c r="E1173" s="361" t="n"/>
      <c r="F1173" s="363" t="n"/>
      <c r="G1173" s="360" t="n"/>
      <c r="H1173" s="361" t="n"/>
      <c r="I1173" s="363" t="inlineStr">
        <is>
          <t>INDUCTION</t>
        </is>
      </c>
      <c r="J1173" s="360" t="n"/>
      <c r="K1173" s="186" t="n"/>
      <c r="L1173" s="166" t="n"/>
    </row>
    <row r="1174" ht="17.45" customHeight="1" s="2">
      <c r="A1174" s="354" t="n"/>
      <c r="B1174" s="358" t="n"/>
      <c r="C1174" s="362" t="inlineStr">
        <is>
          <t>Floor</t>
        </is>
      </c>
      <c r="D1174" s="360" t="n"/>
      <c r="E1174" s="361" t="n"/>
      <c r="F1174" s="362" t="inlineStr">
        <is>
          <t>Floor</t>
        </is>
      </c>
      <c r="G1174" s="360" t="n"/>
      <c r="H1174" s="361" t="n"/>
      <c r="I1174" s="360" t="inlineStr">
        <is>
          <t>Gurung,Siddharta</t>
        </is>
      </c>
      <c r="J1174" s="360" t="n">
        <v>14</v>
      </c>
      <c r="K1174" s="186" t="n"/>
      <c r="L1174" s="166" t="n"/>
    </row>
    <row r="1175" ht="17.45" customHeight="1" s="2">
      <c r="A1175" s="354" t="n"/>
      <c r="B1175" s="358" t="n"/>
      <c r="C1175" s="363" t="n"/>
      <c r="D1175" s="360" t="n"/>
      <c r="E1175" s="361" t="n"/>
      <c r="F1175" s="363" t="n"/>
      <c r="G1175" s="360" t="n"/>
      <c r="H1175" s="361" t="n"/>
      <c r="I1175" s="360" t="inlineStr">
        <is>
          <t>Khan,Alishba</t>
        </is>
      </c>
      <c r="J1175" s="360" t="n">
        <v>17.25</v>
      </c>
      <c r="K1175" s="186" t="n"/>
      <c r="L1175" s="166" t="n"/>
    </row>
    <row r="1176" ht="17.45" customHeight="1" s="2">
      <c r="A1176" s="354" t="n"/>
      <c r="B1176" s="358" t="n"/>
      <c r="C1176" s="363" t="n"/>
      <c r="D1176" s="360" t="n"/>
      <c r="E1176" s="361" t="n"/>
      <c r="F1176" s="363" t="n"/>
      <c r="G1176" s="360" t="n"/>
      <c r="H1176" s="361" t="n"/>
      <c r="I1176" s="360" t="inlineStr">
        <is>
          <t>Suma,Stephanie</t>
        </is>
      </c>
      <c r="J1176" s="360" t="n">
        <v>23.75</v>
      </c>
      <c r="K1176" s="186" t="n"/>
      <c r="L1176" s="166" t="n"/>
    </row>
    <row r="1177" ht="17.45" customHeight="1" s="2">
      <c r="A1177" s="354" t="n"/>
      <c r="B1177" s="358" t="n"/>
      <c r="C1177" s="360" t="n"/>
      <c r="D1177" s="360" t="n"/>
      <c r="E1177" s="361" t="n"/>
      <c r="F1177" s="360" t="n"/>
      <c r="G1177" s="360" t="n"/>
      <c r="H1177" s="361" t="n"/>
      <c r="I1177" s="360" t="n"/>
      <c r="J1177" s="360" t="n"/>
      <c r="K1177" s="186" t="n"/>
      <c r="L1177" s="166" t="n"/>
    </row>
    <row r="1178" ht="17.45" customHeight="1" s="2">
      <c r="A1178" s="354" t="n"/>
      <c r="B1178" s="358" t="n"/>
      <c r="C1178" s="363" t="n"/>
      <c r="D1178" s="360" t="n"/>
      <c r="E1178" s="361" t="n"/>
      <c r="F1178" s="360" t="n"/>
      <c r="G1178" s="360" t="n"/>
      <c r="H1178" s="361" t="n"/>
      <c r="I1178" s="360" t="n"/>
      <c r="J1178" s="360" t="n"/>
      <c r="K1178" s="186" t="n"/>
      <c r="L1178" s="166" t="n"/>
    </row>
    <row r="1179" ht="17.45" customHeight="1" s="2">
      <c r="A1179" s="354" t="n"/>
      <c r="B1179" s="358" t="n"/>
      <c r="C1179" s="360" t="n"/>
      <c r="D1179" s="360" t="n"/>
      <c r="E1179" s="361" t="n"/>
      <c r="F1179" s="360" t="n"/>
      <c r="G1179" s="360" t="n"/>
      <c r="H1179" s="361" t="n"/>
      <c r="I1179" s="360" t="n"/>
      <c r="J1179" s="360" t="n"/>
      <c r="K1179" s="186" t="n"/>
      <c r="L1179" s="166" t="n"/>
    </row>
    <row r="1180" ht="17.45" customHeight="1" s="2">
      <c r="A1180" s="354" t="n"/>
      <c r="B1180" s="358" t="n"/>
      <c r="C1180" s="364" t="inlineStr">
        <is>
          <t>TOTAL</t>
        </is>
      </c>
      <c r="D1180" s="364">
        <f>SUM(D1166:D1179)</f>
        <v/>
      </c>
      <c r="E1180" s="361" t="n"/>
      <c r="F1180" s="364" t="inlineStr">
        <is>
          <t>TOTAL</t>
        </is>
      </c>
      <c r="G1180" s="364">
        <f>SUM(G1166:G1179)</f>
        <v/>
      </c>
      <c r="H1180" s="361" t="n"/>
      <c r="I1180" s="364" t="inlineStr">
        <is>
          <t>TOTAL</t>
        </is>
      </c>
      <c r="J1180" s="364">
        <f>SUM(J1166:J1179)</f>
        <v/>
      </c>
      <c r="K1180" s="186" t="n"/>
      <c r="L1180" s="166" t="n"/>
    </row>
    <row r="1181" ht="15.75" customHeight="1" s="2" thickBot="1">
      <c r="A1181" s="238" t="n"/>
      <c r="B1181" s="222" t="n"/>
      <c r="C1181" s="377" t="n"/>
      <c r="D1181" s="236" t="n"/>
      <c r="E1181" s="222" t="n"/>
      <c r="F1181" s="378" t="n"/>
      <c r="G1181" s="236" t="n"/>
      <c r="H1181" s="222" t="n"/>
      <c r="I1181" s="237" t="n"/>
      <c r="J1181" s="223" t="n"/>
    </row>
    <row r="1182" ht="15.75" customHeight="1" s="2" thickBot="1">
      <c r="A1182" s="238" t="n"/>
      <c r="B1182" s="379" t="inlineStr">
        <is>
          <t>7.5.2018</t>
        </is>
      </c>
      <c r="C1182" s="235" t="inlineStr">
        <is>
          <t>6.5.2019</t>
        </is>
      </c>
      <c r="D1182" s="236" t="n"/>
      <c r="E1182" s="379" t="inlineStr">
        <is>
          <t>14.5.2018</t>
        </is>
      </c>
      <c r="F1182" s="237" t="inlineStr">
        <is>
          <t>13.5.2019</t>
        </is>
      </c>
      <c r="G1182" s="236" t="n"/>
      <c r="H1182" s="379" t="inlineStr">
        <is>
          <t>21.5.2018</t>
        </is>
      </c>
      <c r="I1182" s="237" t="inlineStr">
        <is>
          <t>20.5.2019</t>
        </is>
      </c>
      <c r="J1182" s="223" t="n"/>
    </row>
    <row r="1183" ht="15.75" customHeight="1" s="2" thickBot="1">
      <c r="A1183" s="176" t="n"/>
      <c r="B1183" s="177" t="inlineStr">
        <is>
          <t>Last Year</t>
        </is>
      </c>
      <c r="C1183" s="178" t="inlineStr">
        <is>
          <t>Projected</t>
        </is>
      </c>
      <c r="D1183" s="230" t="inlineStr">
        <is>
          <t>Actual</t>
        </is>
      </c>
      <c r="E1183" s="177" t="inlineStr">
        <is>
          <t>Last Year</t>
        </is>
      </c>
      <c r="F1183" s="178" t="inlineStr">
        <is>
          <t>Projected</t>
        </is>
      </c>
      <c r="G1183" s="230" t="inlineStr">
        <is>
          <t>Actual</t>
        </is>
      </c>
      <c r="H1183" s="177" t="inlineStr">
        <is>
          <t>Last Year</t>
        </is>
      </c>
      <c r="I1183" s="178" t="inlineStr">
        <is>
          <t>Projected</t>
        </is>
      </c>
      <c r="J1183" s="230" t="inlineStr">
        <is>
          <t>Actual</t>
        </is>
      </c>
    </row>
    <row r="1184" ht="15.75" customHeight="1" s="2">
      <c r="A1184" s="181" t="inlineStr">
        <is>
          <t>GROSS TOTAL</t>
        </is>
      </c>
      <c r="B1184" s="185" t="n">
        <v>147118.01</v>
      </c>
      <c r="C1184" s="184" t="n">
        <v>137217.5</v>
      </c>
      <c r="D1184" s="184" t="n">
        <v>122327.3</v>
      </c>
      <c r="E1184" s="184" t="n">
        <v>124312.03</v>
      </c>
      <c r="F1184" s="184" t="n">
        <v>129057.5</v>
      </c>
      <c r="G1184" s="184" t="n">
        <v>139567.85</v>
      </c>
      <c r="H1184" s="184" t="n">
        <v>133882.7</v>
      </c>
      <c r="I1184" s="184" t="n">
        <v>123150</v>
      </c>
      <c r="J1184" s="185" t="n">
        <v>138154.73</v>
      </c>
    </row>
    <row r="1185" ht="15.75" customHeight="1" s="2">
      <c r="A1185" s="187" t="inlineStr">
        <is>
          <t>NETT  TOTAL</t>
        </is>
      </c>
      <c r="B1185" s="39">
        <f>B1184/1.1</f>
        <v/>
      </c>
      <c r="C1185" s="9">
        <f>C1184/1.1</f>
        <v/>
      </c>
      <c r="D1185" s="32">
        <f>D1184/1.1</f>
        <v/>
      </c>
      <c r="E1185" s="32">
        <f>E1184/1.1</f>
        <v/>
      </c>
      <c r="F1185" s="9">
        <f>F1184/1.1</f>
        <v/>
      </c>
      <c r="G1185" s="32">
        <f>G1184/1.1</f>
        <v/>
      </c>
      <c r="H1185" s="32">
        <f>H1184/1.1</f>
        <v/>
      </c>
      <c r="I1185" s="9">
        <f>I1184/1.1</f>
        <v/>
      </c>
      <c r="J1185" s="39">
        <f>J1184/1.1</f>
        <v/>
      </c>
    </row>
    <row r="1186" ht="15.75" customHeight="1" s="2">
      <c r="A1186" s="188" t="inlineStr">
        <is>
          <t>Customers</t>
        </is>
      </c>
      <c r="B1186" s="11" t="n">
        <v>7010</v>
      </c>
      <c r="C1186" s="10" t="n">
        <v>6705</v>
      </c>
      <c r="D1186" s="10" t="n">
        <v>6063</v>
      </c>
      <c r="E1186" s="10" t="n">
        <v>6086</v>
      </c>
      <c r="F1186" s="10" t="n">
        <v>6315</v>
      </c>
      <c r="G1186" s="10" t="n">
        <v>6529</v>
      </c>
      <c r="H1186" s="10" t="n">
        <v>6404</v>
      </c>
      <c r="I1186" s="10" t="n">
        <v>6020</v>
      </c>
      <c r="J1186" s="11" t="n">
        <v>6482</v>
      </c>
    </row>
    <row r="1187" ht="15.75" customHeight="1" s="2">
      <c r="A1187" s="188" t="inlineStr">
        <is>
          <t>Average Customer Spend</t>
        </is>
      </c>
      <c r="B1187" s="33">
        <f>B1184/B1186</f>
        <v/>
      </c>
      <c r="C1187" s="9">
        <f>C1184/C1186</f>
        <v/>
      </c>
      <c r="D1187" s="32">
        <f>D1184/D1186</f>
        <v/>
      </c>
      <c r="E1187" s="32">
        <f>E1184/E1186</f>
        <v/>
      </c>
      <c r="F1187" s="9">
        <f>F1184/F1186</f>
        <v/>
      </c>
      <c r="G1187" s="32">
        <f>G1184/G1186</f>
        <v/>
      </c>
      <c r="H1187" s="32">
        <f>H1184/H1186</f>
        <v/>
      </c>
      <c r="I1187" s="9">
        <f>I1184/I1186</f>
        <v/>
      </c>
      <c r="J1187" s="33">
        <f>J1184/J1186</f>
        <v/>
      </c>
    </row>
    <row r="1188" ht="15.75" customHeight="1" s="2">
      <c r="A1188" s="191" t="inlineStr">
        <is>
          <t>Wage % to Gross total</t>
        </is>
      </c>
      <c r="B1188" s="33">
        <f>(B1191*B1192)/B1184</f>
        <v/>
      </c>
      <c r="C1188" s="9">
        <f>(C1191*C1192)/C1184</f>
        <v/>
      </c>
      <c r="D1188" s="39">
        <f>(D1191*D1192)/D1184</f>
        <v/>
      </c>
      <c r="E1188" s="39">
        <f>(E1191*E1192)/E1184</f>
        <v/>
      </c>
      <c r="F1188" s="9">
        <f>(F1191*F1192)/F1184</f>
        <v/>
      </c>
      <c r="G1188" s="39">
        <f>(G1191*G1192)/G1184</f>
        <v/>
      </c>
      <c r="H1188" s="39">
        <f>(H1191*H1192)/H1184</f>
        <v/>
      </c>
      <c r="I1188" s="9">
        <f>(I1191*I1192)/I1184</f>
        <v/>
      </c>
      <c r="J1188" s="33">
        <f>(J1191*J1192)/J1184</f>
        <v/>
      </c>
    </row>
    <row r="1189" ht="15.75" customHeight="1" s="2">
      <c r="A1189" s="191" t="inlineStr">
        <is>
          <t>Wage % to Nett Total</t>
        </is>
      </c>
      <c r="B1189" s="33">
        <f>(B1191*B1192)/B1185</f>
        <v/>
      </c>
      <c r="C1189" s="9">
        <f>(C1191*C1192)/C1185</f>
        <v/>
      </c>
      <c r="D1189" s="39">
        <f>(D1191*D1192)/D1185</f>
        <v/>
      </c>
      <c r="E1189" s="39">
        <f>(E1191*E1192)/E1185</f>
        <v/>
      </c>
      <c r="F1189" s="9">
        <f>(F1191*F1192)/F1185</f>
        <v/>
      </c>
      <c r="G1189" s="39">
        <f>(G1191*G1192)/G1185</f>
        <v/>
      </c>
      <c r="H1189" s="39">
        <f>(H1191*H1192)/H1185</f>
        <v/>
      </c>
      <c r="I1189" s="9">
        <f>(I1191*I1192)/I1185</f>
        <v/>
      </c>
      <c r="J1189" s="33">
        <f>(J1191*J1192)/J1185</f>
        <v/>
      </c>
    </row>
    <row r="1190" ht="15.75" customHeight="1" s="2">
      <c r="A1190" s="188" t="inlineStr">
        <is>
          <t>Productivity</t>
        </is>
      </c>
      <c r="B1190" s="33">
        <f>B1186/B1192</f>
        <v/>
      </c>
      <c r="C1190" s="9">
        <f>C1186/C1192</f>
        <v/>
      </c>
      <c r="D1190" s="32">
        <f>D1186/D1192</f>
        <v/>
      </c>
      <c r="E1190" s="32">
        <f>E1186/E1192</f>
        <v/>
      </c>
      <c r="F1190" s="9">
        <f>F1186/F1192</f>
        <v/>
      </c>
      <c r="G1190" s="32">
        <f>G1186/G1192</f>
        <v/>
      </c>
      <c r="H1190" s="32">
        <f>H1186/H1192</f>
        <v/>
      </c>
      <c r="I1190" s="9">
        <f>I1186/I1192</f>
        <v/>
      </c>
      <c r="J1190" s="33">
        <f>J1186/J1192</f>
        <v/>
      </c>
    </row>
    <row r="1191" ht="15.75" customHeight="1" s="2">
      <c r="A1191" s="188" t="inlineStr">
        <is>
          <t>Average Hourly Rate</t>
        </is>
      </c>
      <c r="B1191" s="33" t="n">
        <v>35.01</v>
      </c>
      <c r="C1191" s="189" t="n">
        <v>34</v>
      </c>
      <c r="D1191" s="32" t="n">
        <v>34.52</v>
      </c>
      <c r="E1191" s="32" t="n">
        <v>35.57</v>
      </c>
      <c r="F1191" s="189" t="n">
        <v>34</v>
      </c>
      <c r="G1191" s="32" t="n">
        <v>34.45</v>
      </c>
      <c r="H1191" s="32" t="n">
        <v>34.51</v>
      </c>
      <c r="I1191" s="189" t="n">
        <v>34</v>
      </c>
      <c r="J1191" s="33" t="n">
        <v>33.82</v>
      </c>
    </row>
    <row r="1192" ht="15.75" customHeight="1" s="2">
      <c r="A1192" s="188" t="inlineStr">
        <is>
          <t>Total hours for productivity</t>
        </is>
      </c>
      <c r="B1192" s="33" t="n">
        <v>1526.75</v>
      </c>
      <c r="C1192" s="189" t="n">
        <v>1278.5</v>
      </c>
      <c r="D1192" s="32" t="n">
        <v>1275.5</v>
      </c>
      <c r="E1192" s="32" t="n">
        <v>1459.75</v>
      </c>
      <c r="F1192" s="189" t="n">
        <v>1266.5</v>
      </c>
      <c r="G1192" s="32" t="n">
        <v>1290.25</v>
      </c>
      <c r="H1192" s="32" t="n">
        <v>1413.75</v>
      </c>
      <c r="I1192" s="189" t="n">
        <v>1271</v>
      </c>
      <c r="J1192" s="33" t="n">
        <v>1300.75</v>
      </c>
    </row>
    <row r="1193" ht="15.75" customHeight="1" s="2">
      <c r="A1193" s="188" t="inlineStr">
        <is>
          <t>Training Hours used</t>
        </is>
      </c>
      <c r="B1193" s="39" t="n">
        <v>115</v>
      </c>
      <c r="C1193" s="189" t="n">
        <v>54</v>
      </c>
      <c r="D1193" s="32" t="n">
        <v>24</v>
      </c>
      <c r="E1193" s="32" t="n">
        <v>55</v>
      </c>
      <c r="F1193" s="189" t="n">
        <v>0</v>
      </c>
      <c r="G1193" s="32" t="n">
        <v>70.75</v>
      </c>
      <c r="H1193" s="32" t="n"/>
      <c r="I1193" s="189" t="n"/>
      <c r="J1193" s="39" t="n"/>
    </row>
    <row r="1194" ht="15.75" customHeight="1" s="2" thickBot="1">
      <c r="A1194" s="193" t="inlineStr">
        <is>
          <t>Number of hours used to cover sick leave</t>
        </is>
      </c>
      <c r="B1194" s="15" t="n"/>
      <c r="C1194" s="14" t="n"/>
      <c r="D1194" s="34" t="n">
        <v>45.5</v>
      </c>
      <c r="E1194" s="34" t="n">
        <v>89</v>
      </c>
      <c r="F1194" s="194" t="n"/>
      <c r="G1194" s="34" t="n">
        <v>12.75</v>
      </c>
      <c r="H1194" s="15" t="n">
        <v>41.5</v>
      </c>
      <c r="I1194" s="194" t="n"/>
      <c r="J1194" s="233" t="n">
        <v>38.5</v>
      </c>
    </row>
    <row r="1195" ht="15.75" customHeight="1" s="2" thickBot="1">
      <c r="A1195" s="195" t="inlineStr">
        <is>
          <t>Minimum HOURS</t>
        </is>
      </c>
      <c r="B1195" s="196" t="inlineStr">
        <is>
          <t xml:space="preserve">Kitchen </t>
        </is>
      </c>
      <c r="C1195" s="16" t="n">
        <v>549</v>
      </c>
      <c r="D1195" s="35" t="n">
        <v>680</v>
      </c>
      <c r="E1195" s="196" t="inlineStr">
        <is>
          <t xml:space="preserve">Kitchen </t>
        </is>
      </c>
      <c r="F1195" s="16" t="n">
        <v>546</v>
      </c>
      <c r="G1195" s="36" t="n">
        <v>602.5</v>
      </c>
      <c r="H1195" s="196" t="inlineStr">
        <is>
          <t xml:space="preserve">Kitchen </t>
        </is>
      </c>
      <c r="I1195" s="16" t="n">
        <v>560</v>
      </c>
      <c r="J1195" s="35" t="n"/>
    </row>
    <row r="1196" ht="15.75" customHeight="1" s="2" thickBot="1">
      <c r="A1196" s="197" t="n"/>
      <c r="B1196" s="198" t="inlineStr">
        <is>
          <t xml:space="preserve">Floor </t>
        </is>
      </c>
      <c r="C1196" s="18" t="n">
        <v>605.5</v>
      </c>
      <c r="D1196" s="35" t="n">
        <v>630</v>
      </c>
      <c r="E1196" s="198" t="inlineStr">
        <is>
          <t xml:space="preserve">Floor </t>
        </is>
      </c>
      <c r="F1196" s="18" t="n">
        <v>660</v>
      </c>
      <c r="G1196" s="234" t="n">
        <v>664</v>
      </c>
      <c r="H1196" s="198" t="inlineStr">
        <is>
          <t xml:space="preserve">Floor </t>
        </is>
      </c>
      <c r="I1196" s="18" t="n">
        <v>659.5</v>
      </c>
      <c r="J1196" s="35" t="n"/>
    </row>
    <row r="1197" ht="15.75" customHeight="1" s="2" thickBot="1">
      <c r="A1197" s="197" t="n"/>
      <c r="B1197" s="199" t="inlineStr">
        <is>
          <t>TOTAL</t>
        </is>
      </c>
      <c r="C1197" s="42">
        <f>SUM(C1195:C1196)</f>
        <v/>
      </c>
      <c r="D1197" s="35">
        <f>SUM(D1195:D1196)</f>
        <v/>
      </c>
      <c r="E1197" s="199" t="inlineStr">
        <is>
          <t>TOTAL</t>
        </is>
      </c>
      <c r="F1197" s="42">
        <f>SUM(F1195:F1196)</f>
        <v/>
      </c>
      <c r="G1197" s="35">
        <f>SUM(G1195:G1196)</f>
        <v/>
      </c>
      <c r="H1197" s="199" t="inlineStr">
        <is>
          <t>TOTAL</t>
        </is>
      </c>
      <c r="I1197" s="42">
        <f>SUM(I1195:I1196)</f>
        <v/>
      </c>
      <c r="J1197" s="35">
        <f>SUM(J1195:J1196)</f>
        <v/>
      </c>
      <c r="K1197" s="171" t="n"/>
      <c r="L1197" s="166" t="n"/>
    </row>
    <row r="1198" ht="15.75" customHeight="1" s="2">
      <c r="A1198" s="354" t="n"/>
      <c r="B1198" s="358" t="n"/>
      <c r="C1198" s="359" t="inlineStr">
        <is>
          <t>Kitchen</t>
        </is>
      </c>
      <c r="D1198" s="360" t="n"/>
      <c r="E1198" s="361" t="n"/>
      <c r="F1198" s="359" t="inlineStr">
        <is>
          <t>Kitchen</t>
        </is>
      </c>
      <c r="G1198" s="360" t="n"/>
      <c r="H1198" s="361" t="n"/>
      <c r="I1198" s="359" t="inlineStr">
        <is>
          <t>Kitchen</t>
        </is>
      </c>
      <c r="J1198" s="360" t="n"/>
      <c r="K1198" s="186" t="n"/>
      <c r="L1198" s="166" t="n"/>
    </row>
    <row r="1199" ht="15.75" customHeight="1" s="2">
      <c r="A1199" s="354" t="n"/>
      <c r="B1199" s="358" t="n"/>
      <c r="C1199" s="362" t="n"/>
      <c r="D1199" s="360" t="n"/>
      <c r="E1199" s="361" t="n"/>
      <c r="F1199" s="360" t="inlineStr">
        <is>
          <t>Bishal Lama ( Grill T1-T3 )</t>
        </is>
      </c>
      <c r="G1199" s="360" t="n">
        <v>15</v>
      </c>
      <c r="H1199" s="361" t="n"/>
      <c r="I1199" s="360" t="inlineStr">
        <is>
          <t xml:space="preserve">induction </t>
        </is>
      </c>
      <c r="J1199" s="360" t="n"/>
      <c r="K1199" s="186" t="n"/>
      <c r="L1199" s="166" t="n"/>
    </row>
    <row r="1200" ht="15.75" customHeight="1" s="2">
      <c r="A1200" s="354" t="n"/>
      <c r="B1200" s="358" t="n"/>
      <c r="C1200" s="362" t="n"/>
      <c r="D1200" s="360" t="n"/>
      <c r="E1200" s="361" t="n"/>
      <c r="F1200" s="360" t="n"/>
      <c r="G1200" s="360" t="n"/>
      <c r="H1200" s="361" t="n"/>
      <c r="I1200" s="360" t="n"/>
      <c r="J1200" s="360" t="n"/>
      <c r="K1200" s="186" t="n"/>
      <c r="L1200" s="166" t="n"/>
    </row>
    <row r="1201" ht="15.75" customHeight="1" s="2">
      <c r="A1201" s="354" t="n"/>
      <c r="B1201" s="358" t="n"/>
      <c r="C1201" s="362" t="n"/>
      <c r="D1201" s="360" t="n"/>
      <c r="E1201" s="361" t="n"/>
      <c r="F1201" s="360" t="n"/>
      <c r="G1201" s="360" t="n"/>
      <c r="H1201" s="361" t="n"/>
      <c r="I1201" s="360" t="n"/>
      <c r="J1201" s="360" t="n"/>
      <c r="K1201" s="186" t="n"/>
      <c r="L1201" s="166" t="n"/>
    </row>
    <row r="1202" ht="15.75" customHeight="1" s="2">
      <c r="A1202" s="354" t="n"/>
      <c r="B1202" s="358" t="n"/>
      <c r="C1202" s="362" t="n"/>
      <c r="D1202" s="360" t="n"/>
      <c r="E1202" s="361" t="n"/>
      <c r="F1202" s="360" t="n"/>
      <c r="G1202" s="360" t="n"/>
      <c r="H1202" s="361" t="n"/>
      <c r="I1202" s="360" t="n"/>
      <c r="J1202" s="360" t="n"/>
      <c r="K1202" s="186" t="n"/>
      <c r="L1202" s="166" t="n"/>
    </row>
    <row r="1203" ht="15.75" customHeight="1" s="2">
      <c r="A1203" s="354" t="n"/>
      <c r="B1203" s="358" t="n"/>
      <c r="C1203" s="362" t="n"/>
      <c r="D1203" s="360" t="n"/>
      <c r="E1203" s="361" t="n"/>
      <c r="F1203" s="360" t="n"/>
      <c r="G1203" s="360" t="n"/>
      <c r="H1203" s="361" t="n"/>
      <c r="I1203" s="360" t="n"/>
      <c r="J1203" s="360" t="n"/>
      <c r="K1203" s="186" t="n"/>
      <c r="L1203" s="166" t="n"/>
    </row>
    <row r="1204" ht="15.75" customHeight="1" s="2">
      <c r="A1204" s="354" t="n"/>
      <c r="B1204" s="358" t="n"/>
      <c r="C1204" s="362" t="n"/>
      <c r="D1204" s="360" t="n"/>
      <c r="E1204" s="361" t="n"/>
      <c r="F1204" s="360" t="n"/>
      <c r="G1204" s="360" t="n"/>
      <c r="H1204" s="361" t="n"/>
      <c r="I1204" s="362" t="n"/>
      <c r="J1204" s="360" t="n"/>
      <c r="K1204" s="186" t="n"/>
      <c r="L1204" s="166" t="n"/>
    </row>
    <row r="1205" ht="15.75" customHeight="1" s="2">
      <c r="A1205" s="354" t="n"/>
      <c r="B1205" s="358" t="n"/>
      <c r="C1205" s="363" t="n"/>
      <c r="D1205" s="360" t="n"/>
      <c r="E1205" s="361" t="n"/>
      <c r="F1205" s="360" t="n"/>
      <c r="G1205" s="360" t="n"/>
      <c r="H1205" s="361" t="n"/>
      <c r="I1205" s="362" t="inlineStr">
        <is>
          <t>Floor</t>
        </is>
      </c>
      <c r="J1205" s="360" t="n"/>
      <c r="K1205" s="186" t="n"/>
      <c r="L1205" s="166" t="n"/>
    </row>
    <row r="1206" ht="15.75" customHeight="1" s="2">
      <c r="A1206" s="354" t="n"/>
      <c r="B1206" s="358" t="n"/>
      <c r="C1206" s="360" t="n"/>
      <c r="D1206" s="360" t="n"/>
      <c r="E1206" s="361" t="n"/>
      <c r="F1206" s="363" t="n"/>
      <c r="G1206" s="360" t="n"/>
      <c r="H1206" s="361" t="n"/>
      <c r="I1206" s="363" t="n"/>
      <c r="J1206" s="360" t="n"/>
      <c r="K1206" s="186" t="n"/>
      <c r="L1206" s="166" t="n"/>
    </row>
    <row r="1207" ht="15.75" customHeight="1" s="2">
      <c r="A1207" s="354" t="n"/>
      <c r="B1207" s="358" t="n"/>
      <c r="C1207" s="362" t="inlineStr">
        <is>
          <t>Floor</t>
        </is>
      </c>
      <c r="D1207" s="360" t="n"/>
      <c r="E1207" s="361" t="n"/>
      <c r="F1207" s="362" t="inlineStr">
        <is>
          <t>Floor</t>
        </is>
      </c>
      <c r="G1207" s="360" t="n"/>
      <c r="H1207" s="361" t="n"/>
      <c r="I1207" s="360" t="n"/>
      <c r="J1207" s="360" t="n"/>
      <c r="K1207" s="186" t="n"/>
      <c r="L1207" s="166" t="n"/>
    </row>
    <row r="1208" ht="15.75" customHeight="1" s="2">
      <c r="A1208" s="354" t="n"/>
      <c r="B1208" s="358" t="n"/>
      <c r="C1208" s="363" t="inlineStr">
        <is>
          <t>Sid ( T3 - T5 )</t>
        </is>
      </c>
      <c r="D1208" s="360" t="n">
        <v>19</v>
      </c>
      <c r="E1208" s="361" t="n"/>
      <c r="F1208" s="363" t="inlineStr">
        <is>
          <t>Lisa IND+ ( T1-T3 )</t>
        </is>
      </c>
      <c r="G1208" s="360" t="n">
        <v>16.5</v>
      </c>
      <c r="H1208" s="361" t="n"/>
      <c r="I1208" s="360" t="n"/>
      <c r="J1208" s="360" t="n"/>
      <c r="K1208" s="186" t="n"/>
      <c r="L1208" s="166" t="n"/>
    </row>
    <row r="1209" ht="15.75" customHeight="1" s="2">
      <c r="A1209" s="354" t="n"/>
      <c r="B1209" s="358" t="n"/>
      <c r="C1209" s="363" t="inlineStr">
        <is>
          <t>Alishba ( T 5 )</t>
        </is>
      </c>
      <c r="D1209" s="360" t="n">
        <v>5</v>
      </c>
      <c r="E1209" s="361" t="n"/>
      <c r="F1209" s="363" t="inlineStr">
        <is>
          <t>Chinatsu IND+ ( T1-T3 )</t>
        </is>
      </c>
      <c r="G1209" s="360" t="n">
        <v>15.5</v>
      </c>
      <c r="H1209" s="361" t="n"/>
      <c r="I1209" s="360" t="n"/>
      <c r="J1209" s="360" t="n"/>
      <c r="K1209" s="186" t="n"/>
      <c r="L1209" s="166" t="n"/>
    </row>
    <row r="1210" ht="15.75" customHeight="1" s="2">
      <c r="A1210" s="354" t="n"/>
      <c r="B1210" s="358" t="n"/>
      <c r="C1210" s="360" t="n"/>
      <c r="D1210" s="360" t="n"/>
      <c r="E1210" s="361" t="n"/>
      <c r="F1210" s="363" t="inlineStr">
        <is>
          <t>Jigyasha IND+ ( T1-T3 )</t>
        </is>
      </c>
      <c r="G1210" s="360" t="n">
        <v>11.75</v>
      </c>
      <c r="H1210" s="361" t="n"/>
      <c r="I1210" s="360" t="n"/>
      <c r="J1210" s="360" t="n"/>
      <c r="K1210" s="186" t="n"/>
      <c r="L1210" s="166" t="n"/>
    </row>
    <row r="1211" ht="15.75" customHeight="1" s="2">
      <c r="A1211" s="354" t="n"/>
      <c r="B1211" s="358" t="n"/>
      <c r="C1211" s="363" t="n"/>
      <c r="D1211" s="360" t="n"/>
      <c r="E1211" s="361" t="n"/>
      <c r="F1211" s="363" t="inlineStr">
        <is>
          <t>Tsermaa IND+ ( T1-T3 )</t>
        </is>
      </c>
      <c r="G1211" s="360" t="n">
        <v>12</v>
      </c>
      <c r="H1211" s="361" t="n"/>
      <c r="I1211" s="360" t="n"/>
      <c r="J1211" s="360" t="n"/>
      <c r="K1211" s="186" t="n"/>
      <c r="L1211" s="166" t="n"/>
    </row>
    <row r="1212" ht="15.75" customHeight="1" s="2">
      <c r="A1212" s="354" t="n"/>
      <c r="B1212" s="358" t="n"/>
      <c r="C1212" s="360" t="n"/>
      <c r="D1212" s="360" t="n"/>
      <c r="E1212" s="361" t="n"/>
      <c r="F1212" s="360" t="n"/>
      <c r="G1212" s="360" t="n"/>
      <c r="H1212" s="361" t="n"/>
      <c r="I1212" s="360" t="n"/>
      <c r="J1212" s="360" t="n"/>
      <c r="K1212" s="186" t="n"/>
      <c r="L1212" s="166" t="n"/>
    </row>
    <row r="1213" ht="15.75" customHeight="1" s="2">
      <c r="A1213" s="354" t="n"/>
      <c r="B1213" s="358" t="n"/>
      <c r="C1213" s="364" t="inlineStr">
        <is>
          <t>TOTAL</t>
        </is>
      </c>
      <c r="D1213" s="364">
        <f>SUM(D1199:D1212)</f>
        <v/>
      </c>
      <c r="E1213" s="361" t="n"/>
      <c r="F1213" s="364" t="inlineStr">
        <is>
          <t>TOTAL</t>
        </is>
      </c>
      <c r="G1213" s="364">
        <f>SUM(G1199:G1212)</f>
        <v/>
      </c>
      <c r="H1213" s="361" t="n"/>
      <c r="I1213" s="364" t="inlineStr">
        <is>
          <t>TOTAL</t>
        </is>
      </c>
      <c r="J1213" s="364">
        <f>SUM(J1199:J1212)</f>
        <v/>
      </c>
      <c r="K1213" s="186" t="n"/>
      <c r="L1213" s="166" t="n"/>
    </row>
    <row r="1218" ht="15.75" customHeight="1" s="2" thickBot="1">
      <c r="A1218" s="380" t="n"/>
      <c r="B1218" s="381" t="n"/>
      <c r="C1218" s="382" t="n"/>
      <c r="D1218" s="383" t="n"/>
      <c r="E1218" s="381" t="n"/>
      <c r="F1218" s="384" t="n"/>
      <c r="G1218" s="383" t="n"/>
      <c r="H1218" s="381" t="n"/>
      <c r="I1218" s="385" t="n"/>
      <c r="J1218" s="386" t="n"/>
    </row>
    <row r="1219" ht="15.75" customHeight="1" s="2" thickBot="1">
      <c r="A1219" s="380" t="n"/>
      <c r="B1219" s="387" t="inlineStr">
        <is>
          <t>28.5.2018</t>
        </is>
      </c>
      <c r="C1219" s="235" t="inlineStr">
        <is>
          <t>27.05.19</t>
        </is>
      </c>
      <c r="D1219" s="383" t="n"/>
      <c r="E1219" s="379" t="inlineStr">
        <is>
          <t>04.06.19</t>
        </is>
      </c>
      <c r="F1219" s="237" t="inlineStr">
        <is>
          <t>03.06.19</t>
        </is>
      </c>
      <c r="G1219" s="383" t="n"/>
      <c r="H1219" s="379" t="inlineStr">
        <is>
          <t>11.06.19</t>
        </is>
      </c>
      <c r="I1219" s="385" t="inlineStr">
        <is>
          <t>10.06.19</t>
        </is>
      </c>
      <c r="J1219" s="386" t="n"/>
    </row>
    <row r="1220" ht="15.75" customHeight="1" s="2" thickBot="1">
      <c r="A1220" s="388" t="n"/>
      <c r="B1220" s="389" t="inlineStr">
        <is>
          <t>Last Year</t>
        </is>
      </c>
      <c r="C1220" s="390" t="inlineStr">
        <is>
          <t>Projected</t>
        </is>
      </c>
      <c r="D1220" s="391" t="inlineStr">
        <is>
          <t>Actual</t>
        </is>
      </c>
      <c r="E1220" s="389" t="inlineStr">
        <is>
          <t>Last Year</t>
        </is>
      </c>
      <c r="F1220" s="390" t="inlineStr">
        <is>
          <t>Projected</t>
        </is>
      </c>
      <c r="G1220" s="391" t="inlineStr">
        <is>
          <t>Actual</t>
        </is>
      </c>
      <c r="H1220" s="389" t="inlineStr">
        <is>
          <t>Last Year</t>
        </is>
      </c>
      <c r="I1220" s="390" t="inlineStr">
        <is>
          <t>Projected</t>
        </is>
      </c>
      <c r="J1220" s="230" t="inlineStr">
        <is>
          <t>Actual</t>
        </is>
      </c>
    </row>
    <row r="1221" ht="15.75" customHeight="1" s="2">
      <c r="A1221" s="392" t="inlineStr">
        <is>
          <t>GROSS TOTAL</t>
        </is>
      </c>
      <c r="B1221" s="393" t="n">
        <v>173465.18</v>
      </c>
      <c r="C1221" s="394" t="n">
        <v>149980</v>
      </c>
      <c r="D1221" s="394" t="n">
        <v>151377.12</v>
      </c>
      <c r="E1221" s="184" t="n">
        <v>199743.71</v>
      </c>
      <c r="F1221" s="394" t="n">
        <v>183872</v>
      </c>
      <c r="G1221" s="394" t="n">
        <v>192488.74</v>
      </c>
      <c r="H1221" s="184" t="n">
        <v>215220.36</v>
      </c>
      <c r="I1221" s="394" t="n">
        <v>196648</v>
      </c>
      <c r="J1221" s="185" t="n">
        <v>215351.4</v>
      </c>
    </row>
    <row r="1222" ht="15.75" customHeight="1" s="2">
      <c r="A1222" s="395" t="inlineStr">
        <is>
          <t>NETT  TOTAL</t>
        </is>
      </c>
      <c r="B1222" s="396">
        <f>B1221/1.1</f>
        <v/>
      </c>
      <c r="C1222" s="81">
        <f>C1221/1.1</f>
        <v/>
      </c>
      <c r="D1222" s="82">
        <f>D1221/1.1</f>
        <v/>
      </c>
      <c r="E1222" s="32">
        <f>E1221/1.1</f>
        <v/>
      </c>
      <c r="F1222" s="81">
        <f>F1221/1.1</f>
        <v/>
      </c>
      <c r="G1222" s="82">
        <f>G1221/1.1</f>
        <v/>
      </c>
      <c r="H1222" s="32">
        <f>H1221/1.1</f>
        <v/>
      </c>
      <c r="I1222" s="81">
        <f>I1221/1.1</f>
        <v/>
      </c>
      <c r="J1222" s="39">
        <f>J1221/1.1</f>
        <v/>
      </c>
    </row>
    <row r="1223" ht="15.75" customHeight="1" s="2">
      <c r="A1223" s="397" t="inlineStr">
        <is>
          <t>Customers</t>
        </is>
      </c>
      <c r="B1223" s="398" t="n">
        <v>8435</v>
      </c>
      <c r="C1223" s="399" t="n">
        <v>7400</v>
      </c>
      <c r="D1223" s="399" t="n">
        <v>7289</v>
      </c>
      <c r="E1223" s="10" t="n">
        <v>9561</v>
      </c>
      <c r="F1223" s="399" t="n">
        <v>9010</v>
      </c>
      <c r="G1223" s="399" t="n">
        <v>9339</v>
      </c>
      <c r="H1223" s="10" t="n">
        <v>10403</v>
      </c>
      <c r="I1223" s="399" t="n">
        <v>9590</v>
      </c>
      <c r="J1223" s="11" t="n">
        <v>10249</v>
      </c>
    </row>
    <row r="1224" ht="15.75" customHeight="1" s="2">
      <c r="A1224" s="397" t="inlineStr">
        <is>
          <t>Average Customer Spend</t>
        </is>
      </c>
      <c r="B1224" s="80">
        <f>B1221/B1223</f>
        <v/>
      </c>
      <c r="C1224" s="81">
        <f>C1221/C1223</f>
        <v/>
      </c>
      <c r="D1224" s="82">
        <f>D1221/D1223</f>
        <v/>
      </c>
      <c r="E1224" s="32">
        <f>E1221/E1223</f>
        <v/>
      </c>
      <c r="F1224" s="81">
        <f>F1221/F1223</f>
        <v/>
      </c>
      <c r="G1224" s="82">
        <f>G1221/G1223</f>
        <v/>
      </c>
      <c r="H1224" s="32">
        <f>H1221/H1223</f>
        <v/>
      </c>
      <c r="I1224" s="81">
        <f>I1221/I1223</f>
        <v/>
      </c>
      <c r="J1224" s="33">
        <f>J1221/J1223</f>
        <v/>
      </c>
    </row>
    <row r="1225" ht="15.75" customHeight="1" s="2">
      <c r="A1225" s="400" t="inlineStr">
        <is>
          <t>Wage % to Gross total</t>
        </is>
      </c>
      <c r="B1225" s="80">
        <f>(B1228*B1229)/B1221</f>
        <v/>
      </c>
      <c r="C1225" s="81">
        <f>(C1228*C1229)/C1221</f>
        <v/>
      </c>
      <c r="D1225" s="81">
        <f>(D1228*D1229)/D1221</f>
        <v/>
      </c>
      <c r="E1225" s="39">
        <f>(E1228*E1229)/E1221</f>
        <v/>
      </c>
      <c r="F1225" s="81">
        <f>(F1228*F1229)/F1221</f>
        <v/>
      </c>
      <c r="G1225" s="396">
        <f>(G1228*G1229)/G1221</f>
        <v/>
      </c>
      <c r="H1225" s="39">
        <f>(H1228*H1229)/H1221</f>
        <v/>
      </c>
      <c r="I1225" s="81">
        <f>(I1228*I1229)/I1221</f>
        <v/>
      </c>
      <c r="J1225" s="33">
        <f>(J1228*J1229)/J1221</f>
        <v/>
      </c>
    </row>
    <row r="1226" ht="15.75" customHeight="1" s="2">
      <c r="A1226" s="400" t="inlineStr">
        <is>
          <t>Wage % to Nett Total</t>
        </is>
      </c>
      <c r="B1226" s="80">
        <f>(B1228*B1229)/B1222</f>
        <v/>
      </c>
      <c r="C1226" s="81">
        <f>(C1228*C1229)/C1222</f>
        <v/>
      </c>
      <c r="D1226" s="81">
        <f>(D1228*D1229)/D1222</f>
        <v/>
      </c>
      <c r="E1226" s="39">
        <f>(E1228*E1229)/E1222</f>
        <v/>
      </c>
      <c r="F1226" s="81">
        <f>(F1228*F1229)/F1222</f>
        <v/>
      </c>
      <c r="G1226" s="396">
        <f>(G1228*G1229)/G1222</f>
        <v/>
      </c>
      <c r="H1226" s="39">
        <f>(H1228*H1229)/H1222</f>
        <v/>
      </c>
      <c r="I1226" s="81">
        <f>(I1228*I1229)/I1222</f>
        <v/>
      </c>
      <c r="J1226" s="33">
        <f>(J1228*J1229)/J1222</f>
        <v/>
      </c>
    </row>
    <row r="1227" ht="15.75" customHeight="1" s="2">
      <c r="A1227" s="397" t="inlineStr">
        <is>
          <t>Productivity</t>
        </is>
      </c>
      <c r="B1227" s="80">
        <f>B1223/B1229</f>
        <v/>
      </c>
      <c r="C1227" s="81">
        <f>C1223/C1229</f>
        <v/>
      </c>
      <c r="D1227" s="81">
        <f>D1223/D1229</f>
        <v/>
      </c>
      <c r="E1227" s="32">
        <f>E1223/E1229</f>
        <v/>
      </c>
      <c r="F1227" s="81">
        <f>F1223/F1229</f>
        <v/>
      </c>
      <c r="G1227" s="81">
        <f>G1223/G1229</f>
        <v/>
      </c>
      <c r="H1227" s="32">
        <f>H1223/H1229</f>
        <v/>
      </c>
      <c r="I1227" s="81">
        <f>I1223/I1229</f>
        <v/>
      </c>
      <c r="J1227" s="81">
        <f>J1223/J1229</f>
        <v/>
      </c>
    </row>
    <row r="1228" ht="15.75" customHeight="1" s="2">
      <c r="A1228" s="397" t="inlineStr">
        <is>
          <t>Average Hourly Rate</t>
        </is>
      </c>
      <c r="B1228" s="80" t="n">
        <v>33.74</v>
      </c>
      <c r="C1228" s="401" t="n">
        <v>34</v>
      </c>
      <c r="D1228" s="82" t="n">
        <v>34.58</v>
      </c>
      <c r="E1228" s="32" t="n">
        <v>32.37</v>
      </c>
      <c r="F1228" s="401" t="n">
        <v>34</v>
      </c>
      <c r="G1228" s="82" t="n">
        <v>32.68</v>
      </c>
      <c r="H1228" s="32" t="n">
        <v>36.86</v>
      </c>
      <c r="I1228" s="401" t="n">
        <v>40</v>
      </c>
      <c r="J1228" s="33" t="n">
        <v>36.38</v>
      </c>
    </row>
    <row r="1229" ht="15.75" customHeight="1" s="2">
      <c r="A1229" s="397" t="inlineStr">
        <is>
          <t>Total hours for productivity</t>
        </is>
      </c>
      <c r="B1229" s="80" t="n">
        <v>1619.75</v>
      </c>
      <c r="C1229" s="401">
        <f>670.5+809</f>
        <v/>
      </c>
      <c r="D1229" s="82" t="n">
        <v>1429.25</v>
      </c>
      <c r="E1229" s="32" t="n">
        <v>1730.25</v>
      </c>
      <c r="F1229" s="401">
        <f>883+694</f>
        <v/>
      </c>
      <c r="G1229" s="82" t="n">
        <v>1581.5</v>
      </c>
      <c r="H1229" s="32" t="n">
        <v>1767.25</v>
      </c>
      <c r="I1229" s="401">
        <f>752.5+985.5</f>
        <v/>
      </c>
      <c r="J1229" s="33" t="n">
        <v>1696.4</v>
      </c>
    </row>
    <row r="1230" ht="15.75" customHeight="1" s="2">
      <c r="A1230" s="397" t="inlineStr">
        <is>
          <t>Training Hours used</t>
        </is>
      </c>
      <c r="B1230" s="396" t="n">
        <v>46</v>
      </c>
      <c r="C1230" s="401" t="n">
        <v>29</v>
      </c>
      <c r="D1230" s="82" t="n">
        <v>29</v>
      </c>
      <c r="E1230" s="32" t="n">
        <v>27</v>
      </c>
      <c r="F1230" s="401" t="n"/>
      <c r="G1230" s="82" t="n">
        <v>20</v>
      </c>
      <c r="H1230" s="32" t="n">
        <v>28.5</v>
      </c>
      <c r="I1230" s="401" t="n"/>
      <c r="J1230" s="39" t="n"/>
    </row>
    <row r="1231" ht="15.75" customHeight="1" s="2" thickBot="1">
      <c r="A1231" s="402" t="inlineStr">
        <is>
          <t>Number of hours used to cover sick leave</t>
        </is>
      </c>
      <c r="B1231" s="403" t="n"/>
      <c r="C1231" s="83" t="n"/>
      <c r="D1231" s="84" t="n"/>
      <c r="E1231" s="34" t="n"/>
      <c r="F1231" s="404" t="n">
        <v>45</v>
      </c>
      <c r="G1231" s="84" t="n">
        <v>18</v>
      </c>
      <c r="H1231" s="34" t="n"/>
      <c r="I1231" s="404" t="n"/>
      <c r="J1231" s="233" t="n"/>
    </row>
    <row r="1232" ht="15.75" customHeight="1" s="2" thickBot="1">
      <c r="A1232" s="405" t="inlineStr">
        <is>
          <t>Minimum HOURS</t>
        </is>
      </c>
      <c r="B1232" s="85" t="n"/>
      <c r="C1232" s="86" t="n">
        <v>549</v>
      </c>
      <c r="D1232" s="85" t="n">
        <v>680</v>
      </c>
      <c r="E1232" s="35" t="n">
        <v>558.5</v>
      </c>
      <c r="F1232" s="86" t="n">
        <v>546</v>
      </c>
      <c r="G1232" s="87" t="n">
        <v>602.5</v>
      </c>
      <c r="H1232" s="36" t="n"/>
      <c r="I1232" s="86" t="n">
        <v>586.5</v>
      </c>
      <c r="J1232" s="35" t="n"/>
    </row>
    <row r="1233" ht="15.75" customHeight="1" s="2" thickBot="1">
      <c r="A1233" s="406" t="n"/>
      <c r="B1233" s="85" t="n"/>
      <c r="C1233" s="88" t="n">
        <v>605.5</v>
      </c>
      <c r="D1233" s="85" t="n">
        <v>630</v>
      </c>
      <c r="E1233" s="35" t="n">
        <v>865</v>
      </c>
      <c r="F1233" s="88" t="n">
        <v>660</v>
      </c>
      <c r="G1233" s="407" t="n">
        <v>664</v>
      </c>
      <c r="H1233" s="234" t="n"/>
      <c r="I1233" s="88" t="n">
        <v>752.5</v>
      </c>
      <c r="J1233" s="35" t="n"/>
    </row>
    <row r="1234" ht="15.75" customHeight="1" s="2" thickBot="1">
      <c r="A1234" s="406" t="n"/>
      <c r="B1234" s="85">
        <f>SUM(B1232:B1233)</f>
        <v/>
      </c>
      <c r="C1234" s="408">
        <f>SUM(C1232:C1233)</f>
        <v/>
      </c>
      <c r="D1234" s="85">
        <f>SUM(D1232:D1233)</f>
        <v/>
      </c>
      <c r="E1234" s="35">
        <f>SUM(E1232:E1233)</f>
        <v/>
      </c>
      <c r="F1234" s="408">
        <f>SUM(F1232:F1233)</f>
        <v/>
      </c>
      <c r="G1234" s="85">
        <f>SUM(G1232:G1233)</f>
        <v/>
      </c>
      <c r="H1234" s="35">
        <f>SUM(H1232:H1233)</f>
        <v/>
      </c>
      <c r="I1234" s="408">
        <f>SUM(I1232:I1233)</f>
        <v/>
      </c>
      <c r="J1234" s="35">
        <f>SUM(J1232:J1233)</f>
        <v/>
      </c>
      <c r="K1234" s="171" t="n"/>
      <c r="L1234" s="166" t="n"/>
    </row>
    <row r="1235" ht="15.75" customHeight="1" s="2">
      <c r="A1235" s="202" t="n"/>
      <c r="B1235" s="289" t="n"/>
      <c r="C1235" s="279" t="inlineStr">
        <is>
          <t>Kitchen</t>
        </is>
      </c>
      <c r="D1235" s="271" t="n"/>
      <c r="E1235" s="290" t="n"/>
      <c r="F1235" s="279" t="inlineStr">
        <is>
          <t>Kitchen</t>
        </is>
      </c>
      <c r="G1235" s="271" t="n"/>
      <c r="H1235" s="290" t="n"/>
      <c r="I1235" s="279" t="inlineStr">
        <is>
          <t>Kitchen</t>
        </is>
      </c>
      <c r="J1235" s="271" t="n"/>
      <c r="K1235" s="186" t="n"/>
      <c r="L1235" s="166" t="n"/>
    </row>
    <row r="1236" ht="15.75" customHeight="1" s="2">
      <c r="A1236" s="202" t="n"/>
      <c r="B1236" s="289" t="n"/>
      <c r="C1236" s="275" t="n"/>
      <c r="D1236" s="271" t="n"/>
      <c r="E1236" s="290" t="n"/>
      <c r="F1236" s="271" t="inlineStr">
        <is>
          <t xml:space="preserve">bibek grill </t>
        </is>
      </c>
      <c r="G1236" s="271" t="n">
        <v>10</v>
      </c>
      <c r="H1236" s="290" t="n"/>
      <c r="I1236" s="271" t="n"/>
      <c r="J1236" s="271" t="n"/>
      <c r="K1236" s="186" t="n"/>
      <c r="L1236" s="166" t="n"/>
    </row>
    <row r="1237" ht="15.75" customHeight="1" s="2">
      <c r="A1237" s="202" t="n"/>
      <c r="B1237" s="289" t="n"/>
      <c r="C1237" s="275" t="n"/>
      <c r="D1237" s="271" t="n"/>
      <c r="E1237" s="290" t="n"/>
      <c r="F1237" s="271" t="n"/>
      <c r="G1237" s="271" t="n"/>
      <c r="H1237" s="290" t="n"/>
      <c r="I1237" s="271" t="n"/>
      <c r="J1237" s="271" t="n"/>
      <c r="K1237" s="186" t="n"/>
      <c r="L1237" s="166" t="n"/>
    </row>
    <row r="1238" ht="15.75" customHeight="1" s="2">
      <c r="A1238" s="202" t="n"/>
      <c r="B1238" s="289" t="n"/>
      <c r="C1238" s="275" t="n"/>
      <c r="D1238" s="271" t="n"/>
      <c r="E1238" s="290" t="n"/>
      <c r="F1238" s="271" t="n"/>
      <c r="G1238" s="271" t="n"/>
      <c r="H1238" s="290" t="n"/>
      <c r="I1238" s="271" t="n"/>
      <c r="J1238" s="271" t="n"/>
      <c r="K1238" s="186" t="n"/>
      <c r="L1238" s="166" t="n"/>
    </row>
    <row r="1239" ht="15.75" customHeight="1" s="2">
      <c r="A1239" s="202" t="n"/>
      <c r="B1239" s="289" t="n"/>
      <c r="C1239" s="275" t="n"/>
      <c r="D1239" s="271" t="n"/>
      <c r="E1239" s="290" t="n"/>
      <c r="F1239" s="271" t="n"/>
      <c r="G1239" s="271" t="n"/>
      <c r="H1239" s="290" t="n"/>
      <c r="I1239" s="271" t="n"/>
      <c r="J1239" s="271" t="n"/>
      <c r="K1239" s="186" t="n"/>
      <c r="L1239" s="166" t="n"/>
    </row>
    <row r="1240" ht="15.75" customHeight="1" s="2">
      <c r="A1240" s="202" t="n"/>
      <c r="B1240" s="289" t="n"/>
      <c r="C1240" s="275" t="n"/>
      <c r="D1240" s="271" t="n"/>
      <c r="E1240" s="290" t="n"/>
      <c r="F1240" s="271" t="n"/>
      <c r="G1240" s="271" t="n"/>
      <c r="H1240" s="290" t="n"/>
      <c r="I1240" s="271" t="n"/>
      <c r="J1240" s="271" t="n"/>
      <c r="K1240" s="186" t="n"/>
      <c r="L1240" s="166" t="n"/>
    </row>
    <row r="1241" ht="15.75" customHeight="1" s="2">
      <c r="A1241" s="202" t="n"/>
      <c r="B1241" s="289" t="n"/>
      <c r="C1241" s="275" t="n"/>
      <c r="D1241" s="271" t="n"/>
      <c r="E1241" s="290" t="n"/>
      <c r="F1241" s="271" t="n"/>
      <c r="G1241" s="271" t="n"/>
      <c r="H1241" s="290">
        <f>I1228-J1228</f>
        <v/>
      </c>
      <c r="I1241" s="275" t="n"/>
      <c r="J1241" s="271" t="n"/>
      <c r="K1241" s="186" t="n"/>
      <c r="L1241" s="166" t="n"/>
    </row>
    <row r="1242" ht="15.75" customHeight="1" s="2">
      <c r="A1242" s="202" t="n"/>
      <c r="B1242" s="289" t="n"/>
      <c r="C1242" s="277" t="n"/>
      <c r="D1242" s="271" t="n"/>
      <c r="E1242" s="290" t="n"/>
      <c r="F1242" s="271" t="n"/>
      <c r="G1242" s="271" t="n"/>
      <c r="H1242" s="290" t="n"/>
      <c r="I1242" s="275" t="inlineStr">
        <is>
          <t>Floor</t>
        </is>
      </c>
      <c r="J1242" s="271" t="n"/>
      <c r="K1242" s="186" t="n"/>
      <c r="L1242" s="166" t="n"/>
    </row>
    <row r="1243" ht="15.75" customHeight="1" s="2">
      <c r="A1243" s="202" t="n"/>
      <c r="B1243" s="289" t="n"/>
      <c r="C1243" s="271" t="n"/>
      <c r="D1243" s="271" t="n"/>
      <c r="E1243" s="290" t="n"/>
      <c r="F1243" s="277" t="n"/>
      <c r="G1243" s="271" t="n"/>
      <c r="H1243" s="290" t="n"/>
      <c r="I1243" s="277" t="n"/>
      <c r="J1243" s="271" t="n"/>
      <c r="K1243" s="186" t="n"/>
      <c r="L1243" s="166" t="n"/>
    </row>
    <row r="1244" ht="15.75" customHeight="1" s="2">
      <c r="A1244" s="202" t="n"/>
      <c r="B1244" s="289" t="n"/>
      <c r="C1244" s="275" t="inlineStr">
        <is>
          <t>Floor</t>
        </is>
      </c>
      <c r="D1244" s="271" t="n"/>
      <c r="E1244" s="290" t="n"/>
      <c r="F1244" s="275" t="inlineStr">
        <is>
          <t>Floor</t>
        </is>
      </c>
      <c r="G1244" s="271" t="n"/>
      <c r="H1244" s="290">
        <f>195774-178771</f>
        <v/>
      </c>
      <c r="I1244" s="271" t="n"/>
      <c r="J1244" s="271" t="n"/>
      <c r="K1244" s="186" t="n"/>
      <c r="L1244" s="166" t="n"/>
    </row>
    <row r="1245" ht="15.75" customHeight="1" s="2">
      <c r="A1245" s="202" t="n"/>
      <c r="B1245" s="289" t="n"/>
      <c r="C1245" s="277" t="n"/>
      <c r="D1245" s="271" t="n"/>
      <c r="E1245" s="290" t="n"/>
      <c r="F1245" s="277" t="inlineStr">
        <is>
          <t xml:space="preserve">lisa BAR </t>
        </is>
      </c>
      <c r="G1245" s="271" t="n">
        <v>10</v>
      </c>
      <c r="H1245" s="290">
        <f>10249-9590</f>
        <v/>
      </c>
      <c r="I1245" s="271" t="n"/>
      <c r="J1245" s="271" t="n"/>
      <c r="K1245" s="186" t="n"/>
      <c r="L1245" s="166" t="n"/>
    </row>
    <row r="1246" ht="15.75" customHeight="1" s="2">
      <c r="A1246" s="202" t="n"/>
      <c r="B1246" s="289" t="n"/>
      <c r="C1246" s="277" t="n"/>
      <c r="D1246" s="271" t="n"/>
      <c r="E1246" s="290" t="n"/>
      <c r="F1246" s="277" t="n"/>
      <c r="G1246" s="271" t="n"/>
      <c r="H1246" s="290">
        <f>I1226-J1226</f>
        <v/>
      </c>
      <c r="I1246" s="271" t="n"/>
      <c r="J1246" s="271" t="n"/>
      <c r="K1246" s="186" t="n"/>
      <c r="L1246" s="166" t="n"/>
    </row>
    <row r="1247" ht="15.75" customHeight="1" s="2">
      <c r="A1247" s="202" t="n"/>
      <c r="B1247" s="289" t="n"/>
      <c r="C1247" s="271" t="n"/>
      <c r="D1247" s="271" t="n"/>
      <c r="E1247" s="290" t="n"/>
      <c r="F1247" s="277" t="n"/>
      <c r="G1247" s="271" t="n"/>
      <c r="H1247" s="290" t="n"/>
      <c r="I1247" s="271" t="n"/>
      <c r="J1247" s="271" t="n"/>
      <c r="K1247" s="186" t="n"/>
      <c r="L1247" s="166" t="n"/>
    </row>
    <row r="1248" ht="15.75" customHeight="1" s="2">
      <c r="A1248" s="202" t="n"/>
      <c r="B1248" s="289" t="n"/>
      <c r="C1248" s="277" t="n"/>
      <c r="D1248" s="271" t="n"/>
      <c r="E1248" s="290" t="n"/>
      <c r="F1248" s="277" t="n"/>
      <c r="G1248" s="271" t="n"/>
      <c r="H1248" s="290" t="n"/>
      <c r="I1248" s="271" t="n"/>
      <c r="J1248" s="271" t="n"/>
      <c r="K1248" s="186" t="n"/>
      <c r="L1248" s="166" t="n"/>
    </row>
    <row r="1249" ht="15.75" customHeight="1" s="2">
      <c r="A1249" s="202" t="n"/>
      <c r="B1249" s="289" t="n"/>
      <c r="C1249" s="271" t="n"/>
      <c r="D1249" s="271" t="n"/>
      <c r="E1249" s="290" t="n"/>
      <c r="F1249" s="271" t="n"/>
      <c r="G1249" s="271" t="n"/>
      <c r="H1249" s="290" t="n"/>
      <c r="I1249" s="271" t="n"/>
      <c r="J1249" s="271" t="n"/>
      <c r="K1249" s="186" t="n"/>
      <c r="L1249" s="166" t="n"/>
    </row>
    <row r="1250" ht="15.75" customHeight="1" s="2">
      <c r="A1250" s="202" t="n"/>
      <c r="B1250" s="289" t="n"/>
      <c r="C1250" s="280" t="inlineStr">
        <is>
          <t>TOTAL</t>
        </is>
      </c>
      <c r="D1250" s="280">
        <f>SUM(D1236:D1249)</f>
        <v/>
      </c>
      <c r="E1250" s="290" t="n"/>
      <c r="F1250" s="280" t="inlineStr">
        <is>
          <t>TOTAL</t>
        </is>
      </c>
      <c r="G1250" s="280">
        <f>SUM(G1236:G1249)</f>
        <v/>
      </c>
      <c r="H1250" s="290" t="n"/>
      <c r="I1250" s="280" t="inlineStr">
        <is>
          <t>TOTAL</t>
        </is>
      </c>
      <c r="J1250" s="280">
        <f>SUM(J1236:J1249)</f>
        <v/>
      </c>
      <c r="K1250" s="186" t="n"/>
      <c r="L1250" s="166" t="n"/>
    </row>
    <row r="1255" ht="15.75" customHeight="1" s="2" thickBot="1">
      <c r="A1255" s="380" t="n"/>
      <c r="B1255" s="381" t="n"/>
      <c r="C1255" s="382" t="n"/>
      <c r="D1255" s="383" t="n"/>
      <c r="E1255" s="381" t="n"/>
      <c r="F1255" s="384" t="n"/>
      <c r="G1255" s="383" t="n"/>
      <c r="H1255" s="381" t="n"/>
      <c r="I1255" s="385" t="n"/>
      <c r="J1255" s="386" t="n"/>
    </row>
    <row r="1256" ht="15.75" customHeight="1" s="2" thickBot="1">
      <c r="A1256" s="380" t="n"/>
      <c r="B1256" s="409" t="inlineStr">
        <is>
          <t>18.06.18</t>
        </is>
      </c>
      <c r="C1256" s="235" t="inlineStr">
        <is>
          <t>17.06.19</t>
        </is>
      </c>
      <c r="D1256" s="383" t="n"/>
      <c r="E1256" s="410" t="inlineStr">
        <is>
          <t>25.06.18</t>
        </is>
      </c>
      <c r="F1256" s="237" t="inlineStr">
        <is>
          <t>24.06.19</t>
        </is>
      </c>
      <c r="G1256" s="383" t="n"/>
      <c r="H1256" s="379" t="inlineStr">
        <is>
          <t>3.06.19</t>
        </is>
      </c>
      <c r="I1256" s="237" t="inlineStr">
        <is>
          <t>1.06.19</t>
        </is>
      </c>
      <c r="J1256" s="386" t="n"/>
    </row>
    <row r="1257" ht="15.75" customHeight="1" s="2" thickBot="1">
      <c r="A1257" s="388" t="n"/>
      <c r="B1257" s="230" t="inlineStr">
        <is>
          <t xml:space="preserve">last year </t>
        </is>
      </c>
      <c r="C1257" s="390" t="inlineStr">
        <is>
          <t>Projected</t>
        </is>
      </c>
      <c r="D1257" s="391" t="inlineStr">
        <is>
          <t>Actual</t>
        </is>
      </c>
      <c r="E1257" s="178" t="inlineStr">
        <is>
          <t xml:space="preserve">last year </t>
        </is>
      </c>
      <c r="F1257" s="390" t="inlineStr">
        <is>
          <t>Projected</t>
        </is>
      </c>
      <c r="G1257" s="391" t="inlineStr">
        <is>
          <t>Actual</t>
        </is>
      </c>
      <c r="H1257" s="389" t="inlineStr">
        <is>
          <t xml:space="preserve">last year </t>
        </is>
      </c>
      <c r="I1257" s="390" t="inlineStr">
        <is>
          <t>Projected</t>
        </is>
      </c>
      <c r="J1257" s="230" t="inlineStr">
        <is>
          <t>Actual</t>
        </is>
      </c>
    </row>
    <row r="1258" ht="15.75" customHeight="1" s="2">
      <c r="A1258" s="392" t="inlineStr">
        <is>
          <t>GROSS TOTAL</t>
        </is>
      </c>
      <c r="B1258" s="185" t="n">
        <v>196617.99</v>
      </c>
      <c r="C1258" s="394" t="n">
        <v>154184</v>
      </c>
      <c r="D1258" s="394" t="n">
        <v>160795.17</v>
      </c>
      <c r="E1258" s="185" t="n">
        <v>196617.99</v>
      </c>
      <c r="F1258" s="394" t="n">
        <v>135968</v>
      </c>
      <c r="G1258" s="394" t="n">
        <v>133060.83</v>
      </c>
      <c r="H1258" s="184" t="n">
        <v>153395.09</v>
      </c>
      <c r="I1258" s="394" t="n">
        <v>138510</v>
      </c>
      <c r="J1258" s="185" t="n"/>
    </row>
    <row r="1259" ht="15.75" customHeight="1" s="2">
      <c r="A1259" s="395" t="inlineStr">
        <is>
          <t>NETT  TOTAL</t>
        </is>
      </c>
      <c r="B1259" s="39">
        <f>B1258/1.1</f>
        <v/>
      </c>
      <c r="C1259" s="81">
        <f>C1258/1.1</f>
        <v/>
      </c>
      <c r="D1259" s="82">
        <f>D1258/1.1</f>
        <v/>
      </c>
      <c r="E1259" s="39">
        <f>E1258/1.1</f>
        <v/>
      </c>
      <c r="F1259" s="81">
        <f>F1258/1.1</f>
        <v/>
      </c>
      <c r="G1259" s="82">
        <f>G1258/1.1</f>
        <v/>
      </c>
      <c r="H1259" s="32">
        <f>H1258/1.1</f>
        <v/>
      </c>
      <c r="I1259" s="411">
        <f>I1258/1.1</f>
        <v/>
      </c>
      <c r="J1259" s="82">
        <f>J1258/1.1</f>
        <v/>
      </c>
    </row>
    <row r="1260" ht="15.75" customHeight="1" s="2">
      <c r="A1260" s="397" t="inlineStr">
        <is>
          <t>Customers</t>
        </is>
      </c>
      <c r="B1260" s="11" t="n">
        <v>9698</v>
      </c>
      <c r="C1260" s="399" t="n">
        <v>7590</v>
      </c>
      <c r="D1260" s="399" t="n">
        <v>7880</v>
      </c>
      <c r="E1260" s="11" t="n">
        <v>9698</v>
      </c>
      <c r="F1260" s="399" t="n">
        <v>6800</v>
      </c>
      <c r="G1260" s="399" t="n">
        <v>6544</v>
      </c>
      <c r="H1260" s="10" t="n">
        <v>7546</v>
      </c>
      <c r="I1260" s="399" t="n">
        <v>6925</v>
      </c>
      <c r="J1260" s="11" t="n"/>
    </row>
    <row r="1261" ht="15.75" customHeight="1" s="2">
      <c r="A1261" s="397" t="inlineStr">
        <is>
          <t>Average Customer Spend</t>
        </is>
      </c>
      <c r="B1261" s="33">
        <f>B1258/B1260</f>
        <v/>
      </c>
      <c r="C1261" s="81">
        <f>C1258/C1260</f>
        <v/>
      </c>
      <c r="D1261" s="82">
        <f>D1258/D1260</f>
        <v/>
      </c>
      <c r="E1261" s="33">
        <f>E1258/E1260</f>
        <v/>
      </c>
      <c r="F1261" s="81">
        <f>F1258/F1260</f>
        <v/>
      </c>
      <c r="G1261" s="82">
        <f>G1258/G1260</f>
        <v/>
      </c>
      <c r="H1261" s="32">
        <f>H1258/H1260</f>
        <v/>
      </c>
      <c r="I1261" s="411">
        <f>I1258/I1260</f>
        <v/>
      </c>
      <c r="J1261" s="82">
        <f>J1258/J1260</f>
        <v/>
      </c>
    </row>
    <row r="1262" ht="15.75" customHeight="1" s="2">
      <c r="A1262" s="400" t="inlineStr">
        <is>
          <t>Wage % to Gross total</t>
        </is>
      </c>
      <c r="B1262" s="33">
        <f>(B1265*B1266)/B1258</f>
        <v/>
      </c>
      <c r="C1262" s="81">
        <f>(C1265*C1266)/C1258</f>
        <v/>
      </c>
      <c r="D1262" s="92">
        <f>(D1265*D1266)/D1258</f>
        <v/>
      </c>
      <c r="E1262" s="33">
        <f>(E1265*E1266)/E1258</f>
        <v/>
      </c>
      <c r="F1262" s="81">
        <f>(F1265*F1266)/F1258</f>
        <v/>
      </c>
      <c r="G1262" s="396">
        <f>(G1265*G1266)/G1258</f>
        <v/>
      </c>
      <c r="H1262" s="39">
        <f>(H1265*H1266)/H1258</f>
        <v/>
      </c>
      <c r="I1262" s="412">
        <f>(I1265*I1266)/I1258</f>
        <v/>
      </c>
      <c r="J1262" s="33">
        <f>(J1265*J1266)/J1258</f>
        <v/>
      </c>
    </row>
    <row r="1263" ht="15.75" customHeight="1" s="2">
      <c r="A1263" s="400" t="inlineStr">
        <is>
          <t>Wage % to Nett Total</t>
        </is>
      </c>
      <c r="B1263" s="33">
        <f>(B1265*B1266)/B1259</f>
        <v/>
      </c>
      <c r="C1263" s="81">
        <f>(C1265*C1266)/C1259</f>
        <v/>
      </c>
      <c r="D1263" s="92">
        <f>(D1265*D1266)/D1259</f>
        <v/>
      </c>
      <c r="E1263" s="33">
        <f>(E1265*E1266)/E1259</f>
        <v/>
      </c>
      <c r="F1263" s="81">
        <f>(F1265*F1266)/F1259</f>
        <v/>
      </c>
      <c r="G1263" s="396">
        <f>(G1265*G1266)/G1259</f>
        <v/>
      </c>
      <c r="H1263" s="39">
        <f>(H1265*H1266)/H1259</f>
        <v/>
      </c>
      <c r="I1263" s="412">
        <f>(I1265*I1266)/I1259</f>
        <v/>
      </c>
      <c r="J1263" s="33">
        <f>(J1265*J1266)/J1259</f>
        <v/>
      </c>
    </row>
    <row r="1264" ht="15.75" customHeight="1" s="2">
      <c r="A1264" s="397" t="inlineStr">
        <is>
          <t>Productivity</t>
        </is>
      </c>
      <c r="B1264" s="33">
        <f>B1260/B1266</f>
        <v/>
      </c>
      <c r="C1264" s="81">
        <f>C1260/C1266</f>
        <v/>
      </c>
      <c r="D1264" s="92">
        <f>D1260/D1266</f>
        <v/>
      </c>
      <c r="E1264" s="33">
        <f>E1260/E1266</f>
        <v/>
      </c>
      <c r="F1264" s="93">
        <f>F1260/F1266</f>
        <v/>
      </c>
      <c r="G1264" s="33">
        <f>G1260/G1266</f>
        <v/>
      </c>
      <c r="H1264" s="32">
        <f>H1260/H1266</f>
        <v/>
      </c>
      <c r="I1264" s="93">
        <f>I1260/I1266</f>
        <v/>
      </c>
      <c r="J1264" s="33">
        <f>J1260/J1266</f>
        <v/>
      </c>
    </row>
    <row r="1265" ht="15.75" customHeight="1" s="2">
      <c r="A1265" s="397" t="inlineStr">
        <is>
          <t>Average Hourly Rate</t>
        </is>
      </c>
      <c r="B1265" s="33" t="n">
        <v>33.32</v>
      </c>
      <c r="C1265" s="401" t="n">
        <v>35</v>
      </c>
      <c r="D1265" s="82" t="n">
        <v>33.42</v>
      </c>
      <c r="E1265" s="33" t="n">
        <v>33.32</v>
      </c>
      <c r="F1265" s="401" t="n">
        <v>35</v>
      </c>
      <c r="G1265" s="82" t="n">
        <v>33.22</v>
      </c>
      <c r="H1265" s="32" t="n">
        <v>33.32</v>
      </c>
      <c r="I1265" s="94" t="n"/>
      <c r="J1265" s="33" t="n">
        <v>33.82</v>
      </c>
    </row>
    <row r="1266" ht="15.75" customHeight="1" s="2">
      <c r="A1266" s="397" t="inlineStr">
        <is>
          <t>Total hours for productivity</t>
        </is>
      </c>
      <c r="B1266" s="33" t="n">
        <v>1651.5</v>
      </c>
      <c r="C1266" s="401">
        <f>791+723</f>
        <v/>
      </c>
      <c r="D1266" s="82" t="n">
        <v>1407</v>
      </c>
      <c r="E1266" s="33" t="n">
        <v>1651.5</v>
      </c>
      <c r="F1266" s="401" t="n">
        <v>1351.5</v>
      </c>
      <c r="G1266" s="82" t="n">
        <v>1349.75</v>
      </c>
      <c r="H1266" s="32" t="n">
        <v>1530.5</v>
      </c>
      <c r="I1266" s="94" t="n"/>
      <c r="J1266" s="33" t="n">
        <v>1300.75</v>
      </c>
    </row>
    <row r="1267" ht="15.75" customHeight="1" s="2">
      <c r="A1267" s="397" t="inlineStr">
        <is>
          <t>Training Hours used</t>
        </is>
      </c>
      <c r="B1267" s="39" t="n">
        <v>51</v>
      </c>
      <c r="C1267" s="401" t="n"/>
      <c r="D1267" s="82" t="n"/>
      <c r="E1267" s="39" t="n">
        <v>51</v>
      </c>
      <c r="F1267" s="401" t="n"/>
      <c r="G1267" s="82" t="n"/>
      <c r="H1267" s="32" t="n"/>
      <c r="I1267" s="413" t="n"/>
      <c r="J1267" s="39" t="n"/>
    </row>
    <row r="1268" ht="15.75" customHeight="1" s="2" thickBot="1">
      <c r="A1268" s="402" t="inlineStr">
        <is>
          <t>Number of hours used to cover sick leave</t>
        </is>
      </c>
      <c r="B1268" s="233" t="n"/>
      <c r="C1268" s="83" t="n"/>
      <c r="D1268" s="84" t="n"/>
      <c r="E1268" s="233" t="n"/>
      <c r="F1268" s="404" t="n"/>
      <c r="G1268" s="84" t="n"/>
      <c r="H1268" s="34" t="n"/>
      <c r="I1268" s="404" t="n"/>
      <c r="J1268" s="233" t="n">
        <v>38.5</v>
      </c>
    </row>
    <row r="1269" ht="15.75" customHeight="1" s="2" thickBot="1">
      <c r="A1269" s="405" t="inlineStr">
        <is>
          <t>Minimum HOURS</t>
        </is>
      </c>
      <c r="B1269" s="35" t="n"/>
      <c r="C1269" s="86" t="n"/>
      <c r="D1269" s="85" t="n"/>
      <c r="E1269" s="16" t="n"/>
      <c r="F1269" s="86" t="n"/>
      <c r="G1269" s="87" t="n"/>
      <c r="H1269" s="36" t="n"/>
      <c r="I1269" s="86" t="n"/>
      <c r="J1269" s="35" t="n"/>
    </row>
    <row r="1270" ht="15.75" customHeight="1" s="2" thickBot="1">
      <c r="A1270" s="406" t="n"/>
      <c r="B1270" s="35" t="n"/>
      <c r="C1270" s="88" t="n"/>
      <c r="D1270" s="85" t="n"/>
      <c r="E1270" s="18" t="n"/>
      <c r="F1270" s="88" t="n"/>
      <c r="G1270" s="407" t="n"/>
      <c r="H1270" s="234" t="n"/>
      <c r="I1270" s="88" t="n"/>
      <c r="J1270" s="35" t="n"/>
    </row>
    <row r="1271" ht="15.75" customHeight="1" s="2" thickBot="1">
      <c r="A1271" s="406" t="n"/>
      <c r="B1271" s="35">
        <f>SUM(B1269:B1270)</f>
        <v/>
      </c>
      <c r="C1271" s="408">
        <f>SUM(C1269:C1270)</f>
        <v/>
      </c>
      <c r="D1271" s="85">
        <f>SUM(D1269:D1270)</f>
        <v/>
      </c>
      <c r="E1271" s="42">
        <f>SUM(E1269:E1270)</f>
        <v/>
      </c>
      <c r="F1271" s="408">
        <f>SUM(F1269:F1270)</f>
        <v/>
      </c>
      <c r="G1271" s="85">
        <f>SUM(G1269:G1270)</f>
        <v/>
      </c>
      <c r="H1271" s="35">
        <f>SUM(H1269:H1270)</f>
        <v/>
      </c>
      <c r="I1271" s="408" t="n"/>
      <c r="J1271" s="35">
        <f>SUM(J1269:J1270)</f>
        <v/>
      </c>
      <c r="K1271" s="171" t="n"/>
      <c r="L1271" s="166" t="n"/>
    </row>
    <row r="1272" ht="15.75" customHeight="1" s="2">
      <c r="A1272" s="202" t="n"/>
      <c r="B1272" s="289" t="n"/>
      <c r="C1272" s="279" t="inlineStr">
        <is>
          <t>Kitchen</t>
        </is>
      </c>
      <c r="D1272" s="271" t="n"/>
      <c r="E1272" s="290" t="n"/>
      <c r="F1272" s="279" t="inlineStr">
        <is>
          <t>Kitchen</t>
        </is>
      </c>
      <c r="G1272" s="271" t="n"/>
      <c r="H1272" s="290" t="n"/>
      <c r="I1272" s="279" t="inlineStr">
        <is>
          <t>Kitchen</t>
        </is>
      </c>
      <c r="J1272" s="271" t="n"/>
      <c r="K1272" s="186" t="n"/>
      <c r="L1272" s="166" t="n"/>
    </row>
    <row r="1273" ht="15.75" customHeight="1" s="2">
      <c r="A1273" s="202" t="n"/>
      <c r="B1273" s="289" t="n"/>
      <c r="C1273" s="275" t="n"/>
      <c r="D1273" s="271" t="n"/>
      <c r="E1273" s="290" t="n"/>
      <c r="F1273" s="271" t="n"/>
      <c r="G1273" s="271" t="n"/>
      <c r="H1273" s="290" t="n"/>
      <c r="I1273" s="271" t="n"/>
      <c r="J1273" s="271" t="n"/>
      <c r="K1273" s="186" t="n"/>
      <c r="L1273" s="166" t="n"/>
    </row>
    <row r="1274" ht="15.75" customHeight="1" s="2">
      <c r="A1274" s="202" t="n"/>
      <c r="B1274" s="289" t="n"/>
      <c r="C1274" s="275" t="n"/>
      <c r="D1274" s="271" t="n"/>
      <c r="E1274" s="290" t="n"/>
      <c r="F1274" s="271" t="n"/>
      <c r="G1274" s="271" t="n"/>
      <c r="H1274" s="290" t="n"/>
      <c r="I1274" s="271" t="n"/>
      <c r="J1274" s="271" t="n"/>
      <c r="K1274" s="186" t="n"/>
      <c r="L1274" s="166" t="n"/>
    </row>
    <row r="1275" ht="15.75" customHeight="1" s="2">
      <c r="A1275" s="202" t="n"/>
      <c r="B1275" s="289" t="n"/>
      <c r="C1275" s="275" t="n"/>
      <c r="D1275" s="271" t="n"/>
      <c r="E1275" s="290" t="n"/>
      <c r="F1275" s="271" t="n"/>
      <c r="G1275" s="271" t="n"/>
      <c r="H1275" s="290" t="n"/>
      <c r="I1275" s="271" t="n"/>
      <c r="J1275" s="271" t="n"/>
      <c r="K1275" s="186" t="n"/>
      <c r="L1275" s="166" t="n"/>
    </row>
    <row r="1276" ht="15.75" customHeight="1" s="2">
      <c r="A1276" s="202" t="n"/>
      <c r="B1276" s="289" t="n"/>
      <c r="C1276" s="275" t="n"/>
      <c r="D1276" s="271" t="n"/>
      <c r="E1276" s="290" t="n"/>
      <c r="F1276" s="271" t="n"/>
      <c r="G1276" s="271" t="n"/>
      <c r="H1276" s="290" t="n"/>
      <c r="I1276" s="271" t="n"/>
      <c r="J1276" s="271" t="n"/>
      <c r="K1276" s="186" t="n"/>
      <c r="L1276" s="166" t="n"/>
    </row>
    <row r="1277" ht="15.75" customHeight="1" s="2">
      <c r="A1277" s="202" t="n"/>
      <c r="B1277" s="289" t="n"/>
      <c r="C1277" s="275" t="n"/>
      <c r="D1277" s="271" t="n"/>
      <c r="E1277" s="290" t="n"/>
      <c r="F1277" s="271" t="n"/>
      <c r="G1277" s="271" t="n"/>
      <c r="H1277" s="290" t="n"/>
      <c r="I1277" s="271" t="n"/>
      <c r="J1277" s="271" t="n"/>
      <c r="K1277" s="186" t="n"/>
      <c r="L1277" s="166" t="n"/>
    </row>
    <row r="1278" ht="15.75" customHeight="1" s="2">
      <c r="A1278" s="202" t="n"/>
      <c r="B1278" s="289" t="n"/>
      <c r="C1278" s="275" t="n"/>
      <c r="D1278" s="271" t="n"/>
      <c r="E1278" s="290" t="n"/>
      <c r="F1278" s="271" t="n"/>
      <c r="G1278" s="271" t="n"/>
      <c r="H1278" s="290" t="n"/>
      <c r="I1278" s="275" t="n"/>
      <c r="J1278" s="271" t="n"/>
      <c r="K1278" s="186" t="n"/>
      <c r="L1278" s="166" t="n"/>
    </row>
    <row r="1279" ht="15.75" customHeight="1" s="2">
      <c r="A1279" s="202" t="n"/>
      <c r="B1279" s="289" t="n"/>
      <c r="C1279" s="277" t="n"/>
      <c r="D1279" s="271" t="n"/>
      <c r="E1279" s="290" t="n"/>
      <c r="F1279" s="271" t="n"/>
      <c r="G1279" s="271" t="n"/>
      <c r="H1279" s="290" t="n"/>
      <c r="I1279" s="275" t="inlineStr">
        <is>
          <t>Floor</t>
        </is>
      </c>
      <c r="J1279" s="271" t="n"/>
      <c r="K1279" s="186" t="n"/>
      <c r="L1279" s="166" t="n"/>
    </row>
    <row r="1280" ht="15.75" customHeight="1" s="2">
      <c r="A1280" s="202" t="n"/>
      <c r="B1280" s="289" t="n"/>
      <c r="C1280" s="271" t="n"/>
      <c r="D1280" s="271" t="n"/>
      <c r="E1280" s="290" t="n"/>
      <c r="F1280" s="277" t="n"/>
      <c r="G1280" s="271" t="n"/>
      <c r="H1280" s="290" t="n"/>
      <c r="I1280" s="277" t="n"/>
      <c r="J1280" s="271" t="n"/>
      <c r="K1280" s="186" t="n"/>
      <c r="L1280" s="166" t="n"/>
    </row>
    <row r="1281" ht="15.75" customHeight="1" s="2">
      <c r="A1281" s="202" t="n"/>
      <c r="B1281" s="289" t="n"/>
      <c r="C1281" s="275" t="inlineStr">
        <is>
          <t>Floor</t>
        </is>
      </c>
      <c r="D1281" s="271" t="n"/>
      <c r="E1281" s="290" t="n"/>
      <c r="F1281" s="275" t="inlineStr">
        <is>
          <t>Floor</t>
        </is>
      </c>
      <c r="G1281" s="271" t="n"/>
      <c r="H1281" s="290" t="n"/>
      <c r="I1281" s="271" t="n"/>
      <c r="J1281" s="271" t="n"/>
      <c r="K1281" s="186" t="n"/>
      <c r="L1281" s="166" t="n"/>
    </row>
    <row r="1282" ht="15.75" customHeight="1" s="2">
      <c r="A1282" s="202" t="n"/>
      <c r="B1282" s="289" t="n"/>
      <c r="C1282" s="277" t="n"/>
      <c r="D1282" s="271" t="n"/>
      <c r="E1282" s="290" t="n"/>
      <c r="F1282" s="277" t="n"/>
      <c r="G1282" s="271" t="n"/>
      <c r="H1282" s="290" t="n"/>
      <c r="I1282" s="271" t="n"/>
      <c r="J1282" s="271" t="n"/>
      <c r="K1282" s="186" t="n"/>
      <c r="L1282" s="166" t="n"/>
    </row>
    <row r="1283" ht="15.75" customHeight="1" s="2">
      <c r="A1283" s="202" t="n"/>
      <c r="B1283" s="289" t="n"/>
      <c r="C1283" s="277" t="n"/>
      <c r="D1283" s="271" t="n"/>
      <c r="E1283" s="290" t="n"/>
      <c r="F1283" s="277" t="n"/>
      <c r="G1283" s="271" t="n"/>
      <c r="H1283" s="290" t="n"/>
      <c r="I1283" s="271" t="n"/>
      <c r="J1283" s="271" t="n"/>
      <c r="K1283" s="186" t="n"/>
      <c r="L1283" s="166" t="n"/>
    </row>
    <row r="1284" ht="15.75" customHeight="1" s="2">
      <c r="A1284" s="202" t="n"/>
      <c r="B1284" s="289" t="n"/>
      <c r="C1284" s="271" t="n"/>
      <c r="D1284" s="271" t="n"/>
      <c r="E1284" s="290" t="n"/>
      <c r="F1284" s="277" t="n"/>
      <c r="G1284" s="271" t="n"/>
      <c r="H1284" s="290" t="n"/>
      <c r="I1284" s="271" t="n"/>
      <c r="J1284" s="271" t="n"/>
      <c r="K1284" s="186" t="n"/>
      <c r="L1284" s="166" t="n"/>
    </row>
    <row r="1285" ht="15.75" customHeight="1" s="2">
      <c r="A1285" s="202" t="n"/>
      <c r="B1285" s="289" t="n"/>
      <c r="C1285" s="277" t="n"/>
      <c r="D1285" s="271" t="n"/>
      <c r="E1285" s="290" t="n"/>
      <c r="F1285" s="277" t="n"/>
      <c r="G1285" s="271" t="n"/>
      <c r="H1285" s="290" t="n"/>
      <c r="I1285" s="271" t="n"/>
      <c r="J1285" s="271" t="n"/>
      <c r="K1285" s="186" t="n"/>
      <c r="L1285" s="166" t="n"/>
    </row>
    <row r="1286" ht="15.75" customHeight="1" s="2">
      <c r="A1286" s="202" t="n"/>
      <c r="B1286" s="289" t="n"/>
      <c r="C1286" s="271" t="n"/>
      <c r="D1286" s="271" t="n"/>
      <c r="E1286" s="290" t="n"/>
      <c r="F1286" s="271" t="n"/>
      <c r="G1286" s="271" t="n"/>
      <c r="H1286" s="290" t="n"/>
      <c r="I1286" s="271" t="n"/>
      <c r="J1286" s="271" t="n"/>
      <c r="K1286" s="186" t="n"/>
      <c r="L1286" s="166" t="n"/>
    </row>
    <row r="1287" ht="15.75" customHeight="1" s="2">
      <c r="A1287" s="202" t="n"/>
      <c r="B1287" s="289" t="n"/>
      <c r="C1287" s="280" t="inlineStr">
        <is>
          <t>TOTAL</t>
        </is>
      </c>
      <c r="D1287" s="280">
        <f>SUM(D1273:D1286)</f>
        <v/>
      </c>
      <c r="E1287" s="290" t="n"/>
      <c r="F1287" s="280" t="inlineStr">
        <is>
          <t>TOTAL</t>
        </is>
      </c>
      <c r="G1287" s="280">
        <f>SUM(G1273:G1286)</f>
        <v/>
      </c>
      <c r="H1287" s="290" t="n"/>
      <c r="I1287" s="280" t="inlineStr">
        <is>
          <t>TOTAL</t>
        </is>
      </c>
      <c r="J1287" s="280">
        <f>SUM(J1273:J1286)</f>
        <v/>
      </c>
      <c r="K1287" s="186" t="n"/>
      <c r="L1287" s="166" t="n"/>
    </row>
    <row r="1291" ht="18" customHeight="1" s="2" thickBot="1">
      <c r="A1291" s="238" t="n"/>
      <c r="B1291" s="414" t="inlineStr">
        <is>
          <t>10.07.18</t>
        </is>
      </c>
      <c r="C1291" s="235" t="inlineStr">
        <is>
          <t>08.17.19</t>
        </is>
      </c>
      <c r="D1291" s="236" t="n"/>
      <c r="E1291" s="379" t="inlineStr">
        <is>
          <t>17.07.19</t>
        </is>
      </c>
      <c r="F1291" s="237" t="inlineStr">
        <is>
          <t>15.07.19</t>
        </is>
      </c>
      <c r="G1291" s="103" t="n"/>
      <c r="H1291" s="379" t="n"/>
      <c r="I1291" s="237" t="inlineStr">
        <is>
          <t>22.07.19</t>
        </is>
      </c>
      <c r="J1291" s="223" t="n"/>
      <c r="K1291" s="166" t="n"/>
      <c r="L1291" s="166" t="n"/>
    </row>
    <row r="1292" ht="17.85" customHeight="1" s="2" thickBot="1">
      <c r="A1292" s="176" t="n"/>
      <c r="B1292" s="177" t="inlineStr">
        <is>
          <t>Last Year</t>
        </is>
      </c>
      <c r="C1292" s="415" t="inlineStr">
        <is>
          <t>Projected</t>
        </is>
      </c>
      <c r="D1292" s="230" t="inlineStr">
        <is>
          <t>Actual</t>
        </is>
      </c>
      <c r="E1292" s="177" t="inlineStr">
        <is>
          <t>Last Year</t>
        </is>
      </c>
      <c r="F1292" s="178" t="inlineStr">
        <is>
          <t>Projected</t>
        </is>
      </c>
      <c r="G1292" s="230" t="inlineStr">
        <is>
          <t>Actual</t>
        </is>
      </c>
      <c r="H1292" s="177" t="inlineStr">
        <is>
          <t>Last Year</t>
        </is>
      </c>
      <c r="I1292" s="178" t="inlineStr">
        <is>
          <t>Projected</t>
        </is>
      </c>
      <c r="J1292" s="230" t="inlineStr">
        <is>
          <t>Actual</t>
        </is>
      </c>
      <c r="K1292" s="180" t="n"/>
      <c r="L1292" s="166" t="n"/>
    </row>
    <row r="1293" ht="18" customFormat="1" customHeight="1" s="421">
      <c r="A1293" s="416" t="inlineStr">
        <is>
          <t>GROSS TOTAL</t>
        </is>
      </c>
      <c r="B1293" s="417" t="n">
        <v>179575.86</v>
      </c>
      <c r="C1293" s="418" t="n">
        <v>151488</v>
      </c>
      <c r="D1293" s="418" t="n">
        <v>164558.59</v>
      </c>
      <c r="E1293" s="418" t="n">
        <v>210570.23</v>
      </c>
      <c r="F1293" s="418" t="n">
        <v>187335</v>
      </c>
      <c r="G1293" s="418" t="n">
        <v>190853.94</v>
      </c>
      <c r="H1293" s="418" t="n">
        <v>164795</v>
      </c>
      <c r="I1293" s="418" t="n">
        <v>164745</v>
      </c>
      <c r="J1293" s="418" t="n">
        <v>154054.41</v>
      </c>
      <c r="K1293" s="419" t="n"/>
      <c r="L1293" s="420" t="n"/>
    </row>
    <row r="1294" ht="17.45" customHeight="1" s="2">
      <c r="A1294" s="187" t="inlineStr">
        <is>
          <t>NETT  TOTAL</t>
        </is>
      </c>
      <c r="B1294" s="422">
        <f>B1293/1.1</f>
        <v/>
      </c>
      <c r="C1294" s="422">
        <f>C1293/1.1</f>
        <v/>
      </c>
      <c r="D1294" s="422">
        <f>D1293/1.1</f>
        <v/>
      </c>
      <c r="E1294" s="32">
        <f>E1293/1.1</f>
        <v/>
      </c>
      <c r="F1294" s="422">
        <f>F1293/1.1</f>
        <v/>
      </c>
      <c r="G1294" s="422">
        <f>G1293/1.1</f>
        <v/>
      </c>
      <c r="H1294" s="103">
        <f>H1293/1.1</f>
        <v/>
      </c>
      <c r="I1294" s="422">
        <f>I1293/1.1</f>
        <v/>
      </c>
      <c r="J1294" s="422">
        <f>J1293/1.1</f>
        <v/>
      </c>
      <c r="K1294" s="186" t="n"/>
      <c r="L1294" s="166" t="n"/>
    </row>
    <row r="1295" ht="17.45" customFormat="1" customHeight="1" s="421">
      <c r="A1295" s="423" t="inlineStr">
        <is>
          <t>Customers</t>
        </is>
      </c>
      <c r="B1295" s="424" t="n">
        <v>9018</v>
      </c>
      <c r="C1295" s="425" t="n">
        <v>7585</v>
      </c>
      <c r="D1295" s="425" t="n">
        <v>8013</v>
      </c>
      <c r="E1295" s="418" t="n">
        <v>10570</v>
      </c>
      <c r="F1295" s="425" t="n">
        <v>9415</v>
      </c>
      <c r="G1295" s="425" t="n">
        <v>9195</v>
      </c>
      <c r="H1295" s="418" t="n">
        <v>8155</v>
      </c>
      <c r="I1295" s="425" t="n">
        <v>8270</v>
      </c>
      <c r="J1295" s="425" t="n">
        <v>7340</v>
      </c>
      <c r="K1295" s="426" t="n"/>
      <c r="L1295" s="420" t="n"/>
    </row>
    <row r="1296" ht="17.45" customHeight="1" s="2">
      <c r="A1296" s="188" t="inlineStr">
        <is>
          <t>Average Customer Spend</t>
        </is>
      </c>
      <c r="B1296" s="95">
        <f>B1293/B1295</f>
        <v/>
      </c>
      <c r="C1296" s="97">
        <f>C1293/C1295</f>
        <v/>
      </c>
      <c r="D1296" s="96">
        <f>D1293/D1295</f>
        <v/>
      </c>
      <c r="E1296" s="32">
        <f>E1293/E1295</f>
        <v/>
      </c>
      <c r="F1296" s="97">
        <f>F1293/F1295</f>
        <v/>
      </c>
      <c r="G1296" s="97">
        <f>G1293/G1295</f>
        <v/>
      </c>
      <c r="H1296" s="103">
        <f>H1293/H1295</f>
        <v/>
      </c>
      <c r="I1296" s="97">
        <f>I1293/I1295</f>
        <v/>
      </c>
      <c r="J1296" s="95">
        <f>J1293/J1295</f>
        <v/>
      </c>
      <c r="K1296" s="171" t="n"/>
      <c r="L1296" s="166" t="n"/>
    </row>
    <row r="1297" ht="17.45" customHeight="1" s="2">
      <c r="A1297" s="191" t="inlineStr">
        <is>
          <t>Wage % to Gross total</t>
        </is>
      </c>
      <c r="B1297" s="95">
        <f>(B1300*B1301)/B1293</f>
        <v/>
      </c>
      <c r="C1297" s="97">
        <f>(C1300*C1301)/C1293</f>
        <v/>
      </c>
      <c r="D1297" s="422">
        <f>(D1300*D1301)/D1293</f>
        <v/>
      </c>
      <c r="E1297" s="39">
        <f>(E1300*E1301)/E1293</f>
        <v/>
      </c>
      <c r="F1297" s="97">
        <f>(F1300*F1301)/F1293</f>
        <v/>
      </c>
      <c r="G1297" s="97">
        <f>(G1300*G1301)/G1293</f>
        <v/>
      </c>
      <c r="H1297" s="103">
        <f>(H1300*H1301)/H1293</f>
        <v/>
      </c>
      <c r="I1297" s="103">
        <f>(I1300*I1301)/I1293</f>
        <v/>
      </c>
      <c r="J1297" s="97" t="n">
        <v>0.3251</v>
      </c>
      <c r="K1297" s="171" t="n"/>
      <c r="L1297" s="166" t="n"/>
    </row>
    <row r="1298" ht="17.45" customFormat="1" customHeight="1" s="430">
      <c r="A1298" s="427" t="inlineStr">
        <is>
          <t>Wage % to Nett Total</t>
        </is>
      </c>
      <c r="B1298" s="95">
        <f>(B1300*B1301)/B1294</f>
        <v/>
      </c>
      <c r="C1298" s="95">
        <f>(C1300*C1301)/C1294</f>
        <v/>
      </c>
      <c r="D1298" s="95">
        <f>(D1300*D1301)/D1294</f>
        <v/>
      </c>
      <c r="E1298" s="39">
        <f>(E1300*E1301)/E1294</f>
        <v/>
      </c>
      <c r="F1298" s="97">
        <f>(F1300*F1301)/F1294</f>
        <v/>
      </c>
      <c r="G1298" s="97">
        <f>(G1300*G1301)/G1294</f>
        <v/>
      </c>
      <c r="H1298" s="103">
        <f>(H1300*H1301)/H1294</f>
        <v/>
      </c>
      <c r="I1298" s="97">
        <f>(I1300*I1301)/I1294</f>
        <v/>
      </c>
      <c r="J1298" s="97" t="n">
        <v>0.3575</v>
      </c>
      <c r="K1298" s="428" t="n"/>
      <c r="L1298" s="429" t="n"/>
    </row>
    <row r="1299" ht="17.45" customHeight="1" s="2">
      <c r="A1299" s="188" t="inlineStr">
        <is>
          <t>Productivity</t>
        </is>
      </c>
      <c r="B1299" s="95">
        <f>B1295/B1301</f>
        <v/>
      </c>
      <c r="C1299" s="95">
        <f>C1295/C1301</f>
        <v/>
      </c>
      <c r="D1299" s="95">
        <f>D1295/D1301</f>
        <v/>
      </c>
      <c r="E1299" s="32">
        <f>E1295/E1301</f>
        <v/>
      </c>
      <c r="F1299" s="97">
        <f>F1295/F1301</f>
        <v/>
      </c>
      <c r="G1299" s="97">
        <f>G1295/G1301</f>
        <v/>
      </c>
      <c r="H1299" s="103">
        <f>H1295/H1301</f>
        <v/>
      </c>
      <c r="I1299" s="97">
        <f>I1295/I1301</f>
        <v/>
      </c>
      <c r="J1299" s="106" t="n">
        <v>4.88</v>
      </c>
      <c r="K1299" s="171" t="n"/>
      <c r="L1299" s="166" t="n"/>
    </row>
    <row r="1300" ht="17.45" customHeight="1" s="2" thickBot="1">
      <c r="A1300" s="188" t="inlineStr">
        <is>
          <t>Average Hourly Rate</t>
        </is>
      </c>
      <c r="B1300" s="95" t="n">
        <v>35.82</v>
      </c>
      <c r="C1300" s="431" t="n">
        <v>35</v>
      </c>
      <c r="D1300" s="96" t="n">
        <v>33.75</v>
      </c>
      <c r="E1300" s="32" t="n">
        <v>35.85</v>
      </c>
      <c r="F1300" s="431" t="n">
        <v>34</v>
      </c>
      <c r="G1300" s="432" t="n">
        <v>33.39</v>
      </c>
      <c r="H1300" s="433" t="n">
        <v>32</v>
      </c>
      <c r="I1300" s="434" t="n">
        <v>33</v>
      </c>
      <c r="J1300" s="107" t="n">
        <v>33.28</v>
      </c>
      <c r="K1300" s="171" t="n"/>
      <c r="L1300" s="166" t="n"/>
    </row>
    <row r="1301" ht="17.45" customHeight="1" s="2">
      <c r="A1301" s="188" t="inlineStr">
        <is>
          <t>Total hours for productivity</t>
        </is>
      </c>
      <c r="B1301" s="95" t="n">
        <v>1671.5</v>
      </c>
      <c r="C1301" s="431">
        <f>630+772</f>
        <v/>
      </c>
      <c r="D1301" s="96" t="n">
        <v>1452.5</v>
      </c>
      <c r="E1301" s="32" t="n">
        <v>1780.25</v>
      </c>
      <c r="F1301" s="431">
        <f>737+884.5</f>
        <v/>
      </c>
      <c r="G1301" s="98" t="n">
        <v>1613.5</v>
      </c>
      <c r="H1301" s="433" t="n">
        <v>1489</v>
      </c>
      <c r="I1301" s="434" t="n">
        <v>1465</v>
      </c>
      <c r="J1301" s="107" t="n">
        <v>1504.75</v>
      </c>
      <c r="K1301" s="171" t="n"/>
      <c r="L1301" s="166" t="n"/>
    </row>
    <row r="1302" ht="17.45" customHeight="1" s="2" thickBot="1">
      <c r="A1302" s="188" t="inlineStr">
        <is>
          <t>Training Hours used</t>
        </is>
      </c>
      <c r="B1302" s="422" t="n"/>
      <c r="C1302" s="431" t="n">
        <v>40</v>
      </c>
      <c r="D1302" s="96" t="n"/>
      <c r="E1302" s="32" t="n">
        <v>10</v>
      </c>
      <c r="F1302" s="431" t="n"/>
      <c r="G1302" s="99" t="n"/>
      <c r="H1302" s="433" t="n"/>
      <c r="I1302" s="431" t="n">
        <v>21</v>
      </c>
      <c r="J1302" s="435" t="n">
        <v>21</v>
      </c>
      <c r="K1302" s="186" t="n"/>
      <c r="L1302" s="166" t="n"/>
    </row>
    <row r="1303" ht="18" customHeight="1" s="2" thickBot="1">
      <c r="A1303" s="193" t="inlineStr">
        <is>
          <t>Number of hours used to cover sick leave</t>
        </is>
      </c>
      <c r="B1303" s="436" t="n"/>
      <c r="C1303" s="100" t="n"/>
      <c r="D1303" s="101" t="n"/>
      <c r="E1303" s="34" t="n"/>
      <c r="F1303" s="432" t="n"/>
      <c r="G1303" s="102" t="n"/>
      <c r="H1303" s="437" t="n"/>
      <c r="I1303" s="432" t="n"/>
      <c r="J1303" s="436" t="n"/>
      <c r="K1303" s="186" t="n"/>
      <c r="L1303" s="166" t="n"/>
    </row>
    <row r="1304" ht="15.95" customHeight="1" s="2" thickBot="1">
      <c r="A1304" s="195" t="inlineStr">
        <is>
          <t>Minimum HOURS</t>
        </is>
      </c>
      <c r="B1304" s="102" t="n"/>
      <c r="C1304" s="98" t="n"/>
      <c r="D1304" s="102" t="n"/>
      <c r="E1304" s="35" t="n"/>
      <c r="F1304" s="98" t="n"/>
      <c r="G1304" s="98" t="n"/>
      <c r="H1304" s="104" t="n">
        <v>585</v>
      </c>
      <c r="I1304" s="98" t="n">
        <v>615</v>
      </c>
      <c r="J1304" s="102" t="n"/>
      <c r="K1304" s="180" t="n"/>
      <c r="L1304" s="166" t="n"/>
    </row>
    <row r="1305" ht="15.95" customHeight="1" s="2" thickBot="1">
      <c r="A1305" s="197" t="n"/>
      <c r="B1305" s="102" t="n"/>
      <c r="C1305" s="99" t="n"/>
      <c r="D1305" s="102" t="n"/>
      <c r="E1305" s="35" t="n"/>
      <c r="F1305" s="99" t="n"/>
      <c r="G1305" s="99" t="n"/>
      <c r="H1305" s="105" t="n">
        <v>805</v>
      </c>
      <c r="I1305" s="99" t="n">
        <v>692</v>
      </c>
      <c r="J1305" s="102" t="n"/>
      <c r="K1305" s="180" t="n"/>
      <c r="L1305" s="166" t="n"/>
    </row>
    <row r="1306" ht="15.95" customHeight="1" s="2" thickBot="1">
      <c r="A1306" s="197" t="n"/>
      <c r="B1306" s="102">
        <f>SUM(B1304:B1305)</f>
        <v/>
      </c>
      <c r="C1306" s="102">
        <f>SUM(C1304:C1305)</f>
        <v/>
      </c>
      <c r="D1306" s="102">
        <f>SUM(D1304:D1305)</f>
        <v/>
      </c>
      <c r="E1306" s="35">
        <f>SUM(E1304:E1305)</f>
        <v/>
      </c>
      <c r="F1306" s="102">
        <f>SUM(F1304:F1305)</f>
        <v/>
      </c>
      <c r="G1306" s="102" t="n"/>
      <c r="H1306" s="438">
        <f>SUM(H1304:H1305)</f>
        <v/>
      </c>
      <c r="I1306" s="102">
        <f>SUM(I1304:I1305)</f>
        <v/>
      </c>
      <c r="J1306" s="102">
        <f>SUM(J1304:J1305)</f>
        <v/>
      </c>
      <c r="K1306" s="180" t="n"/>
      <c r="L1306" s="166" t="n"/>
    </row>
    <row r="1307" ht="15.6" customHeight="1" s="2">
      <c r="A1307" s="166" t="n"/>
      <c r="B1307" s="201" t="n"/>
      <c r="C1307" s="201" t="n"/>
      <c r="D1307" s="201" t="n"/>
      <c r="E1307" s="201" t="n"/>
      <c r="F1307" s="201" t="n"/>
      <c r="G1307" s="201" t="n"/>
      <c r="H1307" s="201" t="n"/>
      <c r="I1307" s="201" t="n"/>
      <c r="J1307" s="201" t="n"/>
      <c r="K1307" s="166" t="n"/>
      <c r="L1307" s="166" t="n"/>
    </row>
    <row r="1308" ht="17.45" customHeight="1" s="2">
      <c r="A1308" s="166" t="n"/>
      <c r="B1308" s="166" t="n"/>
      <c r="C1308" s="202" t="n"/>
      <c r="D1308" s="202" t="n">
        <v>5</v>
      </c>
      <c r="E1308" s="166" t="n"/>
      <c r="F1308" s="166" t="n"/>
      <c r="G1308" s="166" t="n"/>
      <c r="H1308" s="166" t="n"/>
      <c r="I1308" s="166" t="n"/>
      <c r="J1308" s="166" t="n"/>
      <c r="K1308" s="166" t="n"/>
      <c r="L1308" s="166" t="n"/>
    </row>
    <row r="1309" ht="17.45" customHeight="1" s="2">
      <c r="A1309" s="166" t="n"/>
      <c r="B1309" s="166" t="n"/>
      <c r="C1309" s="202" t="n"/>
      <c r="D1309" s="202" t="n">
        <v>5</v>
      </c>
      <c r="E1309" s="166" t="n"/>
      <c r="F1309" s="166" t="n"/>
      <c r="G1309" s="166" t="n"/>
      <c r="H1309" s="166" t="n"/>
      <c r="I1309" s="166" t="n"/>
      <c r="J1309" s="166" t="n"/>
      <c r="K1309" s="166" t="n"/>
      <c r="L1309" s="166" t="n"/>
    </row>
    <row r="1310" ht="15" customHeight="1" s="2">
      <c r="A1310" s="166" t="n"/>
      <c r="B1310" s="166" t="n"/>
      <c r="C1310" s="166" t="n"/>
      <c r="D1310" s="166" t="n"/>
      <c r="E1310" s="166" t="n"/>
      <c r="F1310" s="166" t="n"/>
      <c r="G1310" s="166" t="n"/>
      <c r="H1310" s="166" t="n"/>
      <c r="I1310" s="166" t="n"/>
      <c r="J1310" s="166" t="n"/>
      <c r="K1310" s="166" t="n"/>
      <c r="L1310" s="166" t="n"/>
    </row>
    <row r="1311" ht="15" customHeight="1" s="2">
      <c r="A1311" s="166" t="n"/>
      <c r="B1311" s="168" t="n"/>
      <c r="C1311" s="168" t="n"/>
      <c r="D1311" s="166" t="n"/>
      <c r="E1311" s="168" t="n"/>
      <c r="F1311" s="168" t="n"/>
      <c r="G1311" s="166" t="n"/>
      <c r="H1311" s="168" t="n"/>
      <c r="I1311" s="168" t="n"/>
      <c r="J1311" s="166" t="n"/>
      <c r="K1311" s="166" t="n"/>
      <c r="L1311" s="166" t="n"/>
    </row>
    <row r="1312" ht="18" customHeight="1" s="2" thickBot="1">
      <c r="A1312" s="238" t="n"/>
      <c r="B1312" s="414" t="inlineStr">
        <is>
          <t>30.07.18</t>
        </is>
      </c>
      <c r="C1312" s="235" t="inlineStr">
        <is>
          <t>29.07.19</t>
        </is>
      </c>
      <c r="D1312" s="236" t="n"/>
      <c r="E1312" s="379" t="inlineStr">
        <is>
          <t>06.08.18</t>
        </is>
      </c>
      <c r="F1312" s="237" t="inlineStr">
        <is>
          <t>05.18.19</t>
        </is>
      </c>
      <c r="G1312" s="236" t="n"/>
      <c r="H1312" s="379" t="n"/>
      <c r="I1312" s="237" t="inlineStr">
        <is>
          <t>12.08.19</t>
        </is>
      </c>
      <c r="J1312" s="439" t="n"/>
      <c r="K1312" s="171" t="n"/>
      <c r="L1312" s="166" t="n"/>
    </row>
    <row r="1313" ht="17.85" customHeight="1" s="2" thickBot="1">
      <c r="A1313" s="176" t="n"/>
      <c r="B1313" s="230" t="inlineStr">
        <is>
          <t>Last Year</t>
        </is>
      </c>
      <c r="C1313" s="178" t="inlineStr">
        <is>
          <t xml:space="preserve">Projected </t>
        </is>
      </c>
      <c r="D1313" s="230" t="inlineStr">
        <is>
          <t xml:space="preserve">Actual </t>
        </is>
      </c>
      <c r="E1313" s="177" t="inlineStr">
        <is>
          <t xml:space="preserve">last year </t>
        </is>
      </c>
      <c r="F1313" s="178" t="inlineStr">
        <is>
          <t>projected</t>
        </is>
      </c>
      <c r="G1313" s="230" t="inlineStr">
        <is>
          <t>ACTUAL</t>
        </is>
      </c>
      <c r="H1313" s="177" t="n"/>
      <c r="I1313" s="178" t="inlineStr">
        <is>
          <t>projected</t>
        </is>
      </c>
      <c r="J1313" s="440" t="inlineStr">
        <is>
          <t xml:space="preserve">Actual </t>
        </is>
      </c>
      <c r="K1313" s="171" t="n"/>
      <c r="L1313" s="166" t="n"/>
    </row>
    <row r="1314" ht="18" customHeight="1" s="2">
      <c r="A1314" s="416" t="inlineStr">
        <is>
          <t>GROSS TOTAL</t>
        </is>
      </c>
      <c r="B1314" s="417" t="n">
        <v>142012</v>
      </c>
      <c r="C1314" s="418" t="n">
        <v>133230</v>
      </c>
      <c r="D1314" s="418" t="n">
        <v>125306.63</v>
      </c>
      <c r="E1314" s="184" t="n">
        <v>154524</v>
      </c>
      <c r="F1314" s="418" t="n">
        <v>158220</v>
      </c>
      <c r="G1314" s="418" t="n">
        <v>160455.6</v>
      </c>
      <c r="H1314" s="418" t="n"/>
      <c r="I1314" s="418" t="n">
        <v>159863</v>
      </c>
      <c r="J1314" s="441" t="n">
        <v>180997.3</v>
      </c>
      <c r="K1314" s="171" t="n"/>
      <c r="L1314" s="166" t="n"/>
    </row>
    <row r="1315" ht="17.45" customFormat="1" customHeight="1" s="430">
      <c r="A1315" s="442" t="inlineStr">
        <is>
          <t>NETT  TOTAL</t>
        </is>
      </c>
      <c r="B1315" s="443">
        <f>B1314/1.1</f>
        <v/>
      </c>
      <c r="C1315" s="443">
        <f>C1314/1.1</f>
        <v/>
      </c>
      <c r="D1315" s="443">
        <f>D1314/1.1</f>
        <v/>
      </c>
      <c r="E1315" s="32">
        <f>E1314/1.1</f>
        <v/>
      </c>
      <c r="F1315" s="443">
        <f>F1314/1.1</f>
        <v/>
      </c>
      <c r="G1315" s="443">
        <f>G1314/1.1</f>
        <v/>
      </c>
      <c r="H1315" s="443">
        <f>H1314/1.1</f>
        <v/>
      </c>
      <c r="I1315" s="443">
        <f>I1314/1.1</f>
        <v/>
      </c>
      <c r="J1315" s="443">
        <f>J1314/1.1</f>
        <v/>
      </c>
      <c r="K1315" s="428" t="n"/>
      <c r="L1315" s="429" t="n"/>
    </row>
    <row r="1316" ht="17.45" customHeight="1" s="2">
      <c r="A1316" s="423" t="inlineStr">
        <is>
          <t>Customers</t>
        </is>
      </c>
      <c r="B1316" s="424" t="n">
        <v>6917</v>
      </c>
      <c r="C1316" s="425" t="n">
        <v>6650</v>
      </c>
      <c r="D1316" s="425" t="n">
        <v>5721</v>
      </c>
      <c r="E1316" s="10" t="n">
        <v>7526</v>
      </c>
      <c r="F1316" s="425" t="n">
        <v>7895</v>
      </c>
      <c r="G1316" s="425" t="n">
        <v>7641</v>
      </c>
      <c r="H1316" s="425" t="n"/>
      <c r="I1316" s="425" t="n">
        <v>8000</v>
      </c>
      <c r="J1316" s="444" t="n">
        <v>8419</v>
      </c>
      <c r="K1316" s="171" t="n"/>
      <c r="L1316" s="166" t="n"/>
    </row>
    <row r="1317" ht="17.45" customHeight="1" s="2">
      <c r="A1317" s="188" t="inlineStr">
        <is>
          <t>Average Customer Spend</t>
        </is>
      </c>
      <c r="B1317" s="33">
        <f>B1314/B1316</f>
        <v/>
      </c>
      <c r="C1317" s="110">
        <f>C1314/C1316</f>
        <v/>
      </c>
      <c r="D1317" s="110">
        <f>D1314/D1316</f>
        <v/>
      </c>
      <c r="E1317" s="32">
        <f>E1314/E1316</f>
        <v/>
      </c>
      <c r="F1317" s="110">
        <f>F1314/F1316</f>
        <v/>
      </c>
      <c r="G1317" s="110">
        <f>G1314/G1316</f>
        <v/>
      </c>
      <c r="H1317" s="110">
        <f>H1314/H1316</f>
        <v/>
      </c>
      <c r="I1317" s="110">
        <f>I1314/I1316</f>
        <v/>
      </c>
      <c r="J1317" s="111">
        <f>J1314/J1316</f>
        <v/>
      </c>
      <c r="K1317" s="171" t="n"/>
      <c r="L1317" s="166" t="n"/>
    </row>
    <row r="1318" ht="17.45" customHeight="1" s="2">
      <c r="A1318" s="191" t="inlineStr">
        <is>
          <t>Wage % to Gross total</t>
        </is>
      </c>
      <c r="B1318" s="33">
        <f>(B1321*B1322)/B1314</f>
        <v/>
      </c>
      <c r="C1318" s="110">
        <f>(C1321*C1322)/C1314</f>
        <v/>
      </c>
      <c r="D1318" s="110">
        <f>(D1321*D1322)/D1314</f>
        <v/>
      </c>
      <c r="E1318" s="39">
        <f>(E1321*E1322)/E1314</f>
        <v/>
      </c>
      <c r="F1318" s="110">
        <f>(F1321*F1322)/F1314</f>
        <v/>
      </c>
      <c r="G1318" s="110">
        <f>(G1321*G1322)/G1314</f>
        <v/>
      </c>
      <c r="H1318" s="110">
        <f>(H1321*H1322)/H1314</f>
        <v/>
      </c>
      <c r="I1318" s="110">
        <f>(I1321*I1322)/I1314</f>
        <v/>
      </c>
      <c r="J1318" s="111">
        <f>(J1321*J1322)/J1314</f>
        <v/>
      </c>
      <c r="K1318" s="171" t="n"/>
      <c r="L1318" s="166" t="n"/>
    </row>
    <row r="1319" ht="17.45" customHeight="1" s="2">
      <c r="A1319" s="427" t="inlineStr">
        <is>
          <t>Wage % to Nett Total</t>
        </is>
      </c>
      <c r="B1319" s="33">
        <f>(B1321*B1322)/B1315</f>
        <v/>
      </c>
      <c r="C1319" s="110">
        <f>(C1321*C1322)/C1315</f>
        <v/>
      </c>
      <c r="D1319" s="110">
        <f>(D1321*D1322)/D1315</f>
        <v/>
      </c>
      <c r="E1319" s="39">
        <f>(E1321*E1322)/E1315</f>
        <v/>
      </c>
      <c r="F1319" s="110">
        <f>(F1321*F1322)/F1315</f>
        <v/>
      </c>
      <c r="G1319" s="110">
        <f>(G1321*G1322)/G1315</f>
        <v/>
      </c>
      <c r="H1319" s="110">
        <f>(H1321*H1322)/H1315</f>
        <v/>
      </c>
      <c r="I1319" s="110">
        <f>(I1321*I1322)/I1315</f>
        <v/>
      </c>
      <c r="J1319" s="111">
        <f>(J1321*J1322)/J1315</f>
        <v/>
      </c>
      <c r="K1319" s="171" t="n"/>
      <c r="L1319" s="166" t="n"/>
    </row>
    <row r="1320" ht="17.45" customHeight="1" s="2">
      <c r="A1320" s="188" t="inlineStr">
        <is>
          <t>Productivity</t>
        </is>
      </c>
      <c r="B1320" s="33">
        <f>B1316/B1322</f>
        <v/>
      </c>
      <c r="C1320" s="110">
        <f>C1316/C1322</f>
        <v/>
      </c>
      <c r="D1320" s="110">
        <f>D1316/D1322</f>
        <v/>
      </c>
      <c r="E1320" s="32">
        <f>E1316/E1322</f>
        <v/>
      </c>
      <c r="F1320" s="110">
        <f>F1316/F1322</f>
        <v/>
      </c>
      <c r="G1320" s="110">
        <f>G1316/G1322</f>
        <v/>
      </c>
      <c r="H1320" s="110">
        <f>H1316/H1322</f>
        <v/>
      </c>
      <c r="I1320" s="110">
        <f>I1316/I1322</f>
        <v/>
      </c>
      <c r="J1320" s="111">
        <f>J1316/J1322</f>
        <v/>
      </c>
      <c r="K1320" s="171" t="n"/>
      <c r="L1320" s="166" t="n"/>
    </row>
    <row r="1321" ht="17.45" customHeight="1" s="2">
      <c r="A1321" s="188" t="inlineStr">
        <is>
          <t>Average Hourly Rate</t>
        </is>
      </c>
      <c r="B1321" s="33" t="n">
        <v>35.71</v>
      </c>
      <c r="C1321" s="110" t="n">
        <v>34</v>
      </c>
      <c r="D1321" s="110" t="n">
        <v>34.15</v>
      </c>
      <c r="E1321" s="32" t="n">
        <v>34.67</v>
      </c>
      <c r="F1321" s="110" t="n">
        <v>36</v>
      </c>
      <c r="G1321" s="110" t="n">
        <v>33.11</v>
      </c>
      <c r="H1321" s="110" t="n"/>
      <c r="I1321" s="110" t="n">
        <v>35</v>
      </c>
      <c r="J1321" s="111" t="n">
        <v>33.63</v>
      </c>
      <c r="K1321" s="171" t="n"/>
      <c r="L1321" s="166" t="n"/>
    </row>
    <row r="1322" ht="17.45" customHeight="1" s="2">
      <c r="A1322" s="188" t="inlineStr">
        <is>
          <t>Total hours for productivity</t>
        </is>
      </c>
      <c r="B1322" s="33" t="n">
        <v>1401</v>
      </c>
      <c r="C1322" s="110" t="n">
        <v>1394</v>
      </c>
      <c r="D1322" s="110" t="n">
        <v>1359.5</v>
      </c>
      <c r="E1322" s="32" t="n">
        <v>1526.25</v>
      </c>
      <c r="F1322" s="110" t="n"/>
      <c r="G1322" s="110" t="n">
        <v>1676.5</v>
      </c>
      <c r="H1322" s="110" t="n"/>
      <c r="I1322" s="110" t="n"/>
      <c r="J1322" s="111" t="n">
        <v>1731.5</v>
      </c>
      <c r="K1322" s="171" t="n"/>
      <c r="L1322" s="166" t="n"/>
    </row>
    <row r="1323" ht="17.45" customHeight="1" s="2">
      <c r="A1323" s="188" t="inlineStr">
        <is>
          <t>Training Hours used</t>
        </is>
      </c>
      <c r="B1323" s="39" t="n">
        <v>30</v>
      </c>
      <c r="C1323" s="431" t="n">
        <v>16</v>
      </c>
      <c r="D1323" s="96" t="n">
        <v>16</v>
      </c>
      <c r="E1323" s="32" t="n">
        <v>126.5</v>
      </c>
      <c r="F1323" s="96" t="n"/>
      <c r="G1323" s="96" t="n"/>
      <c r="H1323" s="96" t="n"/>
      <c r="I1323" s="431" t="n">
        <v>70</v>
      </c>
      <c r="J1323" s="445" t="n">
        <v>70</v>
      </c>
      <c r="K1323" s="171" t="n"/>
      <c r="L1323" s="166" t="n"/>
    </row>
    <row r="1324" ht="18" customHeight="1" s="2" thickBot="1">
      <c r="A1324" s="193" t="inlineStr">
        <is>
          <t>Number of hours used to cover sick leave</t>
        </is>
      </c>
      <c r="B1324" s="233" t="n"/>
      <c r="C1324" s="100" t="n"/>
      <c r="D1324" s="101" t="n"/>
      <c r="E1324" s="34" t="n"/>
      <c r="F1324" s="101" t="n"/>
      <c r="G1324" s="101" t="n"/>
      <c r="H1324" s="101" t="n"/>
      <c r="I1324" s="431" t="n"/>
      <c r="J1324" s="446" t="n"/>
      <c r="K1324" s="171" t="n"/>
      <c r="L1324" s="166" t="n"/>
    </row>
    <row r="1325" ht="15.95" customHeight="1" s="2" thickBot="1">
      <c r="A1325" s="195" t="inlineStr">
        <is>
          <t>Minimum HOURS</t>
        </is>
      </c>
      <c r="B1325" s="35" t="n"/>
      <c r="C1325" s="98" t="n"/>
      <c r="D1325" s="102" t="n"/>
      <c r="E1325" s="35" t="n"/>
      <c r="F1325" s="98" t="n"/>
      <c r="G1325" s="98" t="n"/>
      <c r="H1325" s="98" t="n"/>
      <c r="I1325" s="100" t="n"/>
      <c r="J1325" s="112" t="n"/>
      <c r="K1325" s="171" t="n"/>
      <c r="L1325" s="166" t="n"/>
    </row>
    <row r="1326" ht="15.95" customHeight="1" s="2" thickBot="1">
      <c r="A1326" s="197" t="n"/>
      <c r="B1326" s="35" t="n"/>
      <c r="C1326" s="99" t="n"/>
      <c r="D1326" s="102" t="n"/>
      <c r="E1326" s="35" t="n"/>
      <c r="F1326" s="99" t="n"/>
      <c r="G1326" s="99" t="n"/>
      <c r="H1326" s="99" t="n"/>
      <c r="I1326" s="102" t="n"/>
      <c r="J1326" s="112" t="n"/>
      <c r="K1326" s="171" t="n"/>
      <c r="L1326" s="166" t="n"/>
    </row>
    <row r="1327" ht="15.95" customHeight="1" s="2" thickBot="1">
      <c r="A1327" s="197" t="n"/>
      <c r="B1327" s="35">
        <f>SUM(B1325:B1326)</f>
        <v/>
      </c>
      <c r="C1327" s="102" t="n"/>
      <c r="D1327" s="102" t="n"/>
      <c r="E1327" s="35">
        <f>SUM(E1325:E1326)</f>
        <v/>
      </c>
      <c r="F1327" s="102" t="n"/>
      <c r="G1327" s="102" t="n"/>
      <c r="H1327" s="447" t="n"/>
      <c r="I1327" s="102" t="n"/>
      <c r="J1327" s="112" t="n"/>
      <c r="K1327" s="171" t="n"/>
      <c r="L1327" s="166" t="n"/>
    </row>
    <row r="1328" ht="15.6" customHeight="1" s="2">
      <c r="A1328" s="166" t="n"/>
      <c r="B1328" s="201" t="n"/>
      <c r="C1328" s="268" t="n"/>
      <c r="D1328" s="268" t="n"/>
      <c r="E1328" s="201" t="n"/>
      <c r="F1328" s="269" t="n"/>
      <c r="G1328" s="269" t="n"/>
      <c r="H1328" s="201" t="n"/>
      <c r="I1328" s="269" t="n"/>
      <c r="J1328" s="269" t="n"/>
      <c r="K1328" s="166" t="n"/>
      <c r="L1328" s="166" t="n"/>
    </row>
    <row r="1329" ht="17.1" customHeight="1" s="2">
      <c r="A1329" s="166" t="n"/>
      <c r="B1329" s="270" t="n"/>
      <c r="C1329" s="271" t="n"/>
      <c r="D1329" s="271" t="n"/>
      <c r="E1329" s="272" t="n"/>
      <c r="F1329" s="273" t="inlineStr">
        <is>
          <t>Trainings</t>
        </is>
      </c>
      <c r="G1329" s="273" t="n"/>
      <c r="H1329" s="274" t="n"/>
      <c r="I1329" s="273" t="inlineStr">
        <is>
          <t>Trainings</t>
        </is>
      </c>
      <c r="J1329" s="273" t="n"/>
      <c r="K1329" s="171" t="n"/>
      <c r="L1329" s="166" t="n"/>
    </row>
    <row r="1330" ht="17.1" customHeight="1" s="2">
      <c r="A1330" s="166" t="n"/>
      <c r="B1330" s="270" t="n"/>
      <c r="C1330" s="275" t="n"/>
      <c r="D1330" s="271" t="n"/>
      <c r="E1330" s="276">
        <f>121118-113915</f>
        <v/>
      </c>
      <c r="F1330" s="275" t="n"/>
      <c r="G1330" s="271" t="n"/>
      <c r="H1330" s="276" t="n"/>
      <c r="I1330" s="275" t="n"/>
      <c r="J1330" s="271" t="n"/>
      <c r="K1330" s="186" t="n"/>
      <c r="L1330" s="166" t="n"/>
    </row>
    <row r="1331" ht="17.1" customHeight="1" s="2">
      <c r="A1331" s="166" t="n"/>
      <c r="B1331" s="270" t="n"/>
      <c r="C1331" s="277" t="n"/>
      <c r="D1331" s="271" t="n"/>
      <c r="E1331" s="276">
        <f>40.76-39.13</f>
        <v/>
      </c>
      <c r="F1331" s="277" t="n"/>
      <c r="G1331" s="271" t="n"/>
      <c r="H1331" s="276" t="n"/>
      <c r="I1331" s="271" t="n"/>
      <c r="J1331" s="271" t="n"/>
      <c r="K1331" s="186" t="n"/>
      <c r="L1331" s="166" t="n"/>
    </row>
    <row r="1332" ht="17.1" customHeight="1" s="2">
      <c r="A1332" s="166" t="n"/>
      <c r="B1332" s="270" t="n"/>
      <c r="C1332" s="277" t="n"/>
      <c r="D1332" s="271" t="n"/>
      <c r="E1332" s="276">
        <f>6650-5721</f>
        <v/>
      </c>
      <c r="F1332" s="277" t="n"/>
      <c r="G1332" s="271" t="n"/>
      <c r="H1332" s="276" t="n"/>
      <c r="I1332" s="271" t="n"/>
      <c r="J1332" s="271" t="n"/>
      <c r="K1332" s="186" t="n"/>
      <c r="L1332" s="166" t="n"/>
    </row>
    <row r="1333" ht="17.1" customHeight="1" s="2">
      <c r="A1333" s="166" t="n"/>
      <c r="B1333" s="270" t="n"/>
      <c r="C1333" s="277" t="n"/>
      <c r="D1333" s="271" t="n"/>
      <c r="E1333" s="276" t="n"/>
      <c r="F1333" s="277" t="n"/>
      <c r="G1333" s="271" t="n"/>
      <c r="H1333" s="276" t="n"/>
      <c r="I1333" s="277" t="n"/>
      <c r="J1333" s="271" t="n"/>
      <c r="K1333" s="186" t="n"/>
      <c r="L1333" s="166" t="n"/>
    </row>
    <row r="1334" ht="17.1" customHeight="1" s="2">
      <c r="A1334" s="166" t="n"/>
      <c r="B1334" s="270" t="n"/>
      <c r="C1334" s="277" t="n"/>
      <c r="D1334" s="271" t="n"/>
      <c r="E1334" s="276" t="n"/>
      <c r="F1334" s="277" t="n"/>
      <c r="G1334" s="271" t="n"/>
      <c r="H1334" s="276" t="n"/>
      <c r="I1334" s="277" t="n"/>
      <c r="J1334" s="271" t="n"/>
      <c r="K1334" s="186" t="n"/>
      <c r="L1334" s="166" t="n"/>
    </row>
    <row r="1335" ht="17.1" customHeight="1" s="2">
      <c r="A1335" s="166" t="n"/>
      <c r="B1335" s="270" t="n"/>
      <c r="C1335" s="277" t="n"/>
      <c r="D1335" s="271" t="n"/>
      <c r="E1335" s="276" t="n"/>
      <c r="F1335" s="277" t="n"/>
      <c r="G1335" s="271" t="n"/>
      <c r="H1335" s="276" t="n"/>
      <c r="I1335" s="277" t="n"/>
      <c r="J1335" s="271" t="n"/>
      <c r="K1335" s="186" t="n"/>
      <c r="L1335" s="166" t="n"/>
    </row>
    <row r="1336" ht="17.45" customHeight="1" s="2">
      <c r="A1336" s="166" t="n"/>
      <c r="B1336" s="270" t="n"/>
      <c r="C1336" s="277" t="n"/>
      <c r="D1336" s="271" t="n"/>
      <c r="E1336" s="276" t="n"/>
      <c r="F1336" s="271" t="n"/>
      <c r="G1336" s="271" t="n"/>
      <c r="H1336" s="276" t="n"/>
      <c r="I1336" s="278" t="n"/>
      <c r="J1336" s="278" t="n"/>
      <c r="K1336" s="186" t="n"/>
      <c r="L1336" s="166" t="n"/>
    </row>
    <row r="1337" ht="17.45" customHeight="1" s="2">
      <c r="A1337" s="166" t="n"/>
      <c r="B1337" s="270" t="n"/>
      <c r="C1337" s="278" t="n"/>
      <c r="D1337" s="278" t="n"/>
      <c r="E1337" s="276" t="n"/>
      <c r="F1337" s="271" t="n"/>
      <c r="G1337" s="271" t="n"/>
      <c r="H1337" s="276" t="n"/>
      <c r="I1337" s="278" t="n"/>
      <c r="J1337" s="278" t="n"/>
      <c r="K1337" s="186" t="n"/>
      <c r="L1337" s="166" t="n"/>
    </row>
    <row r="1338" ht="17.45" customHeight="1" s="2">
      <c r="A1338" s="166" t="n"/>
      <c r="B1338" s="270" t="n"/>
      <c r="C1338" s="278" t="n"/>
      <c r="D1338" s="278" t="n"/>
      <c r="E1338" s="276" t="n"/>
      <c r="F1338" s="271" t="n"/>
      <c r="G1338" s="271" t="n"/>
      <c r="H1338" s="276" t="n"/>
      <c r="I1338" s="271" t="n"/>
      <c r="J1338" s="271" t="n"/>
      <c r="K1338" s="186" t="n"/>
      <c r="L1338" s="166" t="n"/>
    </row>
    <row r="1339" ht="17.45" customHeight="1" s="2">
      <c r="A1339" s="166" t="n"/>
      <c r="B1339" s="270" t="n"/>
      <c r="C1339" s="278" t="n"/>
      <c r="D1339" s="278" t="n"/>
      <c r="E1339" s="276" t="n"/>
      <c r="F1339" s="271" t="n"/>
      <c r="G1339" s="271" t="n"/>
      <c r="H1339" s="276" t="n"/>
      <c r="I1339" s="271" t="n"/>
      <c r="J1339" s="271" t="n"/>
      <c r="K1339" s="186" t="n"/>
      <c r="L1339" s="166" t="n"/>
    </row>
    <row r="1340" ht="17.1" customHeight="1" s="2">
      <c r="A1340" s="166" t="n"/>
      <c r="B1340" s="270" t="n"/>
      <c r="C1340" s="279" t="n"/>
      <c r="D1340" s="271" t="n"/>
      <c r="E1340" s="276" t="n"/>
      <c r="F1340" s="279" t="n"/>
      <c r="G1340" s="271" t="n"/>
      <c r="H1340" s="276" t="n"/>
      <c r="I1340" s="279" t="n"/>
      <c r="J1340" s="271" t="n"/>
      <c r="K1340" s="186" t="n"/>
      <c r="L1340" s="166" t="n"/>
    </row>
    <row r="1341" ht="17.1" customHeight="1" s="2">
      <c r="A1341" s="166" t="n"/>
      <c r="B1341" s="270" t="n"/>
      <c r="C1341" s="271" t="n"/>
      <c r="D1341" s="271" t="n"/>
      <c r="E1341" s="276" t="n"/>
      <c r="F1341" s="271" t="n"/>
      <c r="G1341" s="271" t="n"/>
      <c r="H1341" s="276" t="n"/>
      <c r="I1341" s="271" t="n"/>
      <c r="J1341" s="271" t="n"/>
      <c r="K1341" s="186" t="n"/>
      <c r="L1341" s="166" t="n"/>
    </row>
    <row r="1342" ht="17.1" customHeight="1" s="2">
      <c r="A1342" s="166" t="n"/>
      <c r="B1342" s="270" t="n"/>
      <c r="C1342" s="271" t="n"/>
      <c r="D1342" s="271" t="n"/>
      <c r="E1342" s="276" t="n"/>
      <c r="F1342" s="271" t="n"/>
      <c r="G1342" s="271" t="n"/>
      <c r="H1342" s="276" t="n"/>
      <c r="I1342" s="271" t="n"/>
      <c r="J1342" s="271" t="n"/>
      <c r="K1342" s="186" t="n"/>
      <c r="L1342" s="166" t="n"/>
    </row>
    <row r="1343" ht="17.1" customHeight="1" s="2">
      <c r="A1343" s="166" t="n"/>
      <c r="B1343" s="270" t="n"/>
      <c r="C1343" s="271" t="n"/>
      <c r="D1343" s="271" t="n"/>
      <c r="E1343" s="276" t="n"/>
      <c r="F1343" s="271" t="n"/>
      <c r="G1343" s="271" t="n"/>
      <c r="H1343" s="276" t="n"/>
      <c r="I1343" s="271" t="n"/>
      <c r="J1343" s="271" t="n"/>
      <c r="K1343" s="186" t="n"/>
      <c r="L1343" s="166" t="n"/>
    </row>
    <row r="1344" ht="17.1" customHeight="1" s="2">
      <c r="A1344" s="166" t="n"/>
      <c r="B1344" s="270" t="n"/>
      <c r="C1344" s="271" t="n"/>
      <c r="D1344" s="271" t="n"/>
      <c r="E1344" s="276" t="n"/>
      <c r="F1344" s="271" t="n"/>
      <c r="G1344" s="271" t="n"/>
      <c r="H1344" s="276" t="n"/>
      <c r="I1344" s="271" t="n"/>
      <c r="J1344" s="271" t="n"/>
      <c r="K1344" s="186" t="n"/>
      <c r="L1344" s="166" t="n"/>
    </row>
    <row r="1345" ht="17.1" customHeight="1" s="2">
      <c r="A1345" s="166" t="n"/>
      <c r="B1345" s="270" t="n"/>
      <c r="C1345" s="271" t="n"/>
      <c r="D1345" s="271" t="n"/>
      <c r="E1345" s="276" t="n"/>
      <c r="F1345" s="271" t="n"/>
      <c r="G1345" s="271" t="n"/>
      <c r="H1345" s="276" t="n"/>
      <c r="I1345" s="271" t="n"/>
      <c r="J1345" s="271" t="n"/>
      <c r="K1345" s="186" t="n"/>
      <c r="L1345" s="166" t="n"/>
    </row>
    <row r="1346" ht="17.1" customHeight="1" s="2">
      <c r="A1346" s="166" t="n"/>
      <c r="B1346" s="270" t="n"/>
      <c r="C1346" s="271" t="n"/>
      <c r="D1346" s="271" t="n"/>
      <c r="E1346" s="276" t="n"/>
      <c r="F1346" s="271" t="n"/>
      <c r="G1346" s="271" t="n"/>
      <c r="H1346" s="276" t="n"/>
      <c r="I1346" s="271" t="n"/>
      <c r="J1346" s="271" t="n"/>
      <c r="K1346" s="186" t="n"/>
      <c r="L1346" s="166" t="n"/>
    </row>
    <row r="1347" ht="17.1" customHeight="1" s="2">
      <c r="A1347" s="166" t="n"/>
      <c r="B1347" s="270" t="n"/>
      <c r="C1347" s="271" t="n"/>
      <c r="D1347" s="271" t="n"/>
      <c r="E1347" s="276" t="n"/>
      <c r="F1347" s="271" t="n"/>
      <c r="G1347" s="271" t="n"/>
      <c r="H1347" s="276" t="n"/>
      <c r="I1347" s="271" t="n"/>
      <c r="J1347" s="271" t="n"/>
      <c r="K1347" s="186" t="n"/>
      <c r="L1347" s="166" t="n"/>
    </row>
    <row r="1348" ht="17.1" customHeight="1" s="2">
      <c r="A1348" s="166" t="n"/>
      <c r="B1348" s="270" t="n"/>
      <c r="C1348" s="280" t="n"/>
      <c r="D1348" s="280" t="n"/>
      <c r="E1348" s="276" t="n"/>
      <c r="F1348" s="280" t="n"/>
      <c r="G1348" s="280" t="n"/>
      <c r="H1348" s="276" t="n"/>
      <c r="I1348" s="280" t="inlineStr">
        <is>
          <t>TOTAL</t>
        </is>
      </c>
      <c r="J1348" s="280">
        <f>SUM(J1331:J1347)</f>
        <v/>
      </c>
      <c r="K1348" s="186" t="n"/>
      <c r="L1348" s="166" t="n"/>
    </row>
    <row r="1349" ht="15" customHeight="1" s="2">
      <c r="A1349" s="166" t="n"/>
      <c r="B1349" s="168" t="n"/>
      <c r="C1349" s="281" t="n"/>
      <c r="D1349" s="282" t="n"/>
      <c r="E1349" s="168" t="n"/>
      <c r="F1349" s="281" t="n"/>
      <c r="G1349" s="282" t="n"/>
      <c r="H1349" s="168" t="n"/>
      <c r="I1349" s="281" t="n"/>
      <c r="J1349" s="282" t="n"/>
      <c r="K1349" s="166" t="n"/>
      <c r="L1349" s="166" t="n"/>
    </row>
    <row r="1351" ht="15" customHeight="1" s="2">
      <c r="A1351" s="166" t="n"/>
      <c r="B1351" s="168" t="n"/>
      <c r="C1351" s="168" t="n"/>
      <c r="D1351" s="166" t="n"/>
      <c r="E1351" s="168" t="n"/>
      <c r="F1351" s="168" t="n"/>
      <c r="G1351" s="166" t="n"/>
      <c r="H1351" s="168" t="n"/>
      <c r="I1351" s="168" t="n"/>
      <c r="J1351" s="166" t="n"/>
      <c r="K1351" s="166" t="n"/>
      <c r="L1351" s="166" t="n"/>
    </row>
    <row r="1352" ht="18" customHeight="1" s="2" thickBot="1">
      <c r="A1352" s="238" t="n"/>
      <c r="B1352" s="222" t="inlineStr">
        <is>
          <t>20.08.18</t>
        </is>
      </c>
      <c r="C1352" s="235" t="inlineStr">
        <is>
          <t>19.08.19</t>
        </is>
      </c>
      <c r="D1352" s="236" t="n"/>
      <c r="E1352" s="222" t="n"/>
      <c r="F1352" s="237" t="inlineStr">
        <is>
          <t>26.08.19</t>
        </is>
      </c>
      <c r="G1352" s="166" t="n"/>
      <c r="H1352" s="166" t="n"/>
    </row>
    <row r="1353" ht="17.85" customHeight="1" s="2" thickBot="1">
      <c r="A1353" s="176" t="n"/>
      <c r="B1353" s="177" t="inlineStr">
        <is>
          <t>Last Year</t>
        </is>
      </c>
      <c r="C1353" s="178" t="inlineStr">
        <is>
          <t>Projected</t>
        </is>
      </c>
      <c r="D1353" s="230" t="inlineStr">
        <is>
          <t>Actual</t>
        </is>
      </c>
      <c r="E1353" s="177" t="inlineStr">
        <is>
          <t>Last Year</t>
        </is>
      </c>
      <c r="F1353" s="178" t="inlineStr">
        <is>
          <t>Projected</t>
        </is>
      </c>
      <c r="G1353" s="180" t="n"/>
      <c r="H1353" s="166" t="n"/>
    </row>
    <row r="1354" ht="18" customHeight="1" s="2">
      <c r="A1354" s="181" t="inlineStr">
        <is>
          <t>GROSS TOTAL</t>
        </is>
      </c>
      <c r="B1354" s="215" t="n">
        <v>160902</v>
      </c>
      <c r="C1354" s="184" t="n">
        <v>170880</v>
      </c>
      <c r="D1354" s="184" t="n">
        <v>179925.5</v>
      </c>
      <c r="E1354" s="184" t="n">
        <v>153837</v>
      </c>
      <c r="F1354" s="215" t="n">
        <v>157463</v>
      </c>
      <c r="G1354" s="186" t="n"/>
      <c r="H1354" s="166" t="n"/>
    </row>
    <row r="1355" ht="17.45" customHeight="1" s="2">
      <c r="A1355" s="187" t="inlineStr">
        <is>
          <t>NETT  TOTAL</t>
        </is>
      </c>
      <c r="B1355" s="9">
        <f>B1354/1.1</f>
        <v/>
      </c>
      <c r="C1355" s="9">
        <f>C1354/1.1</f>
        <v/>
      </c>
      <c r="D1355" s="32" t="n">
        <v>163568.64</v>
      </c>
      <c r="E1355" s="32">
        <f>E1354/1.1</f>
        <v/>
      </c>
      <c r="F1355" s="28">
        <f>F1354/1.1</f>
        <v/>
      </c>
      <c r="G1355" s="186" t="n"/>
      <c r="H1355" s="166" t="n"/>
    </row>
    <row r="1356" ht="17.45" customHeight="1" s="2">
      <c r="A1356" s="188" t="inlineStr">
        <is>
          <t>Customers</t>
        </is>
      </c>
      <c r="B1356" s="28" t="n">
        <v>7780</v>
      </c>
      <c r="C1356" s="10" t="n">
        <v>8545</v>
      </c>
      <c r="D1356" s="10" t="n">
        <v>8374</v>
      </c>
      <c r="E1356" s="10" t="n">
        <v>7604</v>
      </c>
      <c r="F1356" s="28" t="n">
        <v>7900</v>
      </c>
      <c r="G1356" s="171" t="n"/>
      <c r="H1356" s="166" t="n"/>
    </row>
    <row r="1357" ht="17.45" customHeight="1" s="2">
      <c r="A1357" s="188" t="inlineStr">
        <is>
          <t>Average Customer Spend</t>
        </is>
      </c>
      <c r="B1357" s="9">
        <f>B1354/B1356</f>
        <v/>
      </c>
      <c r="C1357" s="9">
        <f>C1354/C1356</f>
        <v/>
      </c>
      <c r="D1357" s="32">
        <f>D1354/8374</f>
        <v/>
      </c>
      <c r="E1357" s="32">
        <f>E1354/E1356</f>
        <v/>
      </c>
      <c r="F1357" s="28">
        <f>F1354/F1356</f>
        <v/>
      </c>
      <c r="G1357" s="171" t="n"/>
      <c r="H1357" s="166" t="n"/>
    </row>
    <row r="1358" ht="17.45" customHeight="1" s="2">
      <c r="A1358" s="191" t="inlineStr">
        <is>
          <t>Wage % to Gross total</t>
        </is>
      </c>
      <c r="B1358" s="265">
        <f>(B1361*B1362)/B1354</f>
        <v/>
      </c>
      <c r="C1358" s="9">
        <f>(C1361*C1362)/C1354</f>
        <v/>
      </c>
      <c r="D1358" s="39" t="n">
        <v>0.3064</v>
      </c>
      <c r="E1358" s="39">
        <f>(E1361*E1362)/E1354</f>
        <v/>
      </c>
      <c r="F1358" s="265">
        <f>(F1361*F1362)/F1354</f>
        <v/>
      </c>
      <c r="G1358" s="171" t="n"/>
      <c r="H1358" s="166" t="n"/>
    </row>
    <row r="1359" ht="17.45" customHeight="1" s="2">
      <c r="A1359" s="191" t="inlineStr">
        <is>
          <t>Wage % to Nett Total</t>
        </is>
      </c>
      <c r="B1359" s="265">
        <f>(B1361*B1362)/B1355</f>
        <v/>
      </c>
      <c r="C1359" s="9">
        <f>(C1362*C1363)/C1355</f>
        <v/>
      </c>
      <c r="D1359" s="39" t="n">
        <v>0.3371</v>
      </c>
      <c r="E1359" s="266">
        <f>(E1361*E1362)/E1355</f>
        <v/>
      </c>
      <c r="F1359" s="265">
        <f>(F1361*F1362)/F1355</f>
        <v/>
      </c>
      <c r="G1359" s="171" t="n"/>
      <c r="H1359" s="166" t="n"/>
    </row>
    <row r="1360" ht="17.45" customHeight="1" s="2">
      <c r="A1360" s="188" t="inlineStr">
        <is>
          <t>Productivity</t>
        </is>
      </c>
      <c r="B1360" s="28">
        <f>B1356/B1362</f>
        <v/>
      </c>
      <c r="C1360" s="9">
        <f>(C1363*C1364)/C1356</f>
        <v/>
      </c>
      <c r="D1360" s="32" t="n">
        <v>5.12</v>
      </c>
      <c r="E1360" s="32">
        <f>E1356/E1362</f>
        <v/>
      </c>
      <c r="F1360" s="28">
        <f>F1356/F1362</f>
        <v/>
      </c>
      <c r="G1360" s="171" t="n"/>
      <c r="H1360" s="166" t="n"/>
    </row>
    <row r="1361" ht="17.45" customHeight="1" s="2">
      <c r="A1361" s="188" t="inlineStr">
        <is>
          <t>Average Hourly Rate</t>
        </is>
      </c>
      <c r="B1361" s="189" t="n">
        <v>32</v>
      </c>
      <c r="C1361" s="189" t="n">
        <v>35</v>
      </c>
      <c r="D1361" s="32" t="n">
        <v>33.7</v>
      </c>
      <c r="E1361" s="32" t="n">
        <v>35.07</v>
      </c>
      <c r="F1361" s="28" t="n">
        <v>32</v>
      </c>
      <c r="G1361" s="171" t="n"/>
      <c r="H1361" s="166" t="n"/>
    </row>
    <row r="1362" ht="17.45" customHeight="1" s="2">
      <c r="A1362" s="188" t="inlineStr">
        <is>
          <t>Total hours for productivity</t>
        </is>
      </c>
      <c r="B1362" s="189" t="n">
        <v>1510</v>
      </c>
      <c r="C1362" s="189" t="n"/>
      <c r="D1362" s="32" t="n">
        <v>1635.75</v>
      </c>
      <c r="E1362" s="32" t="n">
        <v>1416</v>
      </c>
      <c r="F1362" s="28" t="n"/>
      <c r="G1362" s="171" t="n"/>
      <c r="H1362" s="166" t="n"/>
    </row>
    <row r="1363" ht="17.45" customHeight="1" s="2">
      <c r="A1363" s="188" t="inlineStr">
        <is>
          <t>Training Hours used</t>
        </is>
      </c>
      <c r="B1363" s="189" t="n">
        <v>134.5</v>
      </c>
      <c r="C1363" s="189" t="n">
        <v>28.5</v>
      </c>
      <c r="D1363" s="32" t="n">
        <v>0</v>
      </c>
      <c r="E1363" s="32" t="n">
        <v>28.5</v>
      </c>
      <c r="F1363" s="28" t="n"/>
      <c r="G1363" s="186" t="n"/>
      <c r="H1363" s="166" t="n"/>
    </row>
    <row r="1364" ht="18" customHeight="1" s="2" thickBot="1">
      <c r="A1364" s="193" t="inlineStr">
        <is>
          <t>Number of hours used to cover sick leave</t>
        </is>
      </c>
      <c r="B1364" s="189" t="n"/>
      <c r="C1364" s="14" t="n"/>
      <c r="D1364" s="34" t="n"/>
      <c r="E1364" s="34" t="n"/>
      <c r="F1364" s="41" t="n"/>
      <c r="G1364" s="186" t="n"/>
      <c r="H1364" s="166" t="n"/>
    </row>
    <row r="1365" ht="15.95" customHeight="1" s="2" thickBot="1">
      <c r="A1365" s="195" t="inlineStr">
        <is>
          <t>Minimum HOURS</t>
        </is>
      </c>
      <c r="B1365" s="196" t="inlineStr">
        <is>
          <t xml:space="preserve">Kitchen </t>
        </is>
      </c>
      <c r="C1365" s="16" t="n">
        <v>585</v>
      </c>
      <c r="D1365" s="35" t="n"/>
      <c r="E1365" s="35" t="n"/>
      <c r="F1365" s="16" t="n">
        <v>611</v>
      </c>
      <c r="G1365" s="180" t="n"/>
      <c r="H1365" s="166" t="n"/>
    </row>
    <row r="1366" ht="15.95" customHeight="1" s="2" thickBot="1">
      <c r="A1366" s="197" t="n"/>
      <c r="B1366" s="198" t="inlineStr">
        <is>
          <t xml:space="preserve">Floor </t>
        </is>
      </c>
      <c r="C1366" s="18" t="n">
        <v>641</v>
      </c>
      <c r="D1366" s="35" t="n"/>
      <c r="E1366" s="35" t="n"/>
      <c r="F1366" s="18" t="n">
        <v>805</v>
      </c>
      <c r="G1366" s="180" t="n"/>
      <c r="H1366" s="166" t="n"/>
    </row>
    <row r="1367" ht="15.95" customHeight="1" s="2" thickBot="1">
      <c r="A1367" s="197" t="n"/>
      <c r="B1367" s="199" t="inlineStr">
        <is>
          <t>TOTAL</t>
        </is>
      </c>
      <c r="C1367" s="42">
        <f>SUM(C1365:C1366)</f>
        <v/>
      </c>
      <c r="D1367" s="35">
        <f>SUM(D1365:D1366)</f>
        <v/>
      </c>
      <c r="E1367" s="35">
        <f>SUM(E1365:E1366)</f>
        <v/>
      </c>
      <c r="F1367" s="42">
        <f>SUM(F1365:F1366)</f>
        <v/>
      </c>
      <c r="G1367" s="180" t="n"/>
      <c r="H1367" s="166" t="n"/>
    </row>
    <row r="1368" ht="15.95" customFormat="1" customHeight="1" s="430" thickBot="1">
      <c r="A1368" s="448" t="n"/>
      <c r="B1368" s="449" t="n"/>
      <c r="C1368" s="450" t="n"/>
      <c r="D1368" s="450" t="n"/>
      <c r="E1368" s="42">
        <f>SUM(E1366:E1367)</f>
        <v/>
      </c>
      <c r="F1368" s="450" t="n"/>
      <c r="G1368" s="428" t="n"/>
      <c r="H1368" s="429" t="n"/>
    </row>
    <row r="1369" ht="15.6" customFormat="1" customHeight="1" s="430">
      <c r="A1369" s="429" t="n"/>
      <c r="B1369" s="451" t="n"/>
      <c r="C1369" s="452" t="n"/>
      <c r="D1369" s="452" t="n"/>
      <c r="E1369" s="451" t="n"/>
      <c r="F1369" s="453" t="n"/>
      <c r="G1369" s="429" t="n"/>
      <c r="H1369" s="429" t="n"/>
    </row>
    <row r="1370" ht="15.75" customFormat="1" customHeight="1" s="430" thickBot="1">
      <c r="A1370" s="495" t="n"/>
      <c r="B1370" s="494" t="n"/>
      <c r="C1370" s="496" t="n"/>
      <c r="D1370" s="497" t="n"/>
      <c r="E1370" s="494" t="n"/>
      <c r="F1370" s="498" t="n"/>
      <c r="G1370" s="454" t="n"/>
    </row>
    <row r="1371" ht="15.75" customHeight="1" s="2" thickBot="1">
      <c r="B1371" s="499" t="n"/>
      <c r="C1371" s="500" t="n"/>
      <c r="D1371" s="501" t="inlineStr">
        <is>
          <t>26.8.19</t>
        </is>
      </c>
      <c r="E1371" s="502" t="n"/>
      <c r="F1371" s="500" t="n"/>
      <c r="G1371" s="501" t="inlineStr">
        <is>
          <t>2.9.19</t>
        </is>
      </c>
      <c r="H1371" s="502" t="n"/>
      <c r="I1371" s="500" t="n"/>
      <c r="J1371" s="501" t="inlineStr">
        <is>
          <t>9.9.19</t>
        </is>
      </c>
      <c r="K1371" s="500" t="n"/>
      <c r="L1371" s="500" t="n"/>
      <c r="M1371" s="501" t="inlineStr">
        <is>
          <t>16.9.19</t>
        </is>
      </c>
    </row>
    <row r="1372" ht="15.75" customHeight="1" s="2" thickBot="1">
      <c r="A1372" s="455" t="n"/>
      <c r="B1372" s="456" t="inlineStr">
        <is>
          <t>LAST YEAR</t>
        </is>
      </c>
      <c r="C1372" s="457" t="inlineStr">
        <is>
          <t>Actual</t>
        </is>
      </c>
      <c r="D1372" s="458" t="inlineStr">
        <is>
          <t>Projected</t>
        </is>
      </c>
      <c r="E1372" s="456" t="inlineStr">
        <is>
          <t>LAST YEAR</t>
        </is>
      </c>
      <c r="F1372" s="457" t="inlineStr">
        <is>
          <t>Actual</t>
        </is>
      </c>
      <c r="G1372" s="458" t="inlineStr">
        <is>
          <t>Projected</t>
        </is>
      </c>
      <c r="H1372" s="456" t="inlineStr">
        <is>
          <t>LAST YEAR</t>
        </is>
      </c>
      <c r="I1372" s="457" t="inlineStr">
        <is>
          <t>Actual</t>
        </is>
      </c>
      <c r="J1372" s="458" t="inlineStr">
        <is>
          <t>Projected</t>
        </is>
      </c>
      <c r="K1372" s="456" t="inlineStr">
        <is>
          <t>LAST YEAR</t>
        </is>
      </c>
      <c r="L1372" s="457" t="inlineStr">
        <is>
          <t>Actual</t>
        </is>
      </c>
      <c r="M1372" s="458" t="inlineStr">
        <is>
          <t>Projected</t>
        </is>
      </c>
    </row>
    <row r="1373" ht="15.75" customHeight="1" s="2">
      <c r="A1373" s="459" t="inlineStr">
        <is>
          <t>Total Receipts</t>
        </is>
      </c>
      <c r="B1373" s="1620" t="n">
        <v>154944</v>
      </c>
      <c r="C1373" s="1621" t="n">
        <v>148744.4</v>
      </c>
      <c r="D1373" s="1622" t="n">
        <v>157463</v>
      </c>
      <c r="E1373" s="1620" t="n">
        <v>127590</v>
      </c>
      <c r="F1373" s="1621" t="n">
        <v>140760.57</v>
      </c>
      <c r="G1373" s="1622" t="n">
        <v>149591</v>
      </c>
      <c r="H1373" s="1620" t="n">
        <v>127767</v>
      </c>
      <c r="I1373" s="1621" t="n">
        <v>141592.82</v>
      </c>
      <c r="J1373" s="1622" t="n">
        <v>164239</v>
      </c>
      <c r="K1373" s="1620" t="n">
        <v>134333.14</v>
      </c>
      <c r="L1373" s="1621" t="n">
        <v>132035.76</v>
      </c>
      <c r="M1373" s="1622" t="n">
        <v>150701</v>
      </c>
    </row>
    <row r="1374" ht="15.75" customHeight="1" s="2">
      <c r="A1374" s="462" t="inlineStr">
        <is>
          <t>Nett Sales</t>
        </is>
      </c>
      <c r="B1374" s="1623" t="n">
        <v>140858.18</v>
      </c>
      <c r="C1374" s="1624" t="n">
        <v>135222.18</v>
      </c>
      <c r="D1374" s="1625">
        <f>D1373/1.1</f>
        <v/>
      </c>
      <c r="E1374" s="1623" t="n">
        <v>115991</v>
      </c>
      <c r="F1374" s="1624" t="n">
        <v>127964.15</v>
      </c>
      <c r="G1374" s="1625" t="n">
        <v>135991</v>
      </c>
      <c r="H1374" s="1623" t="n">
        <v>116152</v>
      </c>
      <c r="I1374" s="1624" t="n">
        <v>128720.75</v>
      </c>
      <c r="J1374" s="1625" t="n">
        <v>149308</v>
      </c>
      <c r="K1374" s="1623" t="n">
        <v>122121.04</v>
      </c>
      <c r="L1374" s="1624" t="n">
        <v>120032.51</v>
      </c>
      <c r="M1374" s="1625" t="n">
        <v>137001.3</v>
      </c>
    </row>
    <row r="1375" ht="15.75" customHeight="1" s="2">
      <c r="A1375" s="462" t="inlineStr">
        <is>
          <t>Customers</t>
        </is>
      </c>
      <c r="B1375" s="485" t="n">
        <v>7332</v>
      </c>
      <c r="C1375" s="465" t="n">
        <v>7098</v>
      </c>
      <c r="D1375" s="466">
        <f>3280+3685+935</f>
        <v/>
      </c>
      <c r="E1375" s="485" t="n">
        <v>6449</v>
      </c>
      <c r="F1375" s="465" t="n">
        <v>6820</v>
      </c>
      <c r="G1375" s="466" t="n">
        <v>7250</v>
      </c>
      <c r="H1375" s="485" t="n">
        <v>6237</v>
      </c>
      <c r="I1375" s="465" t="n">
        <v>6807</v>
      </c>
      <c r="J1375" s="466" t="n">
        <v>8125</v>
      </c>
      <c r="K1375" s="485" t="n">
        <v>6565</v>
      </c>
      <c r="L1375" s="465" t="n">
        <v>6112</v>
      </c>
      <c r="M1375" s="466" t="n">
        <v>7440</v>
      </c>
    </row>
    <row r="1376" ht="15.75" customHeight="1" s="2">
      <c r="A1376" s="462" t="inlineStr">
        <is>
          <t>Average Customer Spend</t>
        </is>
      </c>
      <c r="B1376" s="1626">
        <f>B1373/7332</f>
        <v/>
      </c>
      <c r="C1376" s="1627" t="n">
        <v>18.83</v>
      </c>
      <c r="D1376" s="1628">
        <f>D1373/7900</f>
        <v/>
      </c>
      <c r="E1376" s="1626">
        <f>E1373/E1375</f>
        <v/>
      </c>
      <c r="F1376" s="1627">
        <f>F1373/F1375</f>
        <v/>
      </c>
      <c r="G1376" s="1628" t="n">
        <v>20.63</v>
      </c>
      <c r="H1376" s="1626" t="n">
        <v>20.48532949</v>
      </c>
      <c r="I1376" s="1627" t="n">
        <v>20.8</v>
      </c>
      <c r="J1376" s="1628" t="n">
        <v>20.21</v>
      </c>
      <c r="K1376" s="1626">
        <f>K1373/K1375</f>
        <v/>
      </c>
      <c r="L1376" s="1627">
        <f>132036/6112</f>
        <v/>
      </c>
      <c r="M1376" s="1628" t="n">
        <v>20.26</v>
      </c>
    </row>
    <row r="1377" ht="15.75" customHeight="1" s="2">
      <c r="A1377" s="462" t="inlineStr">
        <is>
          <t>Wage % to Total Receipts</t>
        </is>
      </c>
      <c r="B1377" s="487" t="n">
        <v>0.3239</v>
      </c>
      <c r="C1377" s="469" t="n">
        <v>0.3629</v>
      </c>
      <c r="D1377" s="470" t="n">
        <v>0.3768</v>
      </c>
      <c r="E1377" s="487" t="n">
        <v>0.3955</v>
      </c>
      <c r="F1377" s="469" t="n">
        <v>0.3831</v>
      </c>
      <c r="G1377" s="470" t="n">
        <v>0.3967</v>
      </c>
      <c r="H1377" s="487" t="n">
        <v>0.4005</v>
      </c>
      <c r="I1377" s="469" t="n">
        <v>0.3707</v>
      </c>
      <c r="J1377" s="470" t="n">
        <v>0.3646</v>
      </c>
      <c r="K1377" s="487" t="n">
        <v>0.3781</v>
      </c>
      <c r="L1377" s="469" t="n">
        <v>0.3759</v>
      </c>
      <c r="M1377" s="470" t="n">
        <v>0.3745</v>
      </c>
    </row>
    <row r="1378" ht="15.75" customHeight="1" s="2">
      <c r="A1378" s="462" t="inlineStr">
        <is>
          <t>Wage % to Nett Sales</t>
        </is>
      </c>
      <c r="B1378" s="487" t="n">
        <v>0.3563</v>
      </c>
      <c r="C1378" s="469" t="n">
        <v>0.3992</v>
      </c>
      <c r="D1378" s="470" t="n">
        <v>0.412</v>
      </c>
      <c r="E1378" s="487" t="n">
        <v>0.4351</v>
      </c>
      <c r="F1378" s="469" t="n">
        <v>0.4114</v>
      </c>
      <c r="G1378" s="470" t="n">
        <v>0.4364</v>
      </c>
      <c r="H1378" s="487" t="n">
        <v>0.4405</v>
      </c>
      <c r="I1378" s="469" t="n">
        <v>0.4078</v>
      </c>
      <c r="J1378" s="470" t="n">
        <v>0.4011</v>
      </c>
      <c r="K1378" s="487" t="n">
        <v>0.416</v>
      </c>
      <c r="L1378" s="469" t="n">
        <v>0.4135</v>
      </c>
      <c r="M1378" s="470" t="n">
        <v>0.4119</v>
      </c>
    </row>
    <row r="1379" ht="15.75" customHeight="1" s="2">
      <c r="A1379" s="462" t="inlineStr">
        <is>
          <t>Productivity</t>
        </is>
      </c>
      <c r="B1379" s="488" t="n">
        <v>5.03</v>
      </c>
      <c r="C1379" s="471" t="n">
        <v>4.4</v>
      </c>
      <c r="D1379" s="472">
        <f>7900/1695</f>
        <v/>
      </c>
      <c r="E1379" s="488" t="n">
        <v>4.32</v>
      </c>
      <c r="F1379" s="471" t="n">
        <v>4.13</v>
      </c>
      <c r="G1379" s="472" t="n">
        <v>5</v>
      </c>
      <c r="H1379" s="488" t="n">
        <v>4.09</v>
      </c>
      <c r="I1379" s="471" t="n">
        <v>4.21</v>
      </c>
      <c r="J1379" s="472" t="n">
        <v>5</v>
      </c>
      <c r="K1379" s="488" t="n">
        <v>4.48</v>
      </c>
      <c r="L1379" s="471" t="n">
        <v>4.03</v>
      </c>
      <c r="M1379" s="472" t="n">
        <v>4.05</v>
      </c>
    </row>
    <row r="1380" ht="15.75" customHeight="1" s="2">
      <c r="A1380" s="462" t="inlineStr">
        <is>
          <t>Average Hourly Rate</t>
        </is>
      </c>
      <c r="B1380" s="1629" t="n">
        <v>34.45</v>
      </c>
      <c r="C1380" s="471" t="n">
        <v>33.45</v>
      </c>
      <c r="D1380" s="1628" t="n">
        <v>35</v>
      </c>
      <c r="E1380" s="1629" t="n">
        <v>33.82</v>
      </c>
      <c r="F1380" s="471" t="n">
        <v>32.62</v>
      </c>
      <c r="G1380" s="1628" t="n">
        <v>35</v>
      </c>
      <c r="H1380" s="1629" t="n">
        <v>33.57</v>
      </c>
      <c r="I1380" s="1630" t="n">
        <v>32.45</v>
      </c>
      <c r="J1380" s="1628" t="n">
        <v>35</v>
      </c>
      <c r="K1380" s="1629" t="n">
        <v>34.63</v>
      </c>
      <c r="L1380" s="471" t="n">
        <v>32.72</v>
      </c>
      <c r="M1380" s="1628" t="n">
        <v>32.74</v>
      </c>
    </row>
    <row r="1381" ht="15.75" customHeight="1" s="2">
      <c r="A1381" s="462" t="inlineStr">
        <is>
          <t>Total hours for productivity</t>
        </is>
      </c>
      <c r="B1381" s="485" t="n">
        <v>1457</v>
      </c>
      <c r="C1381" s="471" t="n">
        <v>1613.75</v>
      </c>
      <c r="D1381" s="466" t="n">
        <v>1695</v>
      </c>
      <c r="E1381" s="485" t="n">
        <v>1492</v>
      </c>
      <c r="F1381" s="471" t="n">
        <v>1653</v>
      </c>
      <c r="G1381" s="466" t="n">
        <v>1696</v>
      </c>
      <c r="H1381" s="485" t="n">
        <v>1524.25</v>
      </c>
      <c r="I1381" s="471" t="n">
        <v>1617.75</v>
      </c>
      <c r="J1381" s="466" t="n">
        <v>1711</v>
      </c>
      <c r="K1381" s="485" t="n">
        <v>1467</v>
      </c>
      <c r="L1381" s="471" t="n">
        <v>1471</v>
      </c>
      <c r="M1381" s="466" t="n">
        <v>1533</v>
      </c>
    </row>
    <row r="1382" ht="15.75" customHeight="1" s="2">
      <c r="A1382" s="462" t="inlineStr">
        <is>
          <t>Training Hours used</t>
        </is>
      </c>
      <c r="B1382" s="485" t="n">
        <v>0</v>
      </c>
      <c r="C1382" s="473" t="n">
        <v>88</v>
      </c>
      <c r="D1382" s="466" t="n">
        <v>0</v>
      </c>
      <c r="E1382" s="485" t="n">
        <v>0</v>
      </c>
      <c r="F1382" s="473" t="n">
        <v>153</v>
      </c>
      <c r="G1382" s="466" t="n">
        <v>68</v>
      </c>
      <c r="H1382" s="485" t="n"/>
      <c r="I1382" s="473" t="n">
        <v>75</v>
      </c>
      <c r="J1382" s="466" t="n">
        <v>75</v>
      </c>
      <c r="K1382" s="485" t="n"/>
      <c r="L1382" s="473" t="n">
        <v>122</v>
      </c>
      <c r="M1382" s="466" t="n">
        <v>122</v>
      </c>
    </row>
    <row r="1383" ht="15.75" customHeight="1" s="2" thickBot="1">
      <c r="A1383" s="474" t="inlineStr">
        <is>
          <t>Number of hours used to cover sick leave</t>
        </is>
      </c>
      <c r="B1383" s="490" t="n">
        <v>0</v>
      </c>
      <c r="C1383" s="475" t="n">
        <v>63.5</v>
      </c>
      <c r="D1383" s="476" t="n">
        <v>0</v>
      </c>
      <c r="E1383" s="490" t="n">
        <v>0</v>
      </c>
      <c r="F1383" s="475" t="n"/>
      <c r="G1383" s="476" t="n">
        <v>0</v>
      </c>
      <c r="H1383" s="490" t="n"/>
      <c r="I1383" s="475" t="n"/>
      <c r="J1383" s="476" t="n"/>
      <c r="K1383" s="490" t="n"/>
      <c r="L1383" s="475" t="n"/>
      <c r="M1383" s="476" t="n"/>
    </row>
    <row r="1384" ht="15.75" customHeight="1" s="2" thickBot="1">
      <c r="A1384" s="477" t="inlineStr">
        <is>
          <t xml:space="preserve">Minimum Hours </t>
        </is>
      </c>
      <c r="B1384" s="491" t="inlineStr">
        <is>
          <t>Projected</t>
        </is>
      </c>
      <c r="C1384" s="478" t="inlineStr">
        <is>
          <t>Rostered</t>
        </is>
      </c>
      <c r="D1384" s="503" t="n"/>
      <c r="E1384" s="491" t="inlineStr">
        <is>
          <t>Projected</t>
        </is>
      </c>
      <c r="F1384" s="478" t="inlineStr">
        <is>
          <t>Rostered</t>
        </is>
      </c>
      <c r="G1384" s="503" t="n"/>
      <c r="H1384" s="491" t="inlineStr">
        <is>
          <t>Projected</t>
        </is>
      </c>
      <c r="I1384" s="478" t="inlineStr">
        <is>
          <t>Rostered</t>
        </is>
      </c>
      <c r="J1384" s="503" t="n"/>
      <c r="K1384" s="491" t="inlineStr">
        <is>
          <t>Projected</t>
        </is>
      </c>
      <c r="L1384" s="478" t="inlineStr">
        <is>
          <t>Rostered</t>
        </is>
      </c>
      <c r="M1384" s="503" t="n"/>
    </row>
    <row r="1385" ht="15.75" customHeight="1" s="2">
      <c r="A1385" s="479" t="inlineStr">
        <is>
          <t>Floor</t>
        </is>
      </c>
      <c r="B1385" s="492" t="n"/>
      <c r="C1385" s="480" t="n"/>
      <c r="D1385" s="504" t="n"/>
      <c r="E1385" s="492" t="n">
        <v>797</v>
      </c>
      <c r="F1385" s="480" t="n">
        <v>928</v>
      </c>
      <c r="G1385" s="504" t="n"/>
      <c r="H1385" s="492" t="n">
        <v>894</v>
      </c>
      <c r="I1385" s="480" t="n">
        <v>945</v>
      </c>
      <c r="J1385" s="504" t="n"/>
      <c r="K1385" s="492" t="n">
        <v>744</v>
      </c>
      <c r="L1385" s="480" t="n">
        <v>814</v>
      </c>
      <c r="M1385" s="504" t="n"/>
    </row>
    <row r="1386" ht="15.75" customHeight="1" s="2" thickBot="1">
      <c r="A1386" s="481" t="inlineStr">
        <is>
          <t>Kitchen</t>
        </is>
      </c>
      <c r="B1386" s="493" t="n"/>
      <c r="C1386" s="1242" t="n"/>
      <c r="D1386" s="505" t="n"/>
      <c r="E1386" s="493" t="n">
        <v>652</v>
      </c>
      <c r="F1386" s="1242" t="n">
        <v>768</v>
      </c>
      <c r="G1386" s="505" t="n"/>
      <c r="H1386" s="493" t="n">
        <v>731</v>
      </c>
      <c r="I1386" s="1242" t="n">
        <v>766</v>
      </c>
      <c r="J1386" s="505" t="n"/>
      <c r="K1386" s="493" t="n">
        <v>588</v>
      </c>
      <c r="L1386" s="1242" t="n">
        <v>650</v>
      </c>
      <c r="M1386" s="505" t="n"/>
    </row>
    <row r="1387" ht="15.75" customHeight="1" s="2" thickBot="1"/>
    <row r="1388" ht="15.75" customHeight="1" s="2" thickBot="1">
      <c r="A1388" s="506" t="inlineStr">
        <is>
          <t>Training explanation</t>
        </is>
      </c>
      <c r="C1388" s="523" t="inlineStr">
        <is>
          <t>Floor</t>
        </is>
      </c>
      <c r="D1388" s="524" t="inlineStr">
        <is>
          <t>Kitchen</t>
        </is>
      </c>
      <c r="E1388" s="509" t="n"/>
      <c r="F1388" s="507" t="inlineStr">
        <is>
          <t>Floor</t>
        </is>
      </c>
      <c r="G1388" s="508" t="inlineStr">
        <is>
          <t>Kitchen</t>
        </is>
      </c>
      <c r="H1388" s="510" t="n"/>
      <c r="I1388" s="535" t="n"/>
      <c r="J1388" s="511" t="n"/>
      <c r="K1388" s="512" t="n"/>
      <c r="L1388" s="535" t="n"/>
      <c r="M1388" s="513" t="n"/>
      <c r="O1388" s="543" t="n"/>
      <c r="P1388" s="544" t="n"/>
    </row>
    <row r="1389" ht="15.75" customHeight="1" s="2">
      <c r="A1389" s="506" t="inlineStr">
        <is>
          <t>Who is being Trained</t>
        </is>
      </c>
      <c r="C1389" s="549" t="inlineStr">
        <is>
          <t>Jenelle (38hrs)</t>
        </is>
      </c>
      <c r="D1389" s="525" t="inlineStr">
        <is>
          <t>Julius(15hrs)</t>
        </is>
      </c>
      <c r="E1389" s="514" t="n"/>
      <c r="F1389" s="537" t="inlineStr">
        <is>
          <t>INGA T1-T4   20</t>
        </is>
      </c>
      <c r="G1389" s="531" t="inlineStr">
        <is>
          <t>Pizza/Grill+New Start (40)</t>
        </is>
      </c>
      <c r="H1389" s="515" t="n"/>
      <c r="I1389" s="531" t="inlineStr">
        <is>
          <t>Inga(5) new starter</t>
        </is>
      </c>
      <c r="J1389" s="531" t="inlineStr">
        <is>
          <t>Pizza/Grill+New Start (40)</t>
        </is>
      </c>
      <c r="K1389" s="515" t="n"/>
      <c r="L1389" s="536" t="inlineStr">
        <is>
          <t xml:space="preserve">Eva IND ( t1-13) </t>
        </is>
      </c>
      <c r="M1389" s="555" t="inlineStr">
        <is>
          <t>bibek  10 ( grill)</t>
        </is>
      </c>
      <c r="O1389" s="545" t="n"/>
      <c r="P1389" s="546" t="n"/>
    </row>
    <row r="1390" ht="15.75" customHeight="1" s="2">
      <c r="C1390" s="550" t="inlineStr">
        <is>
          <t>Samanatha (15hrs)</t>
        </is>
      </c>
      <c r="D1390" s="526" t="n"/>
      <c r="E1390" s="514" t="n"/>
      <c r="F1390" s="537" t="inlineStr">
        <is>
          <t>FAY  Bar ( T1-T2) 10</t>
        </is>
      </c>
      <c r="G1390" s="530" t="n"/>
      <c r="H1390" s="516" t="n"/>
      <c r="I1390" s="537" t="inlineStr">
        <is>
          <t>Fay (5) bar t3</t>
        </is>
      </c>
      <c r="J1390" s="530" t="n"/>
      <c r="K1390" s="516" t="n"/>
      <c r="L1390" s="542" t="inlineStr">
        <is>
          <t xml:space="preserve">Claire ind (t1-t3) </t>
        </is>
      </c>
      <c r="M1390" s="556" t="inlineStr">
        <is>
          <t xml:space="preserve">julius 20.5  (pizza) </t>
        </is>
      </c>
      <c r="O1390" s="545" t="n"/>
      <c r="P1390" s="547" t="n"/>
    </row>
    <row r="1391" ht="15.75" customHeight="1" s="2">
      <c r="C1391" s="550" t="inlineStr">
        <is>
          <t>Nicole(20hrs)</t>
        </is>
      </c>
      <c r="D1391" s="527" t="n"/>
      <c r="E1391" s="514" t="n"/>
      <c r="F1391" s="537" t="inlineStr">
        <is>
          <t>ALISHBA BAR ( T1-T2) 5</t>
        </is>
      </c>
      <c r="G1391" s="530" t="n"/>
      <c r="H1391" s="516" t="n"/>
      <c r="I1391" s="537" t="inlineStr">
        <is>
          <t xml:space="preserve">aashim (5) grill </t>
        </is>
      </c>
      <c r="J1391" s="530" t="n"/>
      <c r="K1391" s="516" t="n"/>
      <c r="L1391" s="542" t="inlineStr">
        <is>
          <t xml:space="preserve">NIRAJ MILKO ( T1-T2) </t>
        </is>
      </c>
      <c r="M1391" s="557" t="inlineStr">
        <is>
          <t>adryan - 9 pizza salad</t>
        </is>
      </c>
      <c r="O1391" s="545" t="n"/>
      <c r="P1391" s="547" t="n"/>
    </row>
    <row r="1392" ht="15.75" customHeight="1" s="2">
      <c r="C1392" s="551" t="inlineStr">
        <is>
          <t>SID BAR  T1 - T2 10</t>
        </is>
      </c>
      <c r="D1392" s="528" t="n"/>
      <c r="E1392" s="519" t="n"/>
      <c r="F1392" s="553" t="inlineStr">
        <is>
          <t>SID BAR T3-T4 12.5</t>
        </is>
      </c>
      <c r="G1392" s="518" t="n"/>
      <c r="H1392" s="516" t="n"/>
      <c r="I1392" s="537" t="inlineStr">
        <is>
          <t>jamil (10) pizza/salad</t>
        </is>
      </c>
      <c r="J1392" s="530" t="n"/>
      <c r="K1392" s="516" t="n"/>
      <c r="L1392" s="537" t="n"/>
      <c r="M1392" s="557" t="inlineStr">
        <is>
          <t>jessica 14 (pizza salad)</t>
        </is>
      </c>
      <c r="O1392" s="545" t="n"/>
      <c r="P1392" s="547" t="n"/>
    </row>
    <row r="1393" ht="15.75" customHeight="1" s="2">
      <c r="C1393" s="551" t="n"/>
      <c r="D1393" s="528" t="n"/>
      <c r="E1393" s="519" t="n"/>
      <c r="F1393" s="553" t="n"/>
      <c r="G1393" s="518" t="n"/>
      <c r="H1393" s="516" t="n"/>
      <c r="I1393" s="537" t="inlineStr">
        <is>
          <t>umar (5) crepes</t>
        </is>
      </c>
      <c r="J1393" s="533" t="n"/>
      <c r="K1393" s="516" t="n"/>
      <c r="L1393" s="537" t="n"/>
      <c r="M1393" s="557" t="inlineStr">
        <is>
          <t>jamil crepes 16.5</t>
        </is>
      </c>
      <c r="O1393" s="545" t="n"/>
      <c r="P1393" s="548" t="n"/>
    </row>
    <row r="1394" ht="15.75" customHeight="1" s="2" thickBot="1">
      <c r="C1394" s="552" t="n"/>
      <c r="D1394" s="529" t="n"/>
      <c r="E1394" s="519" t="n"/>
      <c r="F1394" s="520" t="n"/>
      <c r="G1394" s="521" t="n"/>
      <c r="H1394" s="516" t="n"/>
      <c r="I1394" s="538" t="n"/>
      <c r="J1394" s="534" t="n"/>
      <c r="K1394" s="522" t="n"/>
      <c r="L1394" s="538" t="inlineStr">
        <is>
          <t>total = 122</t>
        </is>
      </c>
      <c r="M1394" s="558" t="inlineStr">
        <is>
          <t>anton breakfast 15</t>
        </is>
      </c>
      <c r="O1394" s="545" t="n"/>
      <c r="P1394" s="548" t="n"/>
    </row>
    <row r="1397" ht="15.75" customHeight="1" s="2" thickBot="1"/>
    <row r="1398" ht="15.75" customHeight="1" s="2" thickBot="1">
      <c r="B1398" s="499" t="n"/>
      <c r="C1398" s="500" t="n"/>
      <c r="D1398" s="501" t="inlineStr">
        <is>
          <t>23.09.19</t>
        </is>
      </c>
      <c r="E1398" s="502" t="n"/>
      <c r="F1398" s="500" t="n"/>
      <c r="G1398" s="501" t="inlineStr">
        <is>
          <t>30.09.19</t>
        </is>
      </c>
      <c r="H1398" s="502" t="n"/>
      <c r="I1398" s="500" t="n"/>
      <c r="J1398" s="501" t="inlineStr">
        <is>
          <t>7.10.19</t>
        </is>
      </c>
      <c r="K1398" s="500" t="n"/>
      <c r="L1398" s="500" t="n"/>
      <c r="M1398" s="501" t="inlineStr">
        <is>
          <t>14.10.19</t>
        </is>
      </c>
    </row>
    <row r="1399" ht="15.75" customHeight="1" s="2" thickBot="1">
      <c r="A1399" s="455" t="n"/>
      <c r="B1399" s="456" t="inlineStr">
        <is>
          <t>LAST YEAR</t>
        </is>
      </c>
      <c r="C1399" s="457" t="inlineStr">
        <is>
          <t>Actual</t>
        </is>
      </c>
      <c r="D1399" s="458" t="inlineStr">
        <is>
          <t>Projected</t>
        </is>
      </c>
      <c r="E1399" s="456" t="inlineStr">
        <is>
          <t>LAST YEAR</t>
        </is>
      </c>
      <c r="F1399" s="457" t="inlineStr">
        <is>
          <t>Actual</t>
        </is>
      </c>
      <c r="G1399" s="458" t="inlineStr">
        <is>
          <t>Projected</t>
        </is>
      </c>
      <c r="H1399" s="456" t="inlineStr">
        <is>
          <t>LAST YEAR</t>
        </is>
      </c>
      <c r="I1399" s="457" t="inlineStr">
        <is>
          <t>Actual</t>
        </is>
      </c>
      <c r="J1399" s="458" t="inlineStr">
        <is>
          <t>Projected</t>
        </is>
      </c>
      <c r="K1399" s="456" t="inlineStr">
        <is>
          <t>LAST YEAR</t>
        </is>
      </c>
      <c r="L1399" s="457" t="inlineStr">
        <is>
          <t>Actual</t>
        </is>
      </c>
      <c r="M1399" s="458" t="inlineStr">
        <is>
          <t>Projected</t>
        </is>
      </c>
    </row>
    <row r="1400" ht="15.75" customHeight="1" s="2">
      <c r="A1400" s="459" t="inlineStr">
        <is>
          <t>Total Receipts</t>
        </is>
      </c>
      <c r="B1400" s="1620" t="n">
        <v>154944</v>
      </c>
      <c r="C1400" s="1631" t="n">
        <v>127916.86</v>
      </c>
      <c r="D1400" s="1622" t="n">
        <v>146970</v>
      </c>
      <c r="E1400" s="1620" t="n">
        <v>195962</v>
      </c>
      <c r="F1400" s="1631" t="n">
        <v>168519.56</v>
      </c>
      <c r="G1400" s="1622" t="n">
        <v>137122.7</v>
      </c>
      <c r="H1400" s="1620" t="n">
        <v>173239</v>
      </c>
      <c r="I1400" s="1631" t="n">
        <v>212193.72</v>
      </c>
      <c r="J1400" s="1622" t="n">
        <v>207450</v>
      </c>
      <c r="K1400" s="1620" t="n">
        <v>139690</v>
      </c>
      <c r="L1400" s="1631" t="n">
        <v>151481.53</v>
      </c>
      <c r="M1400" s="1622" t="n">
        <v>166128</v>
      </c>
    </row>
    <row r="1401" ht="15.75" customHeight="1" s="2">
      <c r="A1401" s="462" t="inlineStr">
        <is>
          <t>Nett Sales</t>
        </is>
      </c>
      <c r="B1401" s="1623" t="n">
        <v>140858</v>
      </c>
      <c r="C1401" s="1632" t="n">
        <v>116288.05</v>
      </c>
      <c r="D1401" s="1625">
        <f>D1400/1.1</f>
        <v/>
      </c>
      <c r="E1401" s="1625" t="n">
        <v>178147</v>
      </c>
      <c r="F1401" s="1633" t="n">
        <v>153199.6</v>
      </c>
      <c r="G1401" s="1625">
        <f>G1400/1.1</f>
        <v/>
      </c>
      <c r="H1401" s="1623" t="n">
        <v>157490</v>
      </c>
      <c r="I1401" s="1632">
        <f>I1400/1.1</f>
        <v/>
      </c>
      <c r="J1401" s="1625">
        <f>J1400/1.1</f>
        <v/>
      </c>
      <c r="K1401" s="1623" t="n">
        <v>126991</v>
      </c>
      <c r="L1401" s="1632" t="n">
        <v>137710.48</v>
      </c>
      <c r="M1401" s="1625" t="n">
        <v>151025</v>
      </c>
    </row>
    <row r="1402" ht="15.75" customHeight="1" s="2">
      <c r="A1402" s="462" t="inlineStr">
        <is>
          <t>Customers</t>
        </is>
      </c>
      <c r="B1402" s="485" t="n">
        <v>7332</v>
      </c>
      <c r="C1402" s="565" t="n">
        <v>5879</v>
      </c>
      <c r="D1402" s="466" t="n">
        <v>7185</v>
      </c>
      <c r="E1402" s="1623" t="n">
        <v>8811</v>
      </c>
      <c r="F1402" s="565" t="n">
        <v>7691</v>
      </c>
      <c r="G1402" s="466" t="n">
        <v>7630</v>
      </c>
      <c r="H1402" s="485" t="n">
        <v>7961</v>
      </c>
      <c r="I1402" s="565" t="n">
        <v>9582</v>
      </c>
      <c r="J1402" s="466" t="n">
        <v>10020</v>
      </c>
      <c r="K1402" s="485" t="n">
        <v>6945</v>
      </c>
      <c r="L1402" s="565" t="n">
        <v>7310</v>
      </c>
      <c r="M1402" s="466" t="n">
        <v>8290</v>
      </c>
    </row>
    <row r="1403" ht="15.75" customHeight="1" s="2">
      <c r="A1403" s="462" t="inlineStr">
        <is>
          <t>Average Customer Spend</t>
        </is>
      </c>
      <c r="B1403" s="1626">
        <f>B1400/7332</f>
        <v/>
      </c>
      <c r="C1403" s="1634">
        <f>C1400/C1402</f>
        <v/>
      </c>
      <c r="D1403" s="1628" t="n">
        <v>20.46</v>
      </c>
      <c r="E1403" s="1626" t="n">
        <v>22.24</v>
      </c>
      <c r="F1403" s="1635">
        <f>F1400/F1402</f>
        <v/>
      </c>
      <c r="G1403" s="1628" t="n">
        <v>19.77</v>
      </c>
      <c r="H1403" s="1626" t="n">
        <v>21.76</v>
      </c>
      <c r="I1403" s="1635">
        <f>I1400/I1402</f>
        <v/>
      </c>
      <c r="J1403" s="1628" t="n">
        <v>20.7</v>
      </c>
      <c r="K1403" s="1626" t="n">
        <v>20.11</v>
      </c>
      <c r="L1403" s="1635">
        <f>L1400/L1402</f>
        <v/>
      </c>
      <c r="M1403" s="1628" t="n">
        <v>20.04</v>
      </c>
    </row>
    <row r="1404" ht="15.75" customHeight="1" s="2">
      <c r="A1404" s="462" t="inlineStr">
        <is>
          <t>Wage % to Total Receipts</t>
        </is>
      </c>
      <c r="B1404" s="487" t="n">
        <v>0.3236</v>
      </c>
      <c r="C1404" s="567" t="n">
        <v>0.3667</v>
      </c>
      <c r="D1404" s="470" t="n">
        <v>0.3345</v>
      </c>
      <c r="E1404" s="487" t="n">
        <v>0.3262</v>
      </c>
      <c r="F1404" s="567" t="n">
        <v>0.2983</v>
      </c>
      <c r="G1404" s="470" t="n">
        <v>0.322</v>
      </c>
      <c r="H1404" s="487" t="n">
        <v>0.3186</v>
      </c>
      <c r="I1404" s="567" t="n">
        <v>0.313</v>
      </c>
      <c r="J1404" s="470" t="n">
        <v>0.3119</v>
      </c>
      <c r="K1404" s="487" t="n">
        <v>0.3564</v>
      </c>
      <c r="L1404" s="567" t="n">
        <v>0.3505</v>
      </c>
      <c r="M1404" s="470" t="n">
        <v>0.3039</v>
      </c>
    </row>
    <row r="1405" ht="15.75" customHeight="1" s="2">
      <c r="A1405" s="462" t="inlineStr">
        <is>
          <t>Wage % to Nett Sales</t>
        </is>
      </c>
      <c r="B1405" s="487" t="n">
        <v>0.3563</v>
      </c>
      <c r="C1405" s="567" t="n">
        <v>0.4033</v>
      </c>
      <c r="D1405" s="470" t="n">
        <v>0.3679</v>
      </c>
      <c r="E1405" s="487" t="n">
        <v>0.3588</v>
      </c>
      <c r="F1405" s="567" t="n">
        <v>0.3281</v>
      </c>
      <c r="G1405" s="470" t="n">
        <v>0.3542</v>
      </c>
      <c r="H1405" s="487" t="n">
        <v>0.3505</v>
      </c>
      <c r="I1405" s="567" t="n">
        <v>0.3443</v>
      </c>
      <c r="J1405" s="470" t="n">
        <v>0.3431</v>
      </c>
      <c r="K1405" s="487" t="n">
        <v>0.392</v>
      </c>
      <c r="L1405" s="567" t="n">
        <v>0.3855</v>
      </c>
      <c r="M1405" s="470" t="n">
        <v>0.3343</v>
      </c>
    </row>
    <row r="1406" ht="15.75" customHeight="1" s="2">
      <c r="A1406" s="462" t="inlineStr">
        <is>
          <t>Productivity</t>
        </is>
      </c>
      <c r="B1406" s="488" t="n">
        <v>5.03</v>
      </c>
      <c r="C1406" s="568" t="n">
        <v>4.12</v>
      </c>
      <c r="D1406" s="472" t="n">
        <v>4.9</v>
      </c>
      <c r="E1406" s="488" t="n">
        <v>5.43</v>
      </c>
      <c r="F1406" s="568" t="n">
        <v>5.25</v>
      </c>
      <c r="G1406" s="472" t="n">
        <v>5.3</v>
      </c>
      <c r="H1406" s="488" t="n">
        <v>4.77</v>
      </c>
      <c r="I1406" s="568" t="n">
        <v>5.36</v>
      </c>
      <c r="J1406" s="472" t="n">
        <v>5.8</v>
      </c>
      <c r="K1406" s="488" t="n">
        <v>4.65</v>
      </c>
      <c r="L1406" s="568" t="n">
        <v>4.8</v>
      </c>
      <c r="M1406" s="472" t="n">
        <v>5.5</v>
      </c>
    </row>
    <row r="1407" ht="15.75" customHeight="1" s="2">
      <c r="A1407" s="462" t="inlineStr">
        <is>
          <t>Average Hourly Rate</t>
        </is>
      </c>
      <c r="B1407" s="1629" t="n">
        <v>34.45</v>
      </c>
      <c r="C1407" s="568" t="n">
        <v>32.86</v>
      </c>
      <c r="D1407" s="1628" t="n">
        <v>33.5</v>
      </c>
      <c r="E1407" s="1629" t="n">
        <v>39.38</v>
      </c>
      <c r="F1407" s="568" t="n">
        <v>34.29</v>
      </c>
      <c r="G1407" s="1628" t="n">
        <v>33.5</v>
      </c>
      <c r="H1407" s="1629" t="n">
        <v>33.1</v>
      </c>
      <c r="I1407" s="568" t="n">
        <v>37.13</v>
      </c>
      <c r="J1407" s="1628" t="n">
        <v>38</v>
      </c>
      <c r="K1407" s="1629" t="n">
        <v>33.54</v>
      </c>
      <c r="L1407" s="568" t="n">
        <v>34.84</v>
      </c>
      <c r="M1407" s="1628" t="n">
        <v>33.5</v>
      </c>
    </row>
    <row r="1408" ht="15.75" customHeight="1" s="2">
      <c r="A1408" s="462" t="inlineStr">
        <is>
          <t>Total hours for productivity</t>
        </is>
      </c>
      <c r="B1408" s="485" t="n">
        <v>1457</v>
      </c>
      <c r="C1408" s="568" t="n">
        <v>1426.25</v>
      </c>
      <c r="D1408" s="466">
        <f>818+650</f>
        <v/>
      </c>
      <c r="E1408" s="485" t="n">
        <v>1623.25</v>
      </c>
      <c r="F1408" s="568" t="n">
        <v>1438</v>
      </c>
      <c r="G1408" s="466" t="n">
        <v>1498</v>
      </c>
      <c r="H1408" s="485" t="n">
        <v>1667.5</v>
      </c>
      <c r="I1408" s="568" t="n">
        <v>1783.25</v>
      </c>
      <c r="J1408" s="466" t="n">
        <v>1725.5</v>
      </c>
      <c r="K1408" s="485" t="n">
        <v>1484.25</v>
      </c>
      <c r="L1408" s="568" t="n">
        <v>1526</v>
      </c>
      <c r="M1408" s="466">
        <f>1519+38</f>
        <v/>
      </c>
    </row>
    <row r="1409" ht="15.75" customHeight="1" s="2">
      <c r="A1409" s="462" t="inlineStr">
        <is>
          <t>Training Hours used</t>
        </is>
      </c>
      <c r="B1409" s="485" t="n"/>
      <c r="C1409" s="569" t="n">
        <v>54.5</v>
      </c>
      <c r="D1409" s="466" t="n">
        <v>54.5</v>
      </c>
      <c r="E1409" s="485" t="n">
        <v>39.5</v>
      </c>
      <c r="F1409" s="569" t="n"/>
      <c r="G1409" s="466" t="n"/>
      <c r="H1409" s="485" t="n">
        <v>34.25</v>
      </c>
      <c r="I1409" s="569" t="n"/>
      <c r="J1409" s="466" t="n"/>
      <c r="K1409" s="485" t="n"/>
      <c r="L1409" s="569" t="n">
        <v>15</v>
      </c>
      <c r="M1409" s="466" t="n"/>
    </row>
    <row r="1410" ht="15.75" customHeight="1" s="2" thickBot="1">
      <c r="A1410" s="474" t="inlineStr">
        <is>
          <t>Number of hours used to cover sick leave</t>
        </is>
      </c>
      <c r="B1410" s="490" t="n"/>
      <c r="C1410" s="570" t="n">
        <v>5</v>
      </c>
      <c r="D1410" s="476" t="n"/>
      <c r="E1410" s="490" t="n"/>
      <c r="F1410" s="570" t="n"/>
      <c r="G1410" s="476" t="n"/>
      <c r="H1410" s="490" t="n"/>
      <c r="I1410" s="475" t="n"/>
      <c r="J1410" s="476" t="n"/>
      <c r="K1410" s="490" t="n"/>
      <c r="L1410" s="570" t="n"/>
      <c r="M1410" s="476" t="n"/>
    </row>
    <row r="1411" ht="15.75" customHeight="1" s="2" thickBot="1">
      <c r="A1411" s="477" t="inlineStr">
        <is>
          <t xml:space="preserve">Minimum Hours </t>
        </is>
      </c>
      <c r="B1411" s="491" t="inlineStr">
        <is>
          <t>Projected</t>
        </is>
      </c>
      <c r="C1411" s="478" t="inlineStr">
        <is>
          <t>Rostered</t>
        </is>
      </c>
      <c r="D1411" s="503" t="n"/>
      <c r="E1411" s="491" t="inlineStr">
        <is>
          <t>Projected</t>
        </is>
      </c>
      <c r="F1411" s="478" t="inlineStr">
        <is>
          <t>Actual</t>
        </is>
      </c>
      <c r="G1411" s="503" t="n"/>
      <c r="H1411" s="491" t="inlineStr">
        <is>
          <t>Projected</t>
        </is>
      </c>
      <c r="I1411" s="478" t="inlineStr">
        <is>
          <t>Actual</t>
        </is>
      </c>
      <c r="J1411" s="503" t="n"/>
      <c r="K1411" s="491" t="inlineStr">
        <is>
          <t>Projected</t>
        </is>
      </c>
      <c r="L1411" s="478" t="inlineStr">
        <is>
          <t>Rostered</t>
        </is>
      </c>
      <c r="M1411" s="503" t="n"/>
    </row>
    <row r="1412" ht="15.75" customHeight="1" s="2">
      <c r="A1412" s="479" t="inlineStr">
        <is>
          <t>Floor</t>
        </is>
      </c>
      <c r="B1412" s="492" t="n">
        <v>719</v>
      </c>
      <c r="C1412" s="480" t="n">
        <v>818</v>
      </c>
      <c r="D1412" s="504" t="n"/>
      <c r="E1412" s="492" t="n"/>
      <c r="F1412" s="480" t="n"/>
      <c r="G1412" s="504" t="n"/>
      <c r="H1412" s="492" t="n">
        <v>1002</v>
      </c>
      <c r="I1412" s="480" t="n">
        <v>958</v>
      </c>
      <c r="J1412" s="504" t="n"/>
      <c r="K1412" s="492" t="n"/>
      <c r="L1412" s="480" t="n"/>
      <c r="M1412" s="504" t="n"/>
    </row>
    <row r="1413" ht="15.75" customHeight="1" s="2" thickBot="1">
      <c r="A1413" s="481" t="inlineStr">
        <is>
          <t>Kitchen</t>
        </is>
      </c>
      <c r="B1413" s="493" t="n">
        <v>588</v>
      </c>
      <c r="C1413" s="1242" t="n">
        <v>650</v>
      </c>
      <c r="D1413" s="505" t="n"/>
      <c r="E1413" s="493" t="n"/>
      <c r="F1413" s="1242" t="n"/>
      <c r="G1413" s="505" t="n"/>
      <c r="H1413" s="493" t="n">
        <v>820</v>
      </c>
      <c r="I1413" s="1242" t="n">
        <v>768</v>
      </c>
      <c r="J1413" s="505" t="n"/>
      <c r="K1413" s="493" t="n"/>
      <c r="L1413" s="1242" t="n"/>
      <c r="M1413" s="505" t="n"/>
    </row>
    <row r="1414" ht="15.75" customHeight="1" s="2" thickBot="1"/>
    <row r="1415" ht="15.75" customHeight="1" s="2" thickBot="1">
      <c r="A1415" s="506" t="inlineStr">
        <is>
          <t>Training explanation</t>
        </is>
      </c>
      <c r="C1415" s="523" t="inlineStr">
        <is>
          <t>Floor</t>
        </is>
      </c>
      <c r="D1415" s="524" t="inlineStr">
        <is>
          <t>Kitchen</t>
        </is>
      </c>
      <c r="E1415" s="509" t="n"/>
      <c r="F1415" s="507" t="inlineStr">
        <is>
          <t>Floor</t>
        </is>
      </c>
      <c r="G1415" s="508" t="inlineStr">
        <is>
          <t>Kitchen</t>
        </is>
      </c>
      <c r="H1415" s="510" t="n"/>
      <c r="I1415" s="535" t="n"/>
      <c r="J1415" s="511" t="n"/>
      <c r="K1415" s="512" t="n"/>
      <c r="L1415" s="535" t="inlineStr">
        <is>
          <t>kitchen</t>
        </is>
      </c>
      <c r="M1415" s="513" t="n"/>
      <c r="O1415" s="543" t="n"/>
      <c r="P1415" s="544" t="n"/>
    </row>
    <row r="1416" ht="15.75" customHeight="1" s="2">
      <c r="A1416" s="506" t="inlineStr">
        <is>
          <t>Who is being Trained</t>
        </is>
      </c>
      <c r="C1416" s="549" t="inlineStr">
        <is>
          <t>EVA ( T4*2-T5 ) =15</t>
        </is>
      </c>
      <c r="D1416" s="559" t="inlineStr">
        <is>
          <t>BIBEK PIZZA+GRILL  = 20</t>
        </is>
      </c>
      <c r="E1416" s="514" t="n"/>
      <c r="F1416" s="531" t="n"/>
      <c r="G1416" s="531" t="n"/>
      <c r="H1416" s="515" t="n"/>
      <c r="I1416" s="531" t="n"/>
      <c r="J1416" s="531" t="n"/>
      <c r="K1416" s="515" t="n"/>
      <c r="L1416" s="536" t="inlineStr">
        <is>
          <t>moussa ind - t3</t>
        </is>
      </c>
      <c r="M1416" s="532" t="n">
        <v>15</v>
      </c>
      <c r="O1416" s="545" t="n"/>
      <c r="P1416" s="546" t="n"/>
    </row>
    <row r="1417" ht="15.75" customHeight="1" s="2">
      <c r="C1417" s="550" t="inlineStr">
        <is>
          <t>CLAIRE (T4-T5)=11.5</t>
        </is>
      </c>
      <c r="D1417" s="560" t="inlineStr">
        <is>
          <t>JULIUS PIZZA GRILL = 10</t>
        </is>
      </c>
      <c r="E1417" s="514" t="n"/>
      <c r="F1417" s="531" t="n"/>
      <c r="G1417" s="530" t="n"/>
      <c r="H1417" s="516" t="n"/>
      <c r="I1417" s="537" t="n"/>
      <c r="J1417" s="530" t="n"/>
      <c r="K1417" s="516" t="n"/>
      <c r="L1417" s="542" t="n"/>
      <c r="M1417" s="530" t="n"/>
      <c r="O1417" s="545" t="n"/>
      <c r="P1417" s="547" t="n"/>
    </row>
    <row r="1418" ht="15.75" customHeight="1" s="2">
      <c r="C1418" s="550" t="n"/>
      <c r="D1418" s="527" t="inlineStr">
        <is>
          <t>JAMIL PIZZA =5</t>
        </is>
      </c>
      <c r="E1418" s="514" t="n"/>
      <c r="F1418" s="531" t="n"/>
      <c r="G1418" s="530" t="n"/>
      <c r="H1418" s="516" t="n"/>
      <c r="I1418" s="537" t="n"/>
      <c r="J1418" s="530" t="n"/>
      <c r="K1418" s="516" t="n"/>
      <c r="L1418" s="542" t="n"/>
      <c r="M1418" s="539" t="n"/>
      <c r="O1418" s="545" t="n"/>
      <c r="P1418" s="547" t="n"/>
    </row>
    <row r="1419" ht="15.75" customHeight="1" s="2">
      <c r="C1419" s="551" t="n"/>
      <c r="D1419" s="561" t="inlineStr">
        <is>
          <t>ANTON BREAKFAST = 8</t>
        </is>
      </c>
      <c r="E1419" s="519" t="n"/>
      <c r="F1419" s="517" t="n"/>
      <c r="G1419" s="518" t="n"/>
      <c r="H1419" s="516" t="n"/>
      <c r="I1419" s="537" t="n"/>
      <c r="J1419" s="530" t="n"/>
      <c r="K1419" s="516" t="n"/>
      <c r="L1419" s="537" t="n"/>
      <c r="M1419" s="539" t="n"/>
      <c r="O1419" s="545" t="n"/>
      <c r="P1419" s="547" t="n"/>
    </row>
    <row r="1420" ht="15.75" customHeight="1" s="2">
      <c r="C1420" s="551" t="n"/>
      <c r="D1420" s="528" t="n"/>
      <c r="E1420" s="519" t="n"/>
      <c r="F1420" s="517" t="n"/>
      <c r="G1420" s="518" t="n"/>
      <c r="H1420" s="516" t="n"/>
      <c r="I1420" s="537" t="n"/>
      <c r="J1420" s="533" t="n"/>
      <c r="K1420" s="516" t="n"/>
      <c r="L1420" s="537" t="n"/>
      <c r="M1420" s="540" t="n"/>
      <c r="O1420" s="545" t="n"/>
      <c r="P1420" s="548" t="n"/>
    </row>
    <row r="1421" ht="15.75" customHeight="1" s="2" thickBot="1">
      <c r="C1421" s="562">
        <f> 11.5+5+20+10+8</f>
        <v/>
      </c>
      <c r="D1421" s="529" t="n"/>
      <c r="E1421" s="519" t="n"/>
      <c r="F1421" s="520" t="n"/>
      <c r="G1421" s="521" t="n"/>
      <c r="H1421" s="516" t="n"/>
      <c r="I1421" s="538" t="n"/>
      <c r="J1421" s="534" t="n"/>
      <c r="K1421" s="522" t="n"/>
      <c r="L1421" s="538" t="n"/>
      <c r="M1421" s="541" t="n"/>
      <c r="O1421" s="545" t="n"/>
      <c r="P1421" s="548" t="n"/>
    </row>
    <row r="1425" ht="15.75" customHeight="1" s="2" thickBot="1"/>
    <row r="1426" ht="15.75" customHeight="1" s="2" thickBot="1">
      <c r="B1426" s="499" t="n"/>
      <c r="C1426" s="500" t="n"/>
      <c r="D1426" s="501" t="inlineStr">
        <is>
          <t>21.10.19</t>
        </is>
      </c>
      <c r="E1426" s="502" t="n"/>
      <c r="F1426" s="500" t="n"/>
      <c r="G1426" s="501" t="inlineStr">
        <is>
          <t>28.10.19</t>
        </is>
      </c>
      <c r="H1426" s="502" t="n"/>
      <c r="I1426" s="500" t="inlineStr">
        <is>
          <t>04.11.19</t>
        </is>
      </c>
      <c r="J1426" s="501" t="n"/>
      <c r="K1426" s="500" t="n"/>
      <c r="L1426" s="500" t="inlineStr">
        <is>
          <t>11.11.19</t>
        </is>
      </c>
      <c r="M1426" s="501" t="n"/>
    </row>
    <row r="1427" ht="15.75" customHeight="1" s="2" thickBot="1">
      <c r="A1427" s="455" t="n"/>
      <c r="B1427" s="456" t="inlineStr">
        <is>
          <t>LAST YEAR</t>
        </is>
      </c>
      <c r="C1427" s="457" t="inlineStr">
        <is>
          <t>Actual</t>
        </is>
      </c>
      <c r="D1427" s="458" t="inlineStr">
        <is>
          <t>Projected</t>
        </is>
      </c>
      <c r="E1427" s="456" t="inlineStr">
        <is>
          <t>LAST YEAR</t>
        </is>
      </c>
      <c r="F1427" s="457" t="inlineStr">
        <is>
          <t>Actual</t>
        </is>
      </c>
      <c r="G1427" s="458" t="inlineStr">
        <is>
          <t>Projected</t>
        </is>
      </c>
      <c r="H1427" s="456" t="inlineStr">
        <is>
          <t>LAST YEAR</t>
        </is>
      </c>
      <c r="I1427" s="457" t="inlineStr">
        <is>
          <t>Actual</t>
        </is>
      </c>
      <c r="J1427" s="458" t="inlineStr">
        <is>
          <t>Projected</t>
        </is>
      </c>
      <c r="K1427" s="456" t="inlineStr">
        <is>
          <t>LAST YEAR</t>
        </is>
      </c>
      <c r="L1427" s="457" t="inlineStr">
        <is>
          <t>Actual</t>
        </is>
      </c>
      <c r="M1427" s="458" t="inlineStr">
        <is>
          <t>Projected</t>
        </is>
      </c>
    </row>
    <row r="1428" ht="15.75" customHeight="1" s="2">
      <c r="A1428" s="459" t="inlineStr">
        <is>
          <t>Total Receipts</t>
        </is>
      </c>
      <c r="B1428" s="1620" t="n">
        <v>154648.52</v>
      </c>
      <c r="C1428" s="1631" t="n">
        <v>129477.48</v>
      </c>
      <c r="D1428" s="1622" t="n">
        <v>135536</v>
      </c>
      <c r="E1428" s="1620" t="n">
        <v>136723</v>
      </c>
      <c r="F1428" s="1631" t="n">
        <v>137288.37</v>
      </c>
      <c r="G1428" s="1622" t="n">
        <v>146480</v>
      </c>
      <c r="H1428" s="1620" t="n">
        <v>138287.93</v>
      </c>
      <c r="I1428" s="1631" t="n">
        <v>131818.33</v>
      </c>
      <c r="J1428" s="1622" t="n">
        <v>138495</v>
      </c>
      <c r="K1428" s="1620" t="n">
        <v>154648.52</v>
      </c>
      <c r="L1428" s="1631" t="n">
        <v>137617.08</v>
      </c>
      <c r="M1428" s="1622" t="n">
        <v>139263</v>
      </c>
    </row>
    <row r="1429" ht="15.75" customHeight="1" s="2">
      <c r="A1429" s="462" t="inlineStr">
        <is>
          <t>Nett Sales</t>
        </is>
      </c>
      <c r="B1429" s="1623">
        <f>B1428/1.1</f>
        <v/>
      </c>
      <c r="C1429" s="1632" t="n">
        <v>117706.8</v>
      </c>
      <c r="D1429" s="1625">
        <f>D1428/1.1</f>
        <v/>
      </c>
      <c r="E1429" s="1636" t="n">
        <v>124294</v>
      </c>
      <c r="F1429" s="1632" t="n">
        <v>124807.61</v>
      </c>
      <c r="G1429" s="1637" t="n">
        <v>133163.2</v>
      </c>
      <c r="H1429" s="1623">
        <f>H1428/1.1</f>
        <v/>
      </c>
      <c r="I1429" s="1632" t="n">
        <v>119834.85</v>
      </c>
      <c r="J1429" s="1625" t="n">
        <v>125904.5</v>
      </c>
      <c r="K1429" s="1623">
        <f>K1428/1.1</f>
        <v/>
      </c>
      <c r="L1429" s="1632">
        <f>L1428/1.1</f>
        <v/>
      </c>
      <c r="M1429" s="1625" t="n">
        <v>126602.3</v>
      </c>
    </row>
    <row r="1430" ht="15.75" customHeight="1" s="2">
      <c r="A1430" s="462" t="inlineStr">
        <is>
          <t>Customers</t>
        </is>
      </c>
      <c r="B1430" s="485" t="n">
        <v>7489</v>
      </c>
      <c r="C1430" s="565" t="n">
        <v>6008</v>
      </c>
      <c r="D1430" s="466" t="n">
        <v>6650</v>
      </c>
      <c r="E1430" s="1623" t="n">
        <v>6473</v>
      </c>
      <c r="F1430" s="565" t="n">
        <v>6320</v>
      </c>
      <c r="G1430" s="466" t="n">
        <v>6865</v>
      </c>
      <c r="H1430" s="485" t="n">
        <v>6676</v>
      </c>
      <c r="I1430" s="565" t="n">
        <v>6237</v>
      </c>
      <c r="J1430" s="466" t="n">
        <v>6800</v>
      </c>
      <c r="K1430" s="485" t="n">
        <v>7489</v>
      </c>
      <c r="L1430" s="565" t="n">
        <v>6492</v>
      </c>
      <c r="M1430" s="466" t="n">
        <v>6860</v>
      </c>
    </row>
    <row r="1431" ht="15.75" customHeight="1" s="2">
      <c r="A1431" s="462" t="inlineStr">
        <is>
          <t>Average Customer Spend</t>
        </is>
      </c>
      <c r="B1431" s="1626">
        <f>B1428/B1430</f>
        <v/>
      </c>
      <c r="C1431" s="1638" t="n">
        <v>21.55084553928096</v>
      </c>
      <c r="D1431" s="1628" t="n">
        <v>20.38</v>
      </c>
      <c r="E1431" s="1626" t="n">
        <v>21.12</v>
      </c>
      <c r="F1431" s="1635">
        <f>F1428/F1430</f>
        <v/>
      </c>
      <c r="G1431" s="1628" t="n">
        <v>21.34</v>
      </c>
      <c r="H1431" s="1626">
        <f>H1428/H1430</f>
        <v/>
      </c>
      <c r="I1431" s="1635">
        <f>I1428/I1430</f>
        <v/>
      </c>
      <c r="J1431" s="1628" t="n">
        <v>20.37</v>
      </c>
      <c r="K1431" s="1626">
        <f>K1428/K1430</f>
        <v/>
      </c>
      <c r="L1431" s="1635">
        <f>L1428/6492</f>
        <v/>
      </c>
      <c r="M1431" s="1628" t="n">
        <v>20.3</v>
      </c>
    </row>
    <row r="1432" ht="15.75" customHeight="1" s="2">
      <c r="A1432" s="462" t="inlineStr">
        <is>
          <t>Wage % to Total Receipts</t>
        </is>
      </c>
      <c r="B1432" s="487">
        <f>(B1435*B1436)/B1428</f>
        <v/>
      </c>
      <c r="C1432" s="567" t="n">
        <v>0.3828</v>
      </c>
      <c r="D1432" s="470" t="n">
        <v>0.3435</v>
      </c>
      <c r="E1432" s="487" t="n">
        <v>0.3344</v>
      </c>
      <c r="F1432" s="567" t="n">
        <v>0.3295</v>
      </c>
      <c r="G1432" s="470" t="n">
        <v>0.3177</v>
      </c>
      <c r="H1432" s="487">
        <f>(H1435*H1436)/H1428</f>
        <v/>
      </c>
      <c r="I1432" s="567" t="n">
        <v>0.349</v>
      </c>
      <c r="J1432" s="470" t="n">
        <v>0.3241</v>
      </c>
      <c r="K1432" s="487">
        <f>(K1435*K1436)/K1428</f>
        <v/>
      </c>
      <c r="L1432" s="567" t="n">
        <v>0.3275</v>
      </c>
      <c r="M1432" s="470" t="n">
        <v>0.3396</v>
      </c>
    </row>
    <row r="1433" ht="15.75" customHeight="1" s="2">
      <c r="A1433" s="462" t="inlineStr">
        <is>
          <t>Wage % to Nett Sales</t>
        </is>
      </c>
      <c r="B1433" s="487">
        <f>(B1435*B1436)/B1429</f>
        <v/>
      </c>
      <c r="C1433" s="567" t="n">
        <v>0.421</v>
      </c>
      <c r="D1433" s="470" t="n">
        <v>0.3778</v>
      </c>
      <c r="E1433" s="487" t="n">
        <v>0.3678</v>
      </c>
      <c r="F1433" s="567" t="n">
        <v>0.3625</v>
      </c>
      <c r="G1433" s="470" t="n">
        <v>0.3494</v>
      </c>
      <c r="H1433" s="487">
        <f>(H1435*H1436)/H1429</f>
        <v/>
      </c>
      <c r="I1433" s="567" t="n">
        <v>0.3839</v>
      </c>
      <c r="J1433" s="470" t="n">
        <v>0.3565</v>
      </c>
      <c r="K1433" s="487">
        <f>(K1435*K1436)/K1429</f>
        <v/>
      </c>
      <c r="L1433" s="567" t="n">
        <v>0.3602</v>
      </c>
      <c r="M1433" s="470" t="n">
        <v>0.3735</v>
      </c>
    </row>
    <row r="1434" ht="15.75" customHeight="1" s="2">
      <c r="A1434" s="462" t="inlineStr">
        <is>
          <t>Productivity</t>
        </is>
      </c>
      <c r="B1434" s="488">
        <f>B1430/B1436</f>
        <v/>
      </c>
      <c r="C1434" s="568" t="n">
        <v>4.23</v>
      </c>
      <c r="D1434" s="472" t="n">
        <v>5</v>
      </c>
      <c r="E1434" s="488" t="n">
        <v>4.88</v>
      </c>
      <c r="F1434" s="568" t="n">
        <v>4.81</v>
      </c>
      <c r="G1434" s="472" t="n">
        <v>5</v>
      </c>
      <c r="H1434" s="488">
        <f>H1430/H1436</f>
        <v/>
      </c>
      <c r="I1434" s="568" t="n">
        <v>4.63</v>
      </c>
      <c r="J1434" s="472" t="n">
        <v>5</v>
      </c>
      <c r="K1434" s="488">
        <f>K1430/K1436</f>
        <v/>
      </c>
      <c r="L1434" s="568" t="n">
        <v>4.85</v>
      </c>
      <c r="M1434" s="472">
        <f>M1430/1371</f>
        <v/>
      </c>
    </row>
    <row r="1435" ht="15.75" customHeight="1" s="2">
      <c r="A1435" s="462" t="inlineStr">
        <is>
          <t>Average Hourly Rate</t>
        </is>
      </c>
      <c r="B1435" s="1629" t="n">
        <v>34.26</v>
      </c>
      <c r="C1435" s="568" t="n">
        <v>34.89</v>
      </c>
      <c r="D1435" s="1628" t="n">
        <v>35</v>
      </c>
      <c r="E1435" s="1629" t="n">
        <v>34.44</v>
      </c>
      <c r="F1435" s="568" t="n">
        <v>34.43</v>
      </c>
      <c r="G1435" s="1628" t="n">
        <v>33</v>
      </c>
      <c r="H1435" s="1629" t="n">
        <v>33.9</v>
      </c>
      <c r="I1435" s="568" t="n">
        <v>34.16</v>
      </c>
      <c r="J1435" s="1628" t="n">
        <v>33</v>
      </c>
      <c r="K1435" s="1629" t="n">
        <v>34.26</v>
      </c>
      <c r="L1435" s="568" t="n">
        <v>33.66</v>
      </c>
      <c r="M1435" s="1628" t="n">
        <v>34</v>
      </c>
    </row>
    <row r="1436" ht="15.75" customHeight="1" s="2">
      <c r="A1436" s="462" t="inlineStr">
        <is>
          <t>Total hours for productivity</t>
        </is>
      </c>
      <c r="B1436" s="485" t="n">
        <v>1440.25</v>
      </c>
      <c r="C1436" s="568" t="n">
        <v>1421.45</v>
      </c>
      <c r="D1436" s="466" t="n">
        <v>1330</v>
      </c>
      <c r="E1436" s="485" t="n">
        <v>1327.5</v>
      </c>
      <c r="F1436" s="568" t="n">
        <v>1314</v>
      </c>
      <c r="G1436" s="466" t="n">
        <v>1410</v>
      </c>
      <c r="H1436" s="485" t="n">
        <v>1365.5</v>
      </c>
      <c r="I1436" s="568" t="n">
        <v>1346.75</v>
      </c>
      <c r="J1436" s="466" t="n">
        <v>1360</v>
      </c>
      <c r="K1436" s="485" t="n">
        <v>1440.25</v>
      </c>
      <c r="L1436" s="568" t="n">
        <v>1338.75</v>
      </c>
      <c r="M1436" s="466">
        <f>L1440+L1441</f>
        <v/>
      </c>
    </row>
    <row r="1437" ht="15.75" customHeight="1" s="2">
      <c r="A1437" s="462" t="inlineStr">
        <is>
          <t>Training Hours used</t>
        </is>
      </c>
      <c r="B1437" s="485" t="n">
        <v>74</v>
      </c>
      <c r="C1437" s="569" t="n">
        <v>67</v>
      </c>
      <c r="D1437" s="466" t="n"/>
      <c r="E1437" s="485" t="n">
        <v>63</v>
      </c>
      <c r="F1437" s="569" t="n">
        <v>23</v>
      </c>
      <c r="G1437" s="466" t="n"/>
      <c r="H1437" s="485" t="n">
        <v>82.5</v>
      </c>
      <c r="I1437" s="569">
        <f>20+10+5</f>
        <v/>
      </c>
      <c r="J1437" s="466" t="n"/>
      <c r="K1437" s="485" t="n">
        <v>74</v>
      </c>
      <c r="L1437" s="569" t="n">
        <v>28</v>
      </c>
      <c r="M1437" s="466" t="n"/>
    </row>
    <row r="1438" ht="15.75" customHeight="1" s="2" thickBot="1">
      <c r="A1438" s="474" t="inlineStr">
        <is>
          <t>Number of hours used to cover sick leave</t>
        </is>
      </c>
      <c r="B1438" s="490" t="n">
        <v>46.5</v>
      </c>
      <c r="C1438" s="570" t="n"/>
      <c r="D1438" s="476" t="n"/>
      <c r="E1438" s="490" t="n"/>
      <c r="F1438" s="570" t="n"/>
      <c r="G1438" s="476" t="n"/>
      <c r="H1438" s="490" t="n"/>
      <c r="I1438" s="475" t="n"/>
      <c r="J1438" s="476" t="n"/>
      <c r="K1438" s="490" t="n">
        <v>46.5</v>
      </c>
      <c r="L1438" s="570" t="n">
        <v>27</v>
      </c>
      <c r="M1438" s="476" t="n"/>
    </row>
    <row r="1439" ht="15.75" customHeight="1" s="2" thickBot="1">
      <c r="A1439" s="477" t="inlineStr">
        <is>
          <t xml:space="preserve">Minimum Hours </t>
        </is>
      </c>
      <c r="B1439" s="491" t="n"/>
      <c r="C1439" s="478" t="inlineStr">
        <is>
          <t>Rostered</t>
        </is>
      </c>
      <c r="D1439" s="503" t="n"/>
      <c r="E1439" s="491" t="inlineStr">
        <is>
          <t>Projected</t>
        </is>
      </c>
      <c r="F1439" s="478" t="inlineStr">
        <is>
          <t>Actual</t>
        </is>
      </c>
      <c r="G1439" s="503" t="n"/>
      <c r="H1439" s="491" t="n"/>
      <c r="I1439" s="478" t="inlineStr">
        <is>
          <t>Actual</t>
        </is>
      </c>
      <c r="J1439" s="503" t="n"/>
      <c r="K1439" s="491" t="inlineStr">
        <is>
          <t>Projected</t>
        </is>
      </c>
      <c r="L1439" s="478" t="inlineStr">
        <is>
          <t>Rostered</t>
        </is>
      </c>
      <c r="M1439" s="503" t="n"/>
    </row>
    <row r="1440" ht="15.75" customHeight="1" s="2">
      <c r="A1440" s="479" t="inlineStr">
        <is>
          <t>Floor</t>
        </is>
      </c>
      <c r="B1440" s="492" t="n"/>
      <c r="C1440" s="480" t="n">
        <v>818</v>
      </c>
      <c r="D1440" s="504" t="n"/>
      <c r="E1440" s="492" t="n"/>
      <c r="F1440" s="480" t="n"/>
      <c r="G1440" s="504" t="n"/>
      <c r="H1440" s="492" t="n"/>
      <c r="I1440" s="480" t="n">
        <v>958</v>
      </c>
      <c r="J1440" s="504" t="n"/>
      <c r="K1440" s="492" t="n">
        <v>719</v>
      </c>
      <c r="L1440" s="480" t="n">
        <v>718</v>
      </c>
      <c r="M1440" s="504" t="n"/>
    </row>
    <row r="1441" ht="15.75" customHeight="1" s="2" thickBot="1">
      <c r="A1441" s="481" t="inlineStr">
        <is>
          <t>Kitchen</t>
        </is>
      </c>
      <c r="B1441" s="493">
        <f>SUM(B1439:B1440)</f>
        <v/>
      </c>
      <c r="C1441" s="1242" t="n">
        <v>692</v>
      </c>
      <c r="D1441" s="505" t="n"/>
      <c r="E1441" s="493" t="n"/>
      <c r="F1441" s="1242" t="n"/>
      <c r="G1441" s="505" t="n"/>
      <c r="H1441" s="493">
        <f>SUM(H1439:H1440)</f>
        <v/>
      </c>
      <c r="I1441" s="1242" t="n">
        <v>768</v>
      </c>
      <c r="J1441" s="505" t="n"/>
      <c r="K1441" s="493" t="n">
        <v>588</v>
      </c>
      <c r="L1441" s="1242" t="n">
        <v>653</v>
      </c>
      <c r="M1441" s="505" t="n"/>
    </row>
    <row r="1442" ht="15.75" customHeight="1" s="2" thickBot="1">
      <c r="L1442" s="454">
        <f>L1440+L1441</f>
        <v/>
      </c>
    </row>
    <row r="1443" ht="15.75" customHeight="1" s="2" thickBot="1">
      <c r="A1443" s="506" t="inlineStr">
        <is>
          <t>Training explanation</t>
        </is>
      </c>
      <c r="C1443" s="523" t="inlineStr">
        <is>
          <t>Floor</t>
        </is>
      </c>
      <c r="D1443" s="524" t="inlineStr">
        <is>
          <t>Kitchen</t>
        </is>
      </c>
      <c r="E1443" s="509" t="n"/>
      <c r="F1443" s="507" t="inlineStr">
        <is>
          <t>Floor</t>
        </is>
      </c>
      <c r="G1443" s="508" t="inlineStr">
        <is>
          <t>Kitchen</t>
        </is>
      </c>
      <c r="H1443" s="510" t="n"/>
      <c r="I1443" s="535" t="n"/>
      <c r="J1443" s="511" t="n"/>
      <c r="K1443" s="512" t="n"/>
      <c r="L1443" s="535" t="n"/>
      <c r="M1443" s="513" t="n"/>
      <c r="O1443" s="543" t="n"/>
      <c r="P1443" s="544" t="n"/>
    </row>
    <row r="1444" ht="15.75" customHeight="1" s="2">
      <c r="A1444" s="506" t="inlineStr">
        <is>
          <t>Who is being Trained</t>
        </is>
      </c>
      <c r="C1444" s="549" t="n"/>
      <c r="D1444" s="559" t="n"/>
      <c r="E1444" s="514" t="n"/>
      <c r="F1444" s="531" t="inlineStr">
        <is>
          <t>FICO host (t-1 t-3) =15</t>
        </is>
      </c>
      <c r="G1444" s="531" t="n"/>
      <c r="H1444" s="515" t="n"/>
      <c r="I1444" s="531" t="n"/>
      <c r="J1444" s="531" t="n"/>
      <c r="K1444" s="515" t="n"/>
      <c r="L1444" s="536" t="n"/>
      <c r="M1444" s="532" t="n"/>
      <c r="O1444" s="545" t="n"/>
      <c r="P1444" s="546" t="n"/>
    </row>
    <row r="1445" ht="15.75" customHeight="1" s="2">
      <c r="C1445" s="550" t="n"/>
      <c r="D1445" s="560" t="n"/>
      <c r="E1445" s="514" t="n"/>
      <c r="F1445" s="531" t="inlineStr">
        <is>
          <t>moussa ( pizza 1 5</t>
        </is>
      </c>
      <c r="G1445" s="530" t="n"/>
      <c r="H1445" s="516" t="n"/>
      <c r="I1445" s="537" t="n"/>
      <c r="J1445" s="530" t="n"/>
      <c r="K1445" s="516" t="n"/>
      <c r="L1445" s="542" t="n"/>
      <c r="M1445" s="530" t="n"/>
      <c r="O1445" s="545" t="n"/>
      <c r="P1445" s="547" t="n"/>
    </row>
    <row r="1446" ht="15.75" customHeight="1" s="2">
      <c r="C1446" s="550" t="n"/>
      <c r="D1446" s="527" t="n"/>
      <c r="E1446" s="514" t="n"/>
      <c r="F1446" s="531" t="inlineStr">
        <is>
          <t xml:space="preserve">dwi ( bar change over ) 3 </t>
        </is>
      </c>
      <c r="G1446" s="530" t="n"/>
      <c r="H1446" s="516" t="n"/>
      <c r="I1446" s="537" t="n"/>
      <c r="J1446" s="530" t="n"/>
      <c r="K1446" s="516" t="n"/>
      <c r="L1446" s="542" t="n"/>
      <c r="M1446" s="539" t="n"/>
      <c r="O1446" s="545" t="n"/>
      <c r="P1446" s="547" t="n"/>
    </row>
    <row r="1447" ht="15.75" customHeight="1" s="2">
      <c r="C1447" s="551" t="n"/>
      <c r="D1447" s="561" t="n"/>
      <c r="E1447" s="519" t="n"/>
      <c r="F1447" s="517" t="n"/>
      <c r="G1447" s="518" t="n"/>
      <c r="H1447" s="516" t="n"/>
      <c r="I1447" s="537" t="n"/>
      <c r="J1447" s="530" t="n"/>
      <c r="K1447" s="516" t="n"/>
      <c r="L1447" s="537" t="n"/>
      <c r="M1447" s="539" t="n"/>
      <c r="O1447" s="545" t="n"/>
      <c r="P1447" s="547" t="n"/>
    </row>
    <row r="1448" ht="15.75" customHeight="1" s="2">
      <c r="C1448" s="551" t="n"/>
      <c r="D1448" s="528" t="n"/>
      <c r="E1448" s="519" t="n"/>
      <c r="F1448" s="517" t="n"/>
      <c r="G1448" s="518" t="n"/>
      <c r="H1448" s="516" t="n"/>
      <c r="I1448" s="537" t="n"/>
      <c r="J1448" s="533" t="n"/>
      <c r="K1448" s="516" t="n"/>
      <c r="L1448" s="537" t="n"/>
      <c r="M1448" s="540" t="n"/>
      <c r="O1448" s="545" t="n"/>
      <c r="P1448" s="548" t="n"/>
    </row>
    <row r="1449" ht="15.75" customHeight="1" s="2" thickBot="1">
      <c r="C1449" s="562" t="n"/>
      <c r="D1449" s="529" t="n"/>
      <c r="E1449" s="519" t="n"/>
      <c r="F1449" s="520" t="n">
        <v>20</v>
      </c>
      <c r="G1449" s="521" t="n"/>
      <c r="H1449" s="516" t="n"/>
      <c r="I1449" s="538" t="n"/>
      <c r="J1449" s="534" t="n"/>
      <c r="K1449" s="522" t="n"/>
      <c r="L1449" s="538" t="n"/>
      <c r="M1449" s="541" t="n"/>
      <c r="O1449" s="545" t="n"/>
      <c r="P1449" s="548" t="n"/>
    </row>
    <row r="1451" ht="15.75" customHeight="1" s="2" thickBot="1"/>
    <row r="1452" ht="15.75" customHeight="1" s="2" thickBot="1">
      <c r="B1452" s="499" t="n"/>
      <c r="C1452" s="500" t="n"/>
      <c r="D1452" s="501" t="inlineStr">
        <is>
          <t>18.11.19</t>
        </is>
      </c>
      <c r="E1452" s="502" t="n"/>
      <c r="F1452" s="500" t="n"/>
      <c r="G1452" s="501" t="inlineStr">
        <is>
          <t>25.11.19</t>
        </is>
      </c>
      <c r="H1452" s="502" t="n"/>
      <c r="I1452" s="500" t="n"/>
      <c r="J1452" s="501" t="inlineStr">
        <is>
          <t>2.12.19</t>
        </is>
      </c>
      <c r="K1452" s="500" t="n"/>
      <c r="L1452" s="500" t="n"/>
      <c r="M1452" s="501" t="inlineStr">
        <is>
          <t>9.12.19</t>
        </is>
      </c>
    </row>
    <row r="1453" ht="15.75" customHeight="1" s="2" thickBot="1">
      <c r="A1453" s="455" t="n"/>
      <c r="B1453" s="456" t="inlineStr">
        <is>
          <t>LAST YEAR</t>
        </is>
      </c>
      <c r="C1453" s="457" t="inlineStr">
        <is>
          <t>Actual</t>
        </is>
      </c>
      <c r="D1453" s="458" t="inlineStr">
        <is>
          <t>Projected</t>
        </is>
      </c>
      <c r="E1453" s="456" t="inlineStr">
        <is>
          <t>LAST YEAR</t>
        </is>
      </c>
      <c r="F1453" s="457" t="inlineStr">
        <is>
          <t>Actual</t>
        </is>
      </c>
      <c r="G1453" s="458" t="inlineStr">
        <is>
          <t>Projected</t>
        </is>
      </c>
      <c r="H1453" s="456" t="inlineStr">
        <is>
          <t>LAST YEAR</t>
        </is>
      </c>
      <c r="I1453" s="457" t="inlineStr">
        <is>
          <t>Actual</t>
        </is>
      </c>
      <c r="J1453" s="458" t="inlineStr">
        <is>
          <t>Projected</t>
        </is>
      </c>
      <c r="K1453" s="456" t="inlineStr">
        <is>
          <t>LAST YEAR</t>
        </is>
      </c>
      <c r="L1453" s="457" t="inlineStr">
        <is>
          <t>Actual</t>
        </is>
      </c>
      <c r="M1453" s="458" t="inlineStr">
        <is>
          <t>Projected</t>
        </is>
      </c>
    </row>
    <row r="1454" ht="15.75" customHeight="1" s="2">
      <c r="A1454" s="459" t="inlineStr">
        <is>
          <t>Total Receipts</t>
        </is>
      </c>
      <c r="B1454" s="1620" t="n">
        <v>154648.52</v>
      </c>
      <c r="C1454" s="1631" t="n">
        <v>143105.97</v>
      </c>
      <c r="D1454" s="1622" t="n">
        <v>140413</v>
      </c>
      <c r="E1454" s="1620" t="n">
        <v>161371.85</v>
      </c>
      <c r="F1454" s="1631" t="n">
        <v>149201.57</v>
      </c>
      <c r="G1454" s="1622" t="n">
        <v>137956</v>
      </c>
      <c r="H1454" s="1620" t="n">
        <v>139248.14</v>
      </c>
      <c r="I1454" s="1631" t="n">
        <v>147273.71</v>
      </c>
      <c r="J1454" s="1622" t="n">
        <v>145668</v>
      </c>
      <c r="K1454" s="1620" t="n">
        <v>144913.74</v>
      </c>
      <c r="L1454" s="1631" t="n">
        <v>152350.96</v>
      </c>
      <c r="M1454" s="1622" t="n">
        <v>153941</v>
      </c>
    </row>
    <row r="1455" ht="15.75" customHeight="1" s="2">
      <c r="A1455" s="462" t="inlineStr">
        <is>
          <t>Nett Sales</t>
        </is>
      </c>
      <c r="B1455" s="1623" t="n">
        <v>140589.5636363636</v>
      </c>
      <c r="C1455" s="1632" t="n">
        <v>130096.34</v>
      </c>
      <c r="D1455" s="1625" t="n">
        <v>127647.7</v>
      </c>
      <c r="E1455" s="1636" t="n">
        <v>146701.6818181818</v>
      </c>
      <c r="F1455" s="1632" t="n">
        <v>135637.9</v>
      </c>
      <c r="G1455" s="1637" t="n">
        <v>125414</v>
      </c>
      <c r="H1455" s="1623" t="n">
        <v>126589.2181818182</v>
      </c>
      <c r="I1455" s="1632" t="n">
        <v>133885.19</v>
      </c>
      <c r="J1455" s="1625" t="n">
        <v>132425</v>
      </c>
      <c r="K1455" s="1623" t="n">
        <v>131739.7636363636</v>
      </c>
      <c r="L1455" s="1632" t="n">
        <v>138500.8727272727</v>
      </c>
      <c r="M1455" s="1625" t="n">
        <v>139946.6</v>
      </c>
    </row>
    <row r="1456" ht="15.75" customHeight="1" s="2">
      <c r="A1456" s="462" t="inlineStr">
        <is>
          <t>Customers</t>
        </is>
      </c>
      <c r="B1456" s="485" t="n">
        <v>7489</v>
      </c>
      <c r="C1456" s="565" t="n">
        <v>6674</v>
      </c>
      <c r="D1456" s="466" t="n">
        <v>6920</v>
      </c>
      <c r="E1456" s="1623" t="n">
        <v>7724</v>
      </c>
      <c r="F1456" s="565" t="n">
        <v>7190</v>
      </c>
      <c r="G1456" s="466" t="n">
        <v>6805</v>
      </c>
      <c r="H1456" s="485" t="n">
        <v>6786</v>
      </c>
      <c r="I1456" s="565" t="n">
        <v>7004</v>
      </c>
      <c r="J1456" s="466" t="n">
        <v>7135</v>
      </c>
      <c r="K1456" s="485" t="n">
        <v>6947</v>
      </c>
      <c r="L1456" s="565" t="n">
        <v>7197</v>
      </c>
      <c r="M1456" s="466" t="n">
        <v>7550</v>
      </c>
    </row>
    <row r="1457" ht="15.75" customHeight="1" s="2">
      <c r="A1457" s="462" t="inlineStr">
        <is>
          <t>Average Customer Spend</t>
        </is>
      </c>
      <c r="B1457" s="1626" t="n">
        <v>20.650089464548</v>
      </c>
      <c r="C1457" s="1638">
        <f>C1454/6674</f>
        <v/>
      </c>
      <c r="D1457" s="1628" t="n">
        <v>20.29</v>
      </c>
      <c r="E1457" s="1626" t="n">
        <v>20.89226437079234</v>
      </c>
      <c r="F1457" s="1635">
        <f>F1454/F1456</f>
        <v/>
      </c>
      <c r="G1457" s="1628" t="n">
        <v>20.27</v>
      </c>
      <c r="H1457" s="1626" t="n">
        <v>20.51991452991453</v>
      </c>
      <c r="I1457" s="1635">
        <f>I1454/I1456</f>
        <v/>
      </c>
      <c r="J1457" s="1628" t="n">
        <v>20.42</v>
      </c>
      <c r="K1457" s="1626" t="n">
        <v>20.8599021160213</v>
      </c>
      <c r="L1457" s="1635" t="n">
        <v>21.16867583715437</v>
      </c>
      <c r="M1457" s="1628" t="n">
        <v>20.39</v>
      </c>
    </row>
    <row r="1458" ht="15.75" customHeight="1" s="2">
      <c r="A1458" s="462" t="inlineStr">
        <is>
          <t>Wage % to Total Receipts</t>
        </is>
      </c>
      <c r="B1458" s="487" t="n">
        <v>0.3190652261010969</v>
      </c>
      <c r="C1458" s="567" t="n">
        <v>0.3292</v>
      </c>
      <c r="D1458" s="470" t="n">
        <v>0.3391</v>
      </c>
      <c r="E1458" s="487" t="n">
        <v>0.3088567801633308</v>
      </c>
      <c r="F1458" s="567" t="n">
        <v>0.3171</v>
      </c>
      <c r="G1458" s="470">
        <f>(1361*34.5)/G1454</f>
        <v/>
      </c>
      <c r="H1458" s="487" t="n">
        <v>0.3686286940708867</v>
      </c>
      <c r="I1458" s="567" t="n">
        <v>0.3192</v>
      </c>
      <c r="J1458" s="470" t="n"/>
      <c r="K1458" s="487" t="n">
        <v>0.330617752326315</v>
      </c>
      <c r="L1458" s="567" t="n">
        <v>0.3262</v>
      </c>
      <c r="M1458" s="470" t="n">
        <v>0.3312</v>
      </c>
    </row>
    <row r="1459" ht="15.75" customHeight="1" s="2">
      <c r="A1459" s="462" t="inlineStr">
        <is>
          <t>Wage % to Nett Sales</t>
        </is>
      </c>
      <c r="B1459" s="487" t="n">
        <v>0.3509717487112066</v>
      </c>
      <c r="C1459" s="567" t="n">
        <v>0.3621</v>
      </c>
      <c r="D1459" s="470" t="n">
        <v>0.373</v>
      </c>
      <c r="E1459" s="487" t="n">
        <v>0.3397424581796639</v>
      </c>
      <c r="F1459" s="567" t="n">
        <v>0.3489</v>
      </c>
      <c r="G1459" s="470" t="n">
        <v>0.3744</v>
      </c>
      <c r="H1459" s="487" t="n">
        <v>0.4054915634779754</v>
      </c>
      <c r="I1459" s="567" t="n">
        <v>0.3511</v>
      </c>
      <c r="J1459" s="470" t="n">
        <v>0.375</v>
      </c>
      <c r="K1459" s="487" t="n">
        <v>0.3636795275589465</v>
      </c>
      <c r="L1459" s="567" t="n">
        <v>0.3588</v>
      </c>
      <c r="M1459" s="470" t="n">
        <v>0.3644</v>
      </c>
    </row>
    <row r="1460" ht="15.75" customHeight="1" s="2">
      <c r="A1460" s="462" t="inlineStr">
        <is>
          <t>Productivity</t>
        </is>
      </c>
      <c r="B1460" s="488" t="n">
        <v>5.19979170282937</v>
      </c>
      <c r="C1460" s="568" t="n">
        <v>4.79</v>
      </c>
      <c r="D1460" s="472">
        <f>6920/1380</f>
        <v/>
      </c>
      <c r="E1460" s="488" t="n">
        <v>5.287694677391751</v>
      </c>
      <c r="F1460" s="568" t="n">
        <v>5.17</v>
      </c>
      <c r="G1460" s="472" t="n">
        <v>5</v>
      </c>
      <c r="H1460" s="488" t="n">
        <v>4.701073779009352</v>
      </c>
      <c r="I1460" s="568" t="n">
        <v>4.99</v>
      </c>
      <c r="J1460" s="472" t="n">
        <v>4.95</v>
      </c>
      <c r="K1460" s="488" t="n">
        <v>4.873377762188706</v>
      </c>
      <c r="L1460" s="568" t="n">
        <v>4.91</v>
      </c>
      <c r="M1460" s="472" t="n">
        <v>5</v>
      </c>
    </row>
    <row r="1461" ht="15.75" customHeight="1" s="2">
      <c r="A1461" s="462" t="inlineStr">
        <is>
          <t>Average Hourly Rate</t>
        </is>
      </c>
      <c r="B1461" s="1629" t="n">
        <v>34.26</v>
      </c>
      <c r="C1461" s="568" t="n">
        <v>33.79</v>
      </c>
      <c r="D1461" s="1628" t="n">
        <v>34.5</v>
      </c>
      <c r="E1461" s="1629" t="n">
        <v>34.12</v>
      </c>
      <c r="F1461" s="568" t="n">
        <v>33.99</v>
      </c>
      <c r="G1461" s="1628" t="n">
        <v>34.5</v>
      </c>
      <c r="H1461" s="1629" t="n">
        <v>35.56</v>
      </c>
      <c r="I1461" s="568" t="n">
        <v>33.47</v>
      </c>
      <c r="J1461" s="1628" t="n">
        <v>34.5</v>
      </c>
      <c r="K1461" s="1629" t="n">
        <v>33.61</v>
      </c>
      <c r="L1461" s="568" t="n">
        <v>33.91</v>
      </c>
      <c r="M1461" s="1628" t="n">
        <v>34.5</v>
      </c>
    </row>
    <row r="1462" ht="15.75" customHeight="1" s="2">
      <c r="A1462" s="462" t="inlineStr">
        <is>
          <t>Total hours for productivity</t>
        </is>
      </c>
      <c r="B1462" s="485" t="n">
        <v>1440.25</v>
      </c>
      <c r="C1462" s="568" t="n">
        <v>1394</v>
      </c>
      <c r="D1462" s="466" t="n">
        <v>1380</v>
      </c>
      <c r="E1462" s="485" t="n">
        <v>1460.75</v>
      </c>
      <c r="F1462" s="568" t="n">
        <v>1392</v>
      </c>
      <c r="G1462" s="466">
        <f>694+663</f>
        <v/>
      </c>
      <c r="H1462" s="485" t="n">
        <v>1443.5</v>
      </c>
      <c r="I1462" s="568" t="n">
        <v>1404.5</v>
      </c>
      <c r="J1462" s="466" t="n">
        <v>1440.5</v>
      </c>
      <c r="K1462" s="485" t="n">
        <v>1425.5</v>
      </c>
      <c r="L1462" s="568" t="n">
        <v>1465.5</v>
      </c>
      <c r="M1462" s="466" t="n">
        <v>1478</v>
      </c>
    </row>
    <row r="1463" ht="15.75" customHeight="1" s="2">
      <c r="A1463" s="462" t="inlineStr">
        <is>
          <t>Training Hours used</t>
        </is>
      </c>
      <c r="B1463" s="485" t="n">
        <v>74</v>
      </c>
      <c r="C1463" s="569" t="n">
        <v>46</v>
      </c>
      <c r="D1463" s="466" t="n"/>
      <c r="E1463" s="485" t="n"/>
      <c r="F1463" s="569" t="n">
        <v>20</v>
      </c>
      <c r="G1463" s="466" t="n"/>
      <c r="H1463" s="485" t="n">
        <v>111</v>
      </c>
      <c r="I1463" s="569" t="n">
        <v>0</v>
      </c>
      <c r="J1463" s="466" t="n">
        <v>0</v>
      </c>
      <c r="K1463" s="485" t="n">
        <v>8</v>
      </c>
      <c r="L1463" s="569" t="n">
        <v>23</v>
      </c>
      <c r="M1463" s="466" t="n">
        <v>0</v>
      </c>
    </row>
    <row r="1464" ht="15.75" customHeight="1" s="2" thickBot="1">
      <c r="A1464" s="474" t="inlineStr">
        <is>
          <t>Number of hours used to cover sick leave</t>
        </is>
      </c>
      <c r="B1464" s="490" t="n">
        <v>46.5</v>
      </c>
      <c r="C1464" s="570" t="n">
        <v>24</v>
      </c>
      <c r="D1464" s="476" t="n"/>
      <c r="E1464" s="490" t="n"/>
      <c r="F1464" s="570" t="n">
        <v>13.5</v>
      </c>
      <c r="G1464" s="476" t="n"/>
      <c r="H1464" s="490" t="n">
        <v>85.25</v>
      </c>
      <c r="I1464" s="475" t="n">
        <v>22.5</v>
      </c>
      <c r="J1464" s="476" t="n"/>
      <c r="K1464" s="490" t="n">
        <v>41</v>
      </c>
      <c r="L1464" s="570" t="n">
        <v>32</v>
      </c>
      <c r="M1464" s="476" t="n">
        <v>0</v>
      </c>
    </row>
    <row r="1465" ht="15.75" customHeight="1" s="2" thickBot="1">
      <c r="A1465" s="477" t="inlineStr">
        <is>
          <t xml:space="preserve">Minimum Hours </t>
        </is>
      </c>
      <c r="B1465" s="491" t="inlineStr">
        <is>
          <t>Projected</t>
        </is>
      </c>
      <c r="C1465" s="478" t="inlineStr">
        <is>
          <t>Rostered</t>
        </is>
      </c>
      <c r="D1465" s="503" t="n"/>
      <c r="E1465" s="491" t="inlineStr">
        <is>
          <t>Projected</t>
        </is>
      </c>
      <c r="F1465" s="478" t="inlineStr">
        <is>
          <t>Rostered</t>
        </is>
      </c>
      <c r="G1465" s="503" t="n"/>
      <c r="H1465" s="491" t="inlineStr">
        <is>
          <t>Projected</t>
        </is>
      </c>
      <c r="I1465" s="478" t="inlineStr">
        <is>
          <t>rostered</t>
        </is>
      </c>
      <c r="J1465" s="503" t="n"/>
      <c r="K1465" s="491" t="inlineStr">
        <is>
          <t>Projected</t>
        </is>
      </c>
      <c r="L1465" s="478" t="inlineStr">
        <is>
          <t>Rostered</t>
        </is>
      </c>
      <c r="M1465" s="503" t="n"/>
    </row>
    <row r="1466" ht="15.75" customHeight="1" s="2">
      <c r="A1466" s="479" t="inlineStr">
        <is>
          <t>Floor</t>
        </is>
      </c>
      <c r="B1466" s="492" t="n">
        <v>761</v>
      </c>
      <c r="C1466" s="480" t="n">
        <v>723</v>
      </c>
      <c r="D1466" s="504" t="n"/>
      <c r="E1466" s="492" t="n">
        <v>749</v>
      </c>
      <c r="F1466" s="480" t="n">
        <v>694</v>
      </c>
      <c r="G1466" s="504" t="n"/>
      <c r="H1466" s="492" t="n">
        <v>785</v>
      </c>
      <c r="I1466" s="480" t="n">
        <v>744</v>
      </c>
      <c r="J1466" s="504" t="n"/>
      <c r="K1466" s="492" t="n">
        <v>831</v>
      </c>
      <c r="L1466" s="480" t="n">
        <v>818</v>
      </c>
      <c r="M1466" s="504" t="n"/>
    </row>
    <row r="1467" ht="15.75" customHeight="1" s="2" thickBot="1">
      <c r="A1467" s="481" t="inlineStr">
        <is>
          <t>Kitchen</t>
        </is>
      </c>
      <c r="B1467" s="493" t="n">
        <v>623</v>
      </c>
      <c r="C1467" s="1242" t="n">
        <v>657.5</v>
      </c>
      <c r="D1467" s="505" t="n"/>
      <c r="E1467" s="493" t="n">
        <v>612</v>
      </c>
      <c r="F1467" s="1242">
        <f>SUM(38.5+21.5+38+38+23.5+22.5+38+35+16.5+20+15+20+18+38+35+19+15.5+19+9.5+17.5+20+15+26.5+50+38.5+15)</f>
        <v/>
      </c>
      <c r="G1467" s="505" t="n"/>
      <c r="H1467" s="493" t="n">
        <v>642</v>
      </c>
      <c r="I1467" s="1242" t="n">
        <v>696.5</v>
      </c>
      <c r="J1467" s="505" t="n"/>
      <c r="K1467" s="493" t="n">
        <v>680</v>
      </c>
      <c r="L1467" s="1242" t="n">
        <v>661</v>
      </c>
      <c r="M1467" s="505" t="n"/>
    </row>
    <row r="1468" ht="15.75" customHeight="1" s="2" thickBot="1"/>
    <row r="1469" ht="15.75" customHeight="1" s="2" thickBot="1">
      <c r="A1469" s="506" t="inlineStr">
        <is>
          <t>Training explanation</t>
        </is>
      </c>
      <c r="C1469" s="523" t="inlineStr">
        <is>
          <t>Floor</t>
        </is>
      </c>
      <c r="D1469" s="524" t="inlineStr">
        <is>
          <t>Kitchen</t>
        </is>
      </c>
      <c r="E1469" s="509" t="n"/>
      <c r="F1469" s="507" t="inlineStr">
        <is>
          <t>Floor</t>
        </is>
      </c>
      <c r="G1469" s="508" t="inlineStr">
        <is>
          <t>Kitchen</t>
        </is>
      </c>
      <c r="H1469" s="510" t="n"/>
      <c r="I1469" s="535" t="n"/>
      <c r="J1469" s="511" t="n"/>
      <c r="K1469" s="512" t="n"/>
      <c r="L1469" s="535" t="inlineStr">
        <is>
          <t>kitchen</t>
        </is>
      </c>
      <c r="M1469" s="513" t="n"/>
    </row>
    <row r="1470" ht="15.75" customHeight="1" s="2">
      <c r="A1470" s="506" t="inlineStr">
        <is>
          <t>Who is being Trained</t>
        </is>
      </c>
      <c r="C1470" s="549" t="inlineStr">
        <is>
          <t>Alessandra (ind+t1/t2)</t>
        </is>
      </c>
      <c r="D1470" s="559" t="n">
        <v>20</v>
      </c>
      <c r="E1470" s="514" t="n"/>
      <c r="F1470" s="531" t="inlineStr">
        <is>
          <t>Kitchen (new starter DSQ)</t>
        </is>
      </c>
      <c r="G1470" s="531" t="n">
        <v>20</v>
      </c>
      <c r="H1470" s="515" t="n"/>
      <c r="I1470" s="531" t="n"/>
      <c r="J1470" s="531" t="n"/>
      <c r="K1470" s="515" t="n"/>
      <c r="L1470" s="536" t="n"/>
      <c r="M1470" s="532" t="n"/>
    </row>
    <row r="1471" ht="15.75" customHeight="1" s="2">
      <c r="C1471" s="550" t="inlineStr">
        <is>
          <t>Asmita</t>
        </is>
      </c>
      <c r="D1471" s="560" t="n">
        <v>18</v>
      </c>
      <c r="E1471" s="514" t="n"/>
      <c r="F1471" s="531" t="n"/>
      <c r="G1471" s="530" t="n"/>
      <c r="H1471" s="516" t="n"/>
      <c r="I1471" s="537" t="n"/>
      <c r="J1471" s="530" t="n"/>
      <c r="K1471" s="516" t="n"/>
      <c r="L1471" s="542" t="n"/>
      <c r="M1471" s="530" t="n"/>
    </row>
    <row r="1472" ht="15.75" customHeight="1" s="2">
      <c r="C1472" s="550" t="inlineStr">
        <is>
          <t>Sanjay</t>
        </is>
      </c>
      <c r="D1472" s="527" t="n">
        <v>6</v>
      </c>
      <c r="E1472" s="514" t="n"/>
      <c r="F1472" s="531" t="n"/>
      <c r="G1472" s="530" t="n"/>
      <c r="H1472" s="516" t="n"/>
      <c r="I1472" s="537" t="n"/>
      <c r="J1472" s="530" t="n"/>
      <c r="K1472" s="516" t="n"/>
      <c r="L1472" s="542" t="n"/>
      <c r="M1472" s="539" t="n"/>
    </row>
    <row r="1473" ht="15.75" customHeight="1" s="2">
      <c r="A1473" s="1639">
        <f>I1454-J1454</f>
        <v/>
      </c>
      <c r="C1473" s="551" t="inlineStr">
        <is>
          <t>Sherrin(trainer)</t>
        </is>
      </c>
      <c r="D1473" s="561" t="n">
        <v>3</v>
      </c>
      <c r="E1473" s="519" t="n"/>
      <c r="F1473" s="517" t="n"/>
      <c r="G1473" s="518" t="n"/>
      <c r="H1473" s="516" t="n"/>
      <c r="I1473" s="537" t="n"/>
      <c r="J1473" s="530" t="n"/>
      <c r="K1473" s="516" t="n"/>
      <c r="L1473" s="537" t="n"/>
      <c r="M1473" s="539" t="n"/>
    </row>
    <row r="1474" ht="15.75" customHeight="1" s="2">
      <c r="C1474" s="551" t="n"/>
      <c r="D1474" s="528" t="n"/>
      <c r="E1474" s="519" t="n"/>
      <c r="F1474" s="517" t="n"/>
      <c r="G1474" s="518" t="n"/>
      <c r="H1474" s="516" t="n"/>
      <c r="I1474" s="537" t="n"/>
      <c r="J1474" s="533" t="n"/>
      <c r="K1474" s="516" t="n"/>
      <c r="L1474" s="537" t="n"/>
      <c r="M1474" s="540" t="n"/>
    </row>
    <row r="1475" ht="15.75" customHeight="1" s="2" thickBot="1">
      <c r="C1475" s="562" t="n"/>
      <c r="D1475" s="529" t="n"/>
      <c r="E1475" s="519" t="n"/>
      <c r="F1475" s="520" t="n"/>
      <c r="G1475" s="521" t="n"/>
      <c r="H1475" s="516" t="n"/>
      <c r="I1475" s="538" t="n"/>
      <c r="J1475" s="534" t="n"/>
      <c r="K1475" s="522" t="n"/>
      <c r="L1475" s="538" t="n"/>
      <c r="M1475" s="541" t="n"/>
    </row>
    <row r="1476" ht="15.75" customHeight="1" s="2">
      <c r="B1476" s="545" t="n"/>
      <c r="C1476" s="547" t="n"/>
    </row>
    <row r="1477" ht="15.75" customHeight="1" s="2" thickBot="1">
      <c r="B1477" s="545" t="n"/>
      <c r="C1477" s="548" t="n"/>
      <c r="H1477" s="454" t="inlineStr">
        <is>
          <t>XMAS+NYE 2018</t>
        </is>
      </c>
    </row>
    <row r="1478" ht="15.75" customHeight="1" s="2" thickBot="1">
      <c r="B1478" s="1640" t="inlineStr">
        <is>
          <t>16.12.19</t>
        </is>
      </c>
      <c r="C1478" s="1641" t="n"/>
      <c r="D1478" s="1502" t="n"/>
      <c r="E1478" s="1640" t="inlineStr">
        <is>
          <t>23.12.19</t>
        </is>
      </c>
      <c r="F1478" s="1641" t="n"/>
      <c r="G1478" s="1502" t="n"/>
      <c r="H1478" s="1640" t="inlineStr">
        <is>
          <t>30.12.19</t>
        </is>
      </c>
      <c r="I1478" s="1641" t="n"/>
      <c r="J1478" s="1502" t="n"/>
      <c r="K1478" s="1640" t="n"/>
      <c r="L1478" s="1641" t="n"/>
      <c r="M1478" s="1502" t="n"/>
    </row>
    <row r="1479" ht="15.75" customHeight="1" s="2" thickBot="1">
      <c r="A1479" s="455" t="n"/>
      <c r="B1479" s="456" t="inlineStr">
        <is>
          <t>LAST YEAR</t>
        </is>
      </c>
      <c r="C1479" s="457" t="inlineStr">
        <is>
          <t>Actual</t>
        </is>
      </c>
      <c r="D1479" s="458" t="inlineStr">
        <is>
          <t>Projected</t>
        </is>
      </c>
      <c r="E1479" s="456" t="inlineStr">
        <is>
          <t>LAST YEAR</t>
        </is>
      </c>
      <c r="F1479" s="457" t="inlineStr">
        <is>
          <t>Actual</t>
        </is>
      </c>
      <c r="G1479" s="458" t="inlineStr">
        <is>
          <t>Projected</t>
        </is>
      </c>
      <c r="H1479" s="456" t="inlineStr">
        <is>
          <t>LAST YEAR</t>
        </is>
      </c>
      <c r="I1479" s="457" t="inlineStr">
        <is>
          <t>Actual</t>
        </is>
      </c>
      <c r="J1479" s="458" t="inlineStr">
        <is>
          <t>Projected</t>
        </is>
      </c>
      <c r="K1479" s="456" t="inlineStr">
        <is>
          <t>LAST YEAR</t>
        </is>
      </c>
      <c r="L1479" s="457" t="inlineStr">
        <is>
          <t>Actual</t>
        </is>
      </c>
      <c r="M1479" s="458" t="inlineStr">
        <is>
          <t>Projected</t>
        </is>
      </c>
    </row>
    <row r="1480" ht="15.75" customHeight="1" s="2">
      <c r="A1480" s="459" t="inlineStr">
        <is>
          <t>Total Receipts</t>
        </is>
      </c>
      <c r="B1480" s="1620" t="n">
        <v>135141.6</v>
      </c>
      <c r="C1480" s="1631" t="n">
        <v>155667.79</v>
      </c>
      <c r="D1480" s="1622" t="n">
        <v>153063</v>
      </c>
      <c r="E1480" s="1620" t="n">
        <v>185035.69</v>
      </c>
      <c r="F1480" s="1631" t="n">
        <v>180141</v>
      </c>
      <c r="G1480" s="1622" t="n">
        <v>184908</v>
      </c>
      <c r="H1480" s="1620" t="n">
        <v>278840.91</v>
      </c>
      <c r="I1480" s="1631" t="n">
        <v>278984</v>
      </c>
      <c r="J1480" s="1622" t="n">
        <v>253648</v>
      </c>
      <c r="K1480" s="1620" t="n"/>
      <c r="L1480" s="1631" t="n"/>
      <c r="M1480" s="1622" t="n"/>
    </row>
    <row r="1481" ht="15.75" customHeight="1" s="2">
      <c r="A1481" s="462" t="inlineStr">
        <is>
          <t>Nett Sales</t>
        </is>
      </c>
      <c r="B1481" s="1623">
        <f>B1480/1.1</f>
        <v/>
      </c>
      <c r="C1481" s="1632" t="n">
        <v>141516.17</v>
      </c>
      <c r="D1481" s="1625" t="n">
        <v>139147.7</v>
      </c>
      <c r="E1481" s="1636">
        <f>E1480/1.1</f>
        <v/>
      </c>
      <c r="F1481" s="1632" t="n">
        <v>163764.55</v>
      </c>
      <c r="G1481" s="1637" t="n">
        <v>168097</v>
      </c>
      <c r="H1481" s="1623">
        <f>H1480/1.1</f>
        <v/>
      </c>
      <c r="I1481" s="1632" t="n">
        <v>253622</v>
      </c>
      <c r="J1481" s="1625" t="n">
        <v>230588</v>
      </c>
      <c r="K1481" s="1623" t="n"/>
      <c r="L1481" s="1632" t="n"/>
      <c r="M1481" s="1625" t="n"/>
    </row>
    <row r="1482" ht="15.75" customHeight="1" s="2">
      <c r="A1482" s="462" t="inlineStr">
        <is>
          <t>Customers</t>
        </is>
      </c>
      <c r="B1482" s="485" t="n">
        <v>6808</v>
      </c>
      <c r="C1482" s="565" t="n">
        <v>7352</v>
      </c>
      <c r="D1482" s="466" t="n">
        <v>7445</v>
      </c>
      <c r="E1482" s="1623" t="n">
        <v>8976</v>
      </c>
      <c r="F1482" s="565" t="n">
        <v>8547</v>
      </c>
      <c r="G1482" s="466" t="n">
        <v>9060</v>
      </c>
      <c r="H1482" s="485" t="n">
        <v>12795</v>
      </c>
      <c r="I1482" s="565" t="n">
        <v>12576</v>
      </c>
      <c r="J1482" s="466" t="n">
        <v>11945</v>
      </c>
      <c r="K1482" s="485" t="n"/>
      <c r="L1482" s="565" t="n"/>
      <c r="M1482" s="466" t="n"/>
    </row>
    <row r="1483" ht="15.75" customHeight="1" s="2">
      <c r="A1483" s="462" t="inlineStr">
        <is>
          <t>Average Customer Spend</t>
        </is>
      </c>
      <c r="B1483" s="1626">
        <f>B1480/B1482</f>
        <v/>
      </c>
      <c r="C1483" s="1638">
        <f>C1480/7352</f>
        <v/>
      </c>
      <c r="D1483" s="1628" t="n">
        <v>20.56</v>
      </c>
      <c r="E1483" s="1626">
        <f>E1480/E1482</f>
        <v/>
      </c>
      <c r="F1483" s="1635" t="n">
        <v>21.08</v>
      </c>
      <c r="G1483" s="1628" t="n">
        <v>20.41</v>
      </c>
      <c r="H1483" s="1626">
        <f>H1480/H1482</f>
        <v/>
      </c>
      <c r="I1483" s="1635" t="n">
        <v>22.18</v>
      </c>
      <c r="J1483" s="1628" t="n">
        <v>21.23</v>
      </c>
      <c r="K1483" s="1626" t="n"/>
      <c r="L1483" s="1635" t="n"/>
      <c r="M1483" s="1628" t="n"/>
    </row>
    <row r="1484" ht="15.75" customHeight="1" s="2">
      <c r="A1484" s="462" t="inlineStr">
        <is>
          <t>Wage % to Total Receipts</t>
        </is>
      </c>
      <c r="B1484" s="487">
        <f>(B1487*B1488)/B1480</f>
        <v/>
      </c>
      <c r="C1484" s="567" t="n">
        <v>0.3475</v>
      </c>
      <c r="D1484" s="470" t="n">
        <v>0.3781</v>
      </c>
      <c r="E1484" s="487" t="n">
        <v>0.3308</v>
      </c>
      <c r="F1484" s="567" t="n">
        <v>0.3197</v>
      </c>
      <c r="G1484" s="470" t="n">
        <v>0.3269</v>
      </c>
      <c r="H1484" s="487">
        <f>(H1487*H1488)/H1480</f>
        <v/>
      </c>
      <c r="I1484" s="567" t="n">
        <v>0.3154</v>
      </c>
      <c r="J1484" s="470" t="n">
        <v>0.3471</v>
      </c>
      <c r="K1484" s="487" t="n"/>
      <c r="L1484" s="567" t="n"/>
      <c r="M1484" s="470" t="n"/>
    </row>
    <row r="1485" ht="15.75" customHeight="1" s="2">
      <c r="A1485" s="462" t="inlineStr">
        <is>
          <t>Wage % to Nett Sales</t>
        </is>
      </c>
      <c r="B1485" s="487">
        <f>(B1487*B1488)/B1481</f>
        <v/>
      </c>
      <c r="C1485" s="567" t="n">
        <v>0.3823</v>
      </c>
      <c r="D1485" s="470" t="n">
        <v>0.4081</v>
      </c>
      <c r="E1485" s="487" t="n">
        <v>0.3639</v>
      </c>
      <c r="F1485" s="567" t="n">
        <v>0.3516</v>
      </c>
      <c r="G1485" s="470" t="n">
        <v>0.3596</v>
      </c>
      <c r="H1485" s="487">
        <f>(H1487*H1488)/H1481</f>
        <v/>
      </c>
      <c r="I1485" s="567" t="n">
        <v>0.347</v>
      </c>
      <c r="J1485" s="470" t="n">
        <v>0.3818</v>
      </c>
      <c r="K1485" s="487" t="n"/>
      <c r="L1485" s="567" t="n"/>
      <c r="M1485" s="470" t="n"/>
    </row>
    <row r="1486" ht="15.75" customHeight="1" s="2">
      <c r="A1486" s="462" t="inlineStr">
        <is>
          <t>Productivity</t>
        </is>
      </c>
      <c r="B1486" s="488">
        <f>B1482/B1488</f>
        <v/>
      </c>
      <c r="C1486" s="568" t="n">
        <v>4.59</v>
      </c>
      <c r="D1486" s="472" t="n">
        <v>4.5</v>
      </c>
      <c r="E1486" s="488" t="n">
        <v>4.88</v>
      </c>
      <c r="F1486" s="568" t="n">
        <v>4.88</v>
      </c>
      <c r="G1486" s="472" t="n">
        <v>5.17</v>
      </c>
      <c r="H1486" s="488">
        <f>H1482/H1488</f>
        <v/>
      </c>
      <c r="I1486" s="568" t="n">
        <v>5.54</v>
      </c>
      <c r="J1486" s="472" t="n">
        <v>5.43</v>
      </c>
      <c r="K1486" s="488" t="n"/>
      <c r="L1486" s="568" t="n"/>
      <c r="M1486" s="472" t="n"/>
    </row>
    <row r="1487" ht="15.75" customHeight="1" s="2">
      <c r="A1487" s="462" t="inlineStr">
        <is>
          <t>Average Hourly Rate</t>
        </is>
      </c>
      <c r="B1487" s="1629" t="n">
        <v>33.62</v>
      </c>
      <c r="C1487" s="568" t="n">
        <v>33.74</v>
      </c>
      <c r="D1487" s="1628" t="n">
        <v>34.5</v>
      </c>
      <c r="E1487" s="1629" t="n">
        <v>33.29</v>
      </c>
      <c r="F1487" s="568" t="n">
        <v>32.89</v>
      </c>
      <c r="G1487" s="1628" t="n">
        <v>34.5</v>
      </c>
      <c r="H1487" s="1629" t="n">
        <v>38.32</v>
      </c>
      <c r="I1487" s="568" t="n">
        <v>38.79</v>
      </c>
      <c r="J1487" s="1628" t="n">
        <v>40</v>
      </c>
      <c r="K1487" s="1629" t="n"/>
      <c r="L1487" s="568" t="n"/>
      <c r="M1487" s="1628" t="n"/>
    </row>
    <row r="1488" ht="15.75" customHeight="1" s="2">
      <c r="A1488" s="462" t="inlineStr">
        <is>
          <t>Total hours for productivity</t>
        </is>
      </c>
      <c r="B1488" s="485" t="n">
        <v>1396</v>
      </c>
      <c r="C1488" s="568" t="n">
        <v>1603</v>
      </c>
      <c r="D1488" s="466" t="n">
        <v>1646</v>
      </c>
      <c r="E1488" s="485" t="n">
        <v>1838.75</v>
      </c>
      <c r="F1488" s="568" t="n">
        <v>1750.75</v>
      </c>
      <c r="G1488" s="466" t="n">
        <v>1752</v>
      </c>
      <c r="H1488" s="485" t="n">
        <v>2346</v>
      </c>
      <c r="I1488" s="568" t="n">
        <v>2268.5</v>
      </c>
      <c r="J1488" s="466" t="n">
        <v>2201</v>
      </c>
      <c r="K1488" s="485" t="n"/>
      <c r="L1488" s="568" t="n"/>
      <c r="M1488" s="466" t="n"/>
    </row>
    <row r="1489" ht="15.75" customHeight="1" s="2">
      <c r="A1489" s="462" t="inlineStr">
        <is>
          <t>Training Hours used</t>
        </is>
      </c>
      <c r="B1489" s="485" t="n">
        <v>16</v>
      </c>
      <c r="C1489" s="569" t="n">
        <v>71.75</v>
      </c>
      <c r="D1489" s="466" t="n">
        <v>100</v>
      </c>
      <c r="E1489" s="485" t="n"/>
      <c r="F1489" s="569" t="n">
        <v>20</v>
      </c>
      <c r="G1489" s="466" t="n"/>
      <c r="H1489" s="485" t="n"/>
      <c r="I1489" s="569" t="n">
        <v>0</v>
      </c>
      <c r="J1489" s="466" t="n"/>
      <c r="K1489" s="485" t="n"/>
      <c r="L1489" s="569" t="n"/>
      <c r="M1489" s="466" t="n"/>
    </row>
    <row r="1490" ht="15.75" customHeight="1" s="2" thickBot="1">
      <c r="A1490" s="474" t="inlineStr">
        <is>
          <t>Number of hours used to cover sick leave</t>
        </is>
      </c>
      <c r="B1490" s="490" t="n"/>
      <c r="C1490" s="570" t="n">
        <v>41</v>
      </c>
      <c r="D1490" s="476" t="n"/>
      <c r="E1490" s="490" t="n"/>
      <c r="F1490" s="570" t="n"/>
      <c r="G1490" s="476" t="n"/>
      <c r="H1490" s="490" t="n"/>
      <c r="I1490" s="475" t="n">
        <v>14</v>
      </c>
      <c r="J1490" s="476" t="n"/>
      <c r="K1490" s="490" t="n"/>
      <c r="L1490" s="570" t="n"/>
      <c r="M1490" s="476" t="n"/>
    </row>
    <row r="1491" ht="15.75" customHeight="1" s="2" thickBot="1">
      <c r="A1491" s="477" t="inlineStr">
        <is>
          <t xml:space="preserve">Minimum Hours </t>
        </is>
      </c>
      <c r="B1491" s="491" t="inlineStr">
        <is>
          <t>Projected</t>
        </is>
      </c>
      <c r="C1491" s="478" t="inlineStr">
        <is>
          <t>Rostered</t>
        </is>
      </c>
      <c r="D1491" s="503" t="n"/>
      <c r="E1491" s="491" t="inlineStr">
        <is>
          <t>Projected</t>
        </is>
      </c>
      <c r="F1491" s="478" t="inlineStr">
        <is>
          <t>Rostered</t>
        </is>
      </c>
      <c r="G1491" s="503" t="n"/>
      <c r="H1491" s="491" t="inlineStr">
        <is>
          <t>Projected</t>
        </is>
      </c>
      <c r="I1491" s="478" t="inlineStr">
        <is>
          <t>rostered</t>
        </is>
      </c>
      <c r="J1491" s="503" t="n"/>
      <c r="K1491" s="491" t="inlineStr">
        <is>
          <t>Projected</t>
        </is>
      </c>
      <c r="L1491" s="478" t="inlineStr">
        <is>
          <t>Rostered</t>
        </is>
      </c>
      <c r="M1491" s="503" t="n"/>
    </row>
    <row r="1492" ht="15.75" customHeight="1" s="2">
      <c r="A1492" s="479" t="inlineStr">
        <is>
          <t>Floor</t>
        </is>
      </c>
      <c r="B1492" s="492" t="n">
        <v>780</v>
      </c>
      <c r="C1492" s="480" t="n">
        <v>933</v>
      </c>
      <c r="D1492" s="504" t="n"/>
      <c r="E1492" s="492" t="n">
        <v>949</v>
      </c>
      <c r="F1492" s="480" t="n">
        <v>969</v>
      </c>
      <c r="G1492" s="504" t="n"/>
      <c r="H1492" s="492" t="n">
        <v>1133</v>
      </c>
      <c r="I1492" s="480" t="n">
        <v>1172</v>
      </c>
      <c r="J1492" s="504" t="n"/>
      <c r="K1492" s="492" t="n"/>
      <c r="L1492" s="480" t="n"/>
      <c r="M1492" s="504" t="n"/>
    </row>
    <row r="1493" ht="15.75" customHeight="1" s="2" thickBot="1">
      <c r="A1493" s="481" t="inlineStr">
        <is>
          <t>Kitchen</t>
        </is>
      </c>
      <c r="B1493" s="493" t="n">
        <v>638</v>
      </c>
      <c r="C1493" s="1242" t="n">
        <v>713</v>
      </c>
      <c r="D1493" s="505" t="n"/>
      <c r="E1493" s="493" t="n">
        <v>777</v>
      </c>
      <c r="F1493" s="1242" t="n">
        <v>783</v>
      </c>
      <c r="G1493" s="505" t="n"/>
      <c r="H1493" s="493" t="n">
        <v>927</v>
      </c>
      <c r="I1493" s="1242" t="n">
        <v>1029</v>
      </c>
      <c r="J1493" s="505" t="n"/>
      <c r="K1493" s="493" t="n"/>
      <c r="L1493" s="1242" t="n"/>
      <c r="M1493" s="505" t="n"/>
    </row>
    <row r="1494" ht="15.75" customHeight="1" s="2" thickBot="1"/>
    <row r="1495" ht="15.75" customHeight="1" s="2" thickBot="1">
      <c r="A1495" s="506" t="inlineStr">
        <is>
          <t>Training explanation</t>
        </is>
      </c>
      <c r="C1495" s="523" t="inlineStr">
        <is>
          <t>Floor</t>
        </is>
      </c>
      <c r="D1495" s="524" t="inlineStr">
        <is>
          <t>Kitchen</t>
        </is>
      </c>
      <c r="E1495" s="509" t="n"/>
      <c r="F1495" s="507" t="inlineStr">
        <is>
          <t>Floor</t>
        </is>
      </c>
      <c r="G1495" s="508" t="inlineStr">
        <is>
          <t>Kitchen</t>
        </is>
      </c>
      <c r="H1495" s="510" t="n"/>
      <c r="I1495" s="535" t="n"/>
      <c r="J1495" s="511" t="n"/>
      <c r="K1495" s="512" t="n"/>
      <c r="L1495" s="535" t="inlineStr">
        <is>
          <t>kitchen</t>
        </is>
      </c>
      <c r="M1495" s="513" t="n"/>
    </row>
    <row r="1496" ht="15.75" customHeight="1" s="2">
      <c r="A1496" s="506" t="inlineStr">
        <is>
          <t>Who is being Trained</t>
        </is>
      </c>
      <c r="C1496" s="549" t="inlineStr">
        <is>
          <t>4 New Starters (25/pp)</t>
        </is>
      </c>
      <c r="D1496" s="559" t="n"/>
      <c r="E1496" s="514" t="n"/>
      <c r="F1496" s="531" t="n"/>
      <c r="G1496" s="531" t="n"/>
      <c r="H1496" s="515" t="n"/>
      <c r="I1496" s="531" t="n"/>
      <c r="J1496" s="531" t="n"/>
      <c r="K1496" s="515" t="n"/>
      <c r="L1496" s="536" t="n"/>
      <c r="M1496" s="532" t="n"/>
    </row>
    <row r="1497" ht="15.75" customHeight="1" s="2">
      <c r="C1497" s="550" t="n"/>
      <c r="D1497" s="560" t="n"/>
      <c r="E1497" s="514" t="n"/>
      <c r="F1497" s="531" t="n"/>
      <c r="G1497" s="530" t="n"/>
      <c r="H1497" s="516" t="n"/>
      <c r="I1497" s="537" t="n"/>
      <c r="J1497" s="530" t="n"/>
      <c r="K1497" s="516" t="n"/>
      <c r="L1497" s="542" t="n"/>
      <c r="M1497" s="530" t="n"/>
    </row>
    <row r="1498" ht="15.75" customHeight="1" s="2">
      <c r="C1498" s="550" t="n"/>
      <c r="D1498" s="527" t="n"/>
      <c r="E1498" s="514" t="n"/>
      <c r="F1498" s="531" t="n"/>
      <c r="G1498" s="530" t="n"/>
      <c r="H1498" s="516" t="n"/>
      <c r="I1498" s="537" t="n"/>
      <c r="J1498" s="530" t="n"/>
      <c r="K1498" s="516" t="n"/>
      <c r="L1498" s="542" t="n"/>
      <c r="M1498" s="539" t="n"/>
    </row>
    <row r="1499" ht="15.75" customHeight="1" s="2">
      <c r="C1499" s="551" t="n"/>
      <c r="D1499" s="561" t="n"/>
      <c r="E1499" s="519" t="n"/>
      <c r="F1499" s="517" t="n"/>
      <c r="G1499" s="518" t="n"/>
      <c r="H1499" s="516" t="n"/>
      <c r="I1499" s="537" t="n"/>
      <c r="J1499" s="530" t="n"/>
      <c r="K1499" s="516" t="n"/>
      <c r="L1499" s="537" t="n"/>
      <c r="M1499" s="539" t="n"/>
    </row>
    <row r="1500" ht="15.75" customHeight="1" s="2">
      <c r="C1500" s="551" t="n"/>
      <c r="D1500" s="528" t="n"/>
      <c r="E1500" s="519" t="n"/>
      <c r="F1500" s="517" t="n"/>
      <c r="G1500" s="518" t="n"/>
      <c r="H1500" s="516" t="n"/>
      <c r="I1500" s="537" t="n"/>
      <c r="J1500" s="533" t="n"/>
      <c r="K1500" s="516" t="n"/>
      <c r="L1500" s="537" t="n"/>
      <c r="M1500" s="540" t="n"/>
    </row>
    <row r="1501" ht="15.75" customHeight="1" s="2" thickBot="1">
      <c r="C1501" s="562" t="n"/>
      <c r="D1501" s="529" t="n"/>
      <c r="E1501" s="519" t="n"/>
      <c r="F1501" s="520" t="n"/>
      <c r="G1501" s="521" t="n"/>
      <c r="H1501" s="516" t="n"/>
      <c r="I1501" s="538" t="n"/>
      <c r="J1501" s="534" t="n"/>
      <c r="K1501" s="522" t="n"/>
      <c r="L1501" s="538" t="n"/>
      <c r="M1501" s="541" t="n"/>
    </row>
    <row r="1502" ht="15.75" customHeight="1" s="2">
      <c r="C1502" s="771" t="n"/>
      <c r="D1502" s="768" t="n"/>
      <c r="E1502" s="769" t="n"/>
      <c r="F1502" s="769" t="n"/>
      <c r="G1502" s="768" t="n"/>
      <c r="H1502" s="767" t="n"/>
      <c r="I1502" s="767" t="n"/>
      <c r="J1502" s="770" t="n"/>
      <c r="K1502" s="767" t="n"/>
      <c r="L1502" s="767" t="n"/>
      <c r="M1502" s="548" t="n"/>
    </row>
    <row r="1503" ht="15.75" customHeight="1" s="2" thickBot="1">
      <c r="B1503" s="454" t="inlineStr">
        <is>
          <t>NYD Last Year</t>
        </is>
      </c>
      <c r="D1503" s="454" t="inlineStr">
        <is>
          <t xml:space="preserve">NYE+NYD </t>
        </is>
      </c>
      <c r="L1503" s="454" t="inlineStr">
        <is>
          <t>AUS DAY+CNY</t>
        </is>
      </c>
    </row>
    <row r="1504" ht="15.75" customHeight="1" s="2" thickBot="1">
      <c r="B1504" s="1640" t="inlineStr">
        <is>
          <t>6.1.2020</t>
        </is>
      </c>
      <c r="C1504" s="1641" t="n"/>
      <c r="D1504" s="1502" t="n"/>
      <c r="E1504" s="1640" t="inlineStr">
        <is>
          <t>13.1.2020</t>
        </is>
      </c>
      <c r="F1504" s="1641" t="n"/>
      <c r="G1504" s="1502" t="n"/>
      <c r="H1504" s="1640" t="inlineStr">
        <is>
          <t>20.1.20</t>
        </is>
      </c>
      <c r="I1504" s="1641" t="n"/>
      <c r="J1504" s="1502" t="n"/>
      <c r="K1504" s="1640" t="inlineStr">
        <is>
          <t>27.1.2020</t>
        </is>
      </c>
      <c r="L1504" s="1641" t="n"/>
      <c r="M1504" s="1502" t="n"/>
    </row>
    <row r="1505" ht="15.75" customHeight="1" s="2" thickBot="1">
      <c r="A1505" s="455" t="n"/>
      <c r="B1505" s="456" t="inlineStr">
        <is>
          <t>LAST YEAR</t>
        </is>
      </c>
      <c r="C1505" s="457" t="inlineStr">
        <is>
          <t>Actual</t>
        </is>
      </c>
      <c r="D1505" s="458" t="inlineStr">
        <is>
          <t>Projected</t>
        </is>
      </c>
      <c r="E1505" s="456" t="inlineStr">
        <is>
          <t>LAST YEAR</t>
        </is>
      </c>
      <c r="F1505" s="457" t="inlineStr">
        <is>
          <t>Actual</t>
        </is>
      </c>
      <c r="G1505" s="458" t="inlineStr">
        <is>
          <t>Projected</t>
        </is>
      </c>
      <c r="H1505" s="456" t="inlineStr">
        <is>
          <t>LAST YEAR</t>
        </is>
      </c>
      <c r="I1505" s="457" t="inlineStr">
        <is>
          <t>Actual</t>
        </is>
      </c>
      <c r="J1505" s="458" t="inlineStr">
        <is>
          <t>Projected</t>
        </is>
      </c>
      <c r="K1505" s="456" t="inlineStr">
        <is>
          <t>LAST YEAR</t>
        </is>
      </c>
      <c r="L1505" s="457" t="inlineStr">
        <is>
          <t>Actual</t>
        </is>
      </c>
      <c r="M1505" s="458" t="inlineStr">
        <is>
          <t>Projected</t>
        </is>
      </c>
    </row>
    <row r="1506" ht="15.75" customHeight="1" s="2">
      <c r="A1506" s="459" t="inlineStr">
        <is>
          <t>Total Receipts</t>
        </is>
      </c>
      <c r="B1506" s="1620" t="n">
        <v>215559.9</v>
      </c>
      <c r="C1506" s="1631" t="n">
        <v>244434.49</v>
      </c>
      <c r="D1506" s="1622" t="n">
        <v>230813</v>
      </c>
      <c r="E1506" s="1620" t="n">
        <v>150249.51</v>
      </c>
      <c r="F1506" s="1631" t="n">
        <v>155584.64</v>
      </c>
      <c r="G1506" s="1622" t="n">
        <v>183315</v>
      </c>
      <c r="H1506" s="1620" t="n">
        <v>142705.73</v>
      </c>
      <c r="I1506" s="1631" t="n">
        <v>156338.09</v>
      </c>
      <c r="J1506" s="1622" t="n">
        <v>165095</v>
      </c>
      <c r="K1506" s="1620" t="n">
        <v>178719</v>
      </c>
      <c r="L1506" s="1631" t="n">
        <v>195937.94</v>
      </c>
      <c r="M1506" s="1622" t="n">
        <v>190538</v>
      </c>
      <c r="N1506" s="454">
        <f>L1506-K1506</f>
        <v/>
      </c>
    </row>
    <row r="1507" ht="15.75" customHeight="1" s="2">
      <c r="A1507" s="462" t="inlineStr">
        <is>
          <t>Nett Sales</t>
        </is>
      </c>
      <c r="B1507" s="1623" t="n">
        <v>195963.5454545454</v>
      </c>
      <c r="C1507" s="1632" t="n">
        <v>222213.17</v>
      </c>
      <c r="D1507" s="1625" t="n">
        <v>209829</v>
      </c>
      <c r="E1507" s="1636" t="n">
        <v>136590.4636363636</v>
      </c>
      <c r="F1507" s="1632" t="n">
        <v>141440.58</v>
      </c>
      <c r="G1507" s="1637" t="n">
        <v>166650</v>
      </c>
      <c r="H1507" s="1623" t="n">
        <v>129732.4818181818</v>
      </c>
      <c r="I1507" s="1632" t="n">
        <v>142125.54</v>
      </c>
      <c r="J1507" s="1625" t="n">
        <v>150086</v>
      </c>
      <c r="K1507" s="1623" t="n">
        <v>155199</v>
      </c>
      <c r="L1507" s="1632" t="n">
        <v>178125.4</v>
      </c>
      <c r="M1507" s="1625" t="n">
        <v>173213</v>
      </c>
    </row>
    <row r="1508" ht="15.75" customHeight="1" s="2">
      <c r="A1508" s="462" t="inlineStr">
        <is>
          <t>Customers</t>
        </is>
      </c>
      <c r="B1508" s="485" t="n">
        <v>10374</v>
      </c>
      <c r="C1508" s="565" t="n">
        <v>11443</v>
      </c>
      <c r="D1508" s="466" t="n">
        <v>10985</v>
      </c>
      <c r="E1508" s="1623" t="n">
        <v>7590</v>
      </c>
      <c r="F1508" s="565" t="n">
        <v>7815</v>
      </c>
      <c r="G1508" s="466" t="n">
        <v>8905</v>
      </c>
      <c r="H1508" s="485" t="n">
        <v>7099</v>
      </c>
      <c r="I1508" s="565" t="n">
        <v>7585</v>
      </c>
      <c r="J1508" s="466" t="n">
        <v>8005</v>
      </c>
      <c r="K1508" s="485" t="n">
        <v>8221</v>
      </c>
      <c r="L1508" s="565" t="n">
        <v>9085</v>
      </c>
      <c r="M1508" s="466" t="n">
        <v>9080</v>
      </c>
    </row>
    <row r="1509" ht="15.75" customHeight="1" s="2">
      <c r="A1509" s="462" t="inlineStr">
        <is>
          <t>Average Customer Spend</t>
        </is>
      </c>
      <c r="B1509" s="1626" t="n">
        <v>20.77886061307114</v>
      </c>
      <c r="C1509" s="1638">
        <f>C1506/C1508</f>
        <v/>
      </c>
      <c r="D1509" s="1628" t="n">
        <v>21.01</v>
      </c>
      <c r="E1509" s="1626" t="n">
        <v>19.79571936758893</v>
      </c>
      <c r="F1509" s="1635">
        <f>F1506/7815</f>
        <v/>
      </c>
      <c r="G1509" s="1628" t="n">
        <v>20.59</v>
      </c>
      <c r="H1509" s="1626" t="n">
        <v>20.10222989153402</v>
      </c>
      <c r="I1509" s="1635" t="n">
        <v>20.61</v>
      </c>
      <c r="J1509" s="1628" t="n">
        <v>20.62</v>
      </c>
      <c r="K1509" s="1626" t="n">
        <v>20.76</v>
      </c>
      <c r="L1509" s="1635" t="n">
        <v>21.57</v>
      </c>
      <c r="M1509" s="1628" t="n">
        <v>20.98</v>
      </c>
    </row>
    <row r="1510" ht="15.75" customHeight="1" s="2">
      <c r="A1510" s="462" t="inlineStr">
        <is>
          <t>Wage % to Total Receipts</t>
        </is>
      </c>
      <c r="B1510" s="487" t="n">
        <v>0.3071309877208145</v>
      </c>
      <c r="C1510" s="567" t="n">
        <v>0.3249</v>
      </c>
      <c r="D1510" s="470" t="n">
        <v>0.3489</v>
      </c>
      <c r="E1510" s="487" t="n">
        <v>0.3507477661657599</v>
      </c>
      <c r="F1510" s="567" t="n">
        <v>0.3653</v>
      </c>
      <c r="G1510" s="470" t="n">
        <v>0.3445</v>
      </c>
      <c r="H1510" s="487" t="n">
        <v>0.3832069321953645</v>
      </c>
      <c r="I1510" s="567" t="n">
        <v>0.3549</v>
      </c>
      <c r="J1510" s="470" t="n">
        <v>0.3671</v>
      </c>
      <c r="K1510" s="487" t="n">
        <v>0.3733</v>
      </c>
      <c r="L1510" s="567" t="n">
        <v>0.3347</v>
      </c>
      <c r="M1510" s="470" t="n">
        <v>0.3669</v>
      </c>
    </row>
    <row r="1511" ht="15.75" customHeight="1" s="2">
      <c r="A1511" s="462" t="inlineStr">
        <is>
          <t>Wage % to Nett Sales</t>
        </is>
      </c>
      <c r="B1511" s="487" t="n">
        <v>0.337844086492896</v>
      </c>
      <c r="C1511" s="567" t="n">
        <v>0.3573</v>
      </c>
      <c r="D1511" s="470" t="n">
        <v>0.3838</v>
      </c>
      <c r="E1511" s="487" t="n">
        <v>0.385822542782336</v>
      </c>
      <c r="F1511" s="567" t="n">
        <v>0.4019</v>
      </c>
      <c r="G1511" s="470" t="n">
        <v>0.379</v>
      </c>
      <c r="H1511" s="487" t="n">
        <v>0.421527625414901</v>
      </c>
      <c r="I1511" s="567" t="n">
        <v>0.3904</v>
      </c>
      <c r="J1511" s="470" t="n">
        <v>0.4038</v>
      </c>
      <c r="K1511" s="487" t="n">
        <v>0.4107</v>
      </c>
      <c r="L1511" s="567" t="n">
        <v>0.3682</v>
      </c>
      <c r="M1511" s="470" t="n">
        <v>0.4035</v>
      </c>
    </row>
    <row r="1512" ht="15.75" customHeight="1" s="2">
      <c r="A1512" s="462" t="inlineStr">
        <is>
          <t>Productivity</t>
        </is>
      </c>
      <c r="B1512" s="488" t="n">
        <v>5.645714285714286</v>
      </c>
      <c r="C1512" s="568" t="n">
        <v>5.35</v>
      </c>
      <c r="D1512" s="472" t="n">
        <v>5.18</v>
      </c>
      <c r="E1512" s="488" t="n">
        <v>4.791666666666667</v>
      </c>
      <c r="F1512" s="568" t="n">
        <v>4.51</v>
      </c>
      <c r="G1512" s="472" t="n">
        <v>4.86</v>
      </c>
      <c r="H1512" s="488" t="n">
        <v>4.405896043444531</v>
      </c>
      <c r="I1512" s="568" t="n">
        <v>4.5</v>
      </c>
      <c r="J1512" s="472" t="n">
        <v>4.56</v>
      </c>
      <c r="K1512" s="488" t="n">
        <v>4.76</v>
      </c>
      <c r="L1512" s="568" t="n">
        <v>4.94</v>
      </c>
      <c r="M1512" s="472" t="n">
        <v>4.87</v>
      </c>
    </row>
    <row r="1513" ht="15.75" customHeight="1" s="2">
      <c r="A1513" s="462" t="inlineStr">
        <is>
          <t>Average Hourly Rate</t>
        </is>
      </c>
      <c r="B1513" s="1629" t="n">
        <v>36.03</v>
      </c>
      <c r="C1513" s="568" t="n">
        <v>37.13</v>
      </c>
      <c r="D1513" s="1628" t="n">
        <v>38</v>
      </c>
      <c r="E1513" s="1629" t="n">
        <v>33.27</v>
      </c>
      <c r="F1513" s="568" t="n">
        <v>32.72</v>
      </c>
      <c r="G1513" s="1628" t="n">
        <v>34.5</v>
      </c>
      <c r="H1513" s="1629" t="n">
        <v>33.94</v>
      </c>
      <c r="I1513" s="568" t="n">
        <v>32.93</v>
      </c>
      <c r="J1513" s="1628" t="n">
        <v>34.5</v>
      </c>
      <c r="K1513" s="1629" t="n">
        <v>36.92</v>
      </c>
      <c r="L1513" s="568" t="n">
        <v>35.68</v>
      </c>
      <c r="M1513" s="1628" t="n">
        <v>37.5</v>
      </c>
    </row>
    <row r="1514" ht="15.75" customHeight="1" s="2">
      <c r="A1514" s="462" t="inlineStr">
        <is>
          <t>Total hours for productivity</t>
        </is>
      </c>
      <c r="B1514" s="485" t="n">
        <v>1837.5</v>
      </c>
      <c r="C1514" s="568" t="n">
        <v>2138.25</v>
      </c>
      <c r="D1514" s="466" t="n">
        <v>2119.5</v>
      </c>
      <c r="E1514" s="485" t="n">
        <v>1584</v>
      </c>
      <c r="F1514" s="568" t="n">
        <v>1732.75</v>
      </c>
      <c r="G1514" s="466" t="n">
        <v>1830.5</v>
      </c>
      <c r="H1514" s="485" t="n">
        <v>1611.25</v>
      </c>
      <c r="I1514" s="568" t="n">
        <v>1685</v>
      </c>
      <c r="J1514" s="466" t="n">
        <v>1756.5</v>
      </c>
      <c r="K1514" s="485" t="n">
        <v>1726</v>
      </c>
      <c r="L1514" s="568" t="n">
        <v>1838</v>
      </c>
      <c r="M1514" s="466" t="n">
        <v>1864</v>
      </c>
    </row>
    <row r="1515" ht="15.75" customHeight="1" s="2">
      <c r="A1515" s="462" t="inlineStr">
        <is>
          <t>Training Hours used</t>
        </is>
      </c>
      <c r="B1515" s="485" t="n"/>
      <c r="C1515" s="569" t="n">
        <v>0</v>
      </c>
      <c r="D1515" s="466" t="n">
        <v>0</v>
      </c>
      <c r="E1515" s="485" t="n">
        <v>28.5</v>
      </c>
      <c r="F1515" s="569" t="n">
        <v>74.5</v>
      </c>
      <c r="G1515" s="466" t="n">
        <v>25</v>
      </c>
      <c r="H1515" s="485" t="n">
        <v>117</v>
      </c>
      <c r="I1515" s="569" t="n">
        <v>25.5</v>
      </c>
      <c r="J1515" s="466" t="n"/>
      <c r="K1515" s="485" t="n"/>
      <c r="L1515" s="569" t="n">
        <v>7.5</v>
      </c>
      <c r="M1515" s="466" t="n"/>
    </row>
    <row r="1516" ht="15.75" customHeight="1" s="2" thickBot="1">
      <c r="A1516" s="474" t="inlineStr">
        <is>
          <t>Number of hours used to cover sick leave</t>
        </is>
      </c>
      <c r="B1516" s="490" t="n">
        <v>49</v>
      </c>
      <c r="C1516" s="570" t="n"/>
      <c r="D1516" s="476" t="n">
        <v>0</v>
      </c>
      <c r="E1516" s="490" t="n"/>
      <c r="F1516" s="570" t="n">
        <v>24.5</v>
      </c>
      <c r="G1516" s="476" t="n"/>
      <c r="H1516" s="490" t="n"/>
      <c r="I1516" s="475" t="n"/>
      <c r="J1516" s="476" t="n"/>
      <c r="K1516" s="490" t="n"/>
      <c r="L1516" s="570" t="n"/>
      <c r="M1516" s="476" t="n"/>
    </row>
    <row r="1517" ht="15.75" customHeight="1" s="2" thickBot="1">
      <c r="A1517" s="477" t="inlineStr">
        <is>
          <t xml:space="preserve">Minimum Hours </t>
        </is>
      </c>
      <c r="B1517" s="491" t="inlineStr">
        <is>
          <t>Projected</t>
        </is>
      </c>
      <c r="C1517" s="478" t="inlineStr">
        <is>
          <t>Rostered</t>
        </is>
      </c>
      <c r="D1517" s="503" t="n"/>
      <c r="E1517" s="491" t="inlineStr">
        <is>
          <t>Projected</t>
        </is>
      </c>
      <c r="F1517" s="478" t="inlineStr">
        <is>
          <t>Rostered</t>
        </is>
      </c>
      <c r="G1517" s="503" t="n"/>
      <c r="H1517" s="491" t="inlineStr">
        <is>
          <t>Projected</t>
        </is>
      </c>
      <c r="I1517" s="478" t="inlineStr">
        <is>
          <t>rostered</t>
        </is>
      </c>
      <c r="J1517" s="503" t="n"/>
      <c r="K1517" s="491" t="inlineStr">
        <is>
          <t>Projected</t>
        </is>
      </c>
      <c r="L1517" s="478" t="inlineStr">
        <is>
          <t>Rostered</t>
        </is>
      </c>
      <c r="M1517" s="503" t="n"/>
    </row>
    <row r="1518" ht="15.75" customHeight="1" s="2">
      <c r="A1518" s="479" t="inlineStr">
        <is>
          <t>Floor</t>
        </is>
      </c>
      <c r="B1518" s="492" t="n">
        <v>1042</v>
      </c>
      <c r="C1518" s="480" t="n">
        <v>1131</v>
      </c>
      <c r="D1518" s="504" t="n"/>
      <c r="E1518" s="492" t="n">
        <v>891</v>
      </c>
      <c r="F1518" s="480" t="n">
        <v>1056</v>
      </c>
      <c r="G1518" s="504" t="n"/>
      <c r="H1518" s="492" t="n">
        <v>881</v>
      </c>
      <c r="I1518" s="480" t="n">
        <v>1000</v>
      </c>
      <c r="J1518" s="504" t="n"/>
      <c r="K1518" s="492" t="n">
        <v>908</v>
      </c>
      <c r="L1518" s="480" t="n">
        <v>1089</v>
      </c>
      <c r="M1518" s="504" t="n"/>
    </row>
    <row r="1519" ht="15.75" customHeight="1" s="2" thickBot="1">
      <c r="A1519" s="481" t="inlineStr">
        <is>
          <t>Kitchen</t>
        </is>
      </c>
      <c r="B1519" s="493" t="n">
        <v>852</v>
      </c>
      <c r="C1519" s="1242" t="n">
        <v>989</v>
      </c>
      <c r="D1519" s="505" t="n"/>
      <c r="E1519" s="493" t="n">
        <v>729</v>
      </c>
      <c r="F1519" s="1242" t="n">
        <v>800</v>
      </c>
      <c r="G1519" s="505" t="n"/>
      <c r="H1519" s="493" t="n">
        <v>720</v>
      </c>
      <c r="I1519" s="1242" t="n">
        <v>757</v>
      </c>
      <c r="J1519" s="505" t="n"/>
      <c r="K1519" s="493" t="n">
        <v>743</v>
      </c>
      <c r="L1519" s="1242" t="n">
        <v>776</v>
      </c>
      <c r="M1519" s="505" t="n"/>
    </row>
    <row r="1520" ht="15.75" customHeight="1" s="2" thickBot="1"/>
    <row r="1521" ht="15.75" customHeight="1" s="2" thickBot="1">
      <c r="A1521" s="506" t="inlineStr">
        <is>
          <t>Training explanation</t>
        </is>
      </c>
      <c r="C1521" s="523" t="inlineStr">
        <is>
          <t>Floor</t>
        </is>
      </c>
      <c r="D1521" s="524" t="inlineStr">
        <is>
          <t>Kitchen</t>
        </is>
      </c>
      <c r="E1521" s="509" t="n"/>
      <c r="F1521" s="507" t="inlineStr">
        <is>
          <t>Floor</t>
        </is>
      </c>
      <c r="G1521" s="508" t="inlineStr">
        <is>
          <t>Kitchen</t>
        </is>
      </c>
      <c r="H1521" s="510" t="n"/>
      <c r="I1521" s="535" t="n"/>
      <c r="J1521" s="511" t="n"/>
      <c r="K1521" s="512" t="n"/>
      <c r="L1521" s="535" t="inlineStr">
        <is>
          <t>kitchen</t>
        </is>
      </c>
      <c r="M1521" s="513" t="n"/>
    </row>
    <row r="1522" ht="15.75" customHeight="1" s="2">
      <c r="A1522" s="506" t="inlineStr">
        <is>
          <t>Who is being Trained</t>
        </is>
      </c>
      <c r="C1522" s="549" t="inlineStr">
        <is>
          <t>4 New Starters (25/pp)</t>
        </is>
      </c>
      <c r="D1522" s="559" t="n"/>
      <c r="E1522" s="514" t="n"/>
      <c r="F1522" s="531" t="inlineStr">
        <is>
          <t>New Starter 25hrs</t>
        </is>
      </c>
      <c r="G1522" s="531" t="n"/>
      <c r="H1522" s="515" t="n"/>
      <c r="I1522" s="536" t="inlineStr">
        <is>
          <t>New Starter 20.00</t>
        </is>
      </c>
      <c r="J1522" s="531" t="n"/>
      <c r="K1522" s="515" t="n"/>
      <c r="L1522" s="536" t="n"/>
      <c r="M1522" s="532" t="n"/>
    </row>
    <row r="1523" ht="15.75" customHeight="1" s="2">
      <c r="C1523" s="550" t="n"/>
      <c r="D1523" s="560" t="n"/>
      <c r="E1523" s="514" t="n"/>
      <c r="F1523" s="531" t="n"/>
      <c r="G1523" s="530" t="n"/>
      <c r="H1523" s="516" t="n"/>
      <c r="I1523" s="537" t="n"/>
      <c r="J1523" s="530" t="n"/>
      <c r="K1523" s="516" t="n"/>
      <c r="L1523" s="542" t="n"/>
      <c r="M1523" s="530" t="n"/>
    </row>
    <row r="1524" ht="15.75" customHeight="1" s="2">
      <c r="C1524" s="550" t="n"/>
      <c r="D1524" s="527" t="n"/>
      <c r="E1524" s="514" t="n"/>
      <c r="F1524" s="531" t="n"/>
      <c r="G1524" s="530" t="n"/>
      <c r="H1524" s="516" t="n"/>
      <c r="I1524" s="537" t="n"/>
      <c r="J1524" s="530" t="n"/>
      <c r="K1524" s="516" t="n"/>
      <c r="L1524" s="542" t="inlineStr">
        <is>
          <t xml:space="preserve"> </t>
        </is>
      </c>
      <c r="M1524" s="539" t="n"/>
    </row>
    <row r="1525" ht="15.75" customHeight="1" s="2">
      <c r="C1525" s="551" t="n"/>
      <c r="D1525" s="561" t="n"/>
      <c r="E1525" s="519" t="n"/>
      <c r="F1525" s="517" t="n"/>
      <c r="G1525" s="518" t="n"/>
      <c r="H1525" s="516" t="n"/>
      <c r="I1525" s="537" t="n"/>
      <c r="J1525" s="530" t="n"/>
      <c r="K1525" s="516" t="n"/>
      <c r="L1525" s="537" t="n"/>
      <c r="M1525" s="539" t="n"/>
    </row>
    <row r="1526" ht="15.75" customHeight="1" s="2">
      <c r="C1526" s="551" t="n"/>
      <c r="D1526" s="528" t="n"/>
      <c r="E1526" s="519" t="n"/>
      <c r="F1526" s="517" t="n"/>
      <c r="G1526" s="518" t="n"/>
      <c r="H1526" s="516" t="n"/>
      <c r="I1526" s="537" t="n"/>
      <c r="J1526" s="533" t="n"/>
      <c r="K1526" s="516" t="n"/>
      <c r="L1526" s="537" t="n"/>
      <c r="M1526" s="540" t="n"/>
    </row>
    <row r="1527" ht="15.75" customHeight="1" s="2" thickBot="1">
      <c r="C1527" s="562" t="n"/>
      <c r="D1527" s="529" t="n"/>
      <c r="E1527" s="519" t="n"/>
      <c r="F1527" s="520" t="n"/>
      <c r="G1527" s="521" t="n"/>
      <c r="H1527" s="516" t="n"/>
      <c r="I1527" s="538" t="n"/>
      <c r="J1527" s="534" t="n"/>
      <c r="K1527" s="522" t="n"/>
      <c r="L1527" s="538" t="n"/>
      <c r="M1527" s="541" t="n"/>
    </row>
    <row r="1529" ht="15.75" customHeight="1" s="2" thickBot="1">
      <c r="K1529" s="819" t="inlineStr">
        <is>
          <t>used wkly analyis as payroll file missing</t>
        </is>
      </c>
    </row>
    <row r="1530" ht="15.75" customHeight="1" s="2" thickBot="1">
      <c r="B1530" s="1640" t="inlineStr">
        <is>
          <t>3.2.2020</t>
        </is>
      </c>
      <c r="C1530" s="1641" t="n"/>
      <c r="D1530" s="1502" t="n"/>
      <c r="E1530" s="1640" t="inlineStr">
        <is>
          <t>10.2.2020</t>
        </is>
      </c>
      <c r="F1530" s="1641" t="n"/>
      <c r="G1530" s="1502" t="n"/>
      <c r="H1530" s="1640" t="inlineStr">
        <is>
          <t>17.2.2020</t>
        </is>
      </c>
      <c r="I1530" s="1641" t="n"/>
      <c r="J1530" s="1502" t="n"/>
      <c r="K1530" s="1640" t="inlineStr">
        <is>
          <t>24.2.2020</t>
        </is>
      </c>
      <c r="L1530" s="1641" t="n"/>
      <c r="M1530" s="1502" t="n"/>
    </row>
    <row r="1531" ht="15.75" customHeight="1" s="2" thickBot="1">
      <c r="A1531" s="455" t="n"/>
      <c r="B1531" s="456" t="inlineStr">
        <is>
          <t>LAST YEAR</t>
        </is>
      </c>
      <c r="C1531" s="457" t="inlineStr">
        <is>
          <t>Actual</t>
        </is>
      </c>
      <c r="D1531" s="458" t="inlineStr">
        <is>
          <t>Projected</t>
        </is>
      </c>
      <c r="E1531" s="456" t="inlineStr">
        <is>
          <t>LAST YEAR</t>
        </is>
      </c>
      <c r="F1531" s="457" t="inlineStr">
        <is>
          <t>Actual</t>
        </is>
      </c>
      <c r="G1531" s="458" t="inlineStr">
        <is>
          <t>Projected</t>
        </is>
      </c>
      <c r="H1531" s="456" t="inlineStr">
        <is>
          <t>LAST YEAR</t>
        </is>
      </c>
      <c r="I1531" s="457" t="inlineStr">
        <is>
          <t>Actual</t>
        </is>
      </c>
      <c r="J1531" s="458" t="inlineStr">
        <is>
          <t>Projected</t>
        </is>
      </c>
      <c r="K1531" s="818" t="inlineStr">
        <is>
          <t>LAST YEAR</t>
        </is>
      </c>
      <c r="L1531" s="457" t="inlineStr">
        <is>
          <t>Actual</t>
        </is>
      </c>
      <c r="M1531" s="458" t="inlineStr">
        <is>
          <t>Projected</t>
        </is>
      </c>
    </row>
    <row r="1532" ht="15.75" customHeight="1" s="2">
      <c r="A1532" s="459" t="inlineStr">
        <is>
          <t>Total Receipts</t>
        </is>
      </c>
      <c r="B1532" s="1620" t="n">
        <v>155567.55</v>
      </c>
      <c r="C1532" s="1631" t="n">
        <v>121999.16</v>
      </c>
      <c r="D1532" s="1622" t="n">
        <v>153228</v>
      </c>
      <c r="E1532" s="1620" t="n">
        <v>190681.87</v>
      </c>
      <c r="F1532" s="1631" t="n"/>
      <c r="G1532" s="1622" t="n">
        <v>169065</v>
      </c>
      <c r="H1532" s="1620" t="n">
        <v>164679.34</v>
      </c>
      <c r="I1532" s="1631" t="n">
        <v>92505.44</v>
      </c>
      <c r="J1532" s="1622" t="n">
        <v>141227</v>
      </c>
      <c r="K1532" s="1620" t="n">
        <v>141697</v>
      </c>
      <c r="L1532" s="1631" t="n">
        <v>126975.3</v>
      </c>
      <c r="M1532" s="1622" t="n">
        <v>141345</v>
      </c>
      <c r="N1532" s="454">
        <f>M1532-L1532</f>
        <v/>
      </c>
    </row>
    <row r="1533" ht="15.75" customHeight="1" s="2">
      <c r="A1533" s="462" t="inlineStr">
        <is>
          <t>Nett Sales</t>
        </is>
      </c>
      <c r="B1533" s="1623" t="n">
        <v>141425.0454545454</v>
      </c>
      <c r="C1533" s="1632" t="n">
        <v>110908</v>
      </c>
      <c r="D1533" s="1625" t="n">
        <v>139297</v>
      </c>
      <c r="E1533" s="1636" t="n">
        <v>173347.1545454545</v>
      </c>
      <c r="F1533" s="1632" t="n"/>
      <c r="G1533" s="1637" t="n">
        <v>153695</v>
      </c>
      <c r="H1533" s="1623" t="n">
        <v>149708</v>
      </c>
      <c r="I1533" s="1632" t="n">
        <v>84095.85000000001</v>
      </c>
      <c r="J1533" s="1625" t="n">
        <v>128387.7</v>
      </c>
      <c r="K1533" s="1623" t="n">
        <v>128815</v>
      </c>
      <c r="L1533" s="1632" t="n">
        <v>115432.09</v>
      </c>
      <c r="M1533" s="1625">
        <f>M1532/1.1</f>
        <v/>
      </c>
    </row>
    <row r="1534" ht="15.75" customHeight="1" s="2">
      <c r="A1534" s="462" t="inlineStr">
        <is>
          <t>Customers</t>
        </is>
      </c>
      <c r="B1534" s="485" t="n">
        <v>6487</v>
      </c>
      <c r="C1534" s="565" t="n">
        <v>5729</v>
      </c>
      <c r="D1534" s="466" t="n">
        <v>7425</v>
      </c>
      <c r="E1534" s="1642" t="n">
        <v>9031</v>
      </c>
      <c r="F1534" s="565" t="n"/>
      <c r="G1534" s="466" t="n">
        <v>8165</v>
      </c>
      <c r="H1534" s="485" t="n">
        <v>7631</v>
      </c>
      <c r="I1534" s="565" t="n">
        <v>4272</v>
      </c>
      <c r="J1534" s="466" t="n">
        <v>6869</v>
      </c>
      <c r="K1534" s="485" t="n">
        <v>6830</v>
      </c>
      <c r="L1534" s="565" t="n">
        <v>6309</v>
      </c>
      <c r="M1534" s="466" t="n">
        <v>6845</v>
      </c>
    </row>
    <row r="1535" ht="15.75" customHeight="1" s="2">
      <c r="A1535" s="462" t="inlineStr">
        <is>
          <t>Average Customer Spend</t>
        </is>
      </c>
      <c r="B1535" s="1626" t="n">
        <v>23.98143209495915</v>
      </c>
      <c r="C1535" s="1638" t="n">
        <v>21.3</v>
      </c>
      <c r="D1535" s="1628" t="n">
        <v>20.64</v>
      </c>
      <c r="E1535" s="1626" t="n">
        <v>21.11414793489093</v>
      </c>
      <c r="F1535" s="1635" t="n"/>
      <c r="G1535" s="1628" t="n">
        <v>20.71</v>
      </c>
      <c r="H1535" s="1626">
        <f>H1532/7631</f>
        <v/>
      </c>
      <c r="I1535" s="1635">
        <f>I1532/I1534</f>
        <v/>
      </c>
      <c r="J1535" s="1628" t="n">
        <v>20.56</v>
      </c>
      <c r="K1535" s="1626" t="n">
        <v>20.75</v>
      </c>
      <c r="L1535" s="1635">
        <f>L1532/6309</f>
        <v/>
      </c>
      <c r="M1535" s="1628" t="n">
        <v>20.65</v>
      </c>
    </row>
    <row r="1536" ht="15.75" customHeight="1" s="2">
      <c r="A1536" s="462" t="inlineStr">
        <is>
          <t>Wage % to Total Receipts</t>
        </is>
      </c>
      <c r="B1536" s="487" t="n">
        <v>0.332</v>
      </c>
      <c r="C1536" s="567" t="n">
        <v>0.4155</v>
      </c>
      <c r="D1536" s="470" t="n">
        <v>0.374</v>
      </c>
      <c r="E1536" s="487" t="n">
        <v>0.3188</v>
      </c>
      <c r="F1536" s="567" t="n"/>
      <c r="G1536" s="470" t="n">
        <v>0.3252</v>
      </c>
      <c r="H1536" s="487" t="n">
        <v>0.3173</v>
      </c>
      <c r="I1536" s="567" t="n">
        <v>0.4876</v>
      </c>
      <c r="J1536" s="470" t="n">
        <v>0.3627</v>
      </c>
      <c r="K1536" s="487" t="n"/>
      <c r="L1536" s="567" t="n">
        <v>0.3561</v>
      </c>
      <c r="M1536" s="470" t="n">
        <v>0.3332</v>
      </c>
    </row>
    <row r="1537" ht="15.75" customHeight="1" s="2">
      <c r="A1537" s="462" t="inlineStr">
        <is>
          <t>Wage % to Nett Sales</t>
        </is>
      </c>
      <c r="B1537" s="487" t="n">
        <v>0.364</v>
      </c>
      <c r="C1537" s="567" t="n">
        <v>0.4571</v>
      </c>
      <c r="D1537" s="470" t="n">
        <v>0.4114</v>
      </c>
      <c r="E1537" s="487" t="n">
        <v>0.3027</v>
      </c>
      <c r="F1537" s="567" t="n"/>
      <c r="G1537" s="470" t="n">
        <v>0.3577</v>
      </c>
      <c r="H1537" s="487" t="n">
        <v>0.349</v>
      </c>
      <c r="I1537" s="567" t="n">
        <v>0.5364</v>
      </c>
      <c r="J1537" s="470" t="n">
        <v>0.399</v>
      </c>
      <c r="K1537" s="487" t="n">
        <v>0.3406</v>
      </c>
      <c r="L1537" s="567" t="n">
        <v>0.3917</v>
      </c>
      <c r="M1537" s="470" t="n">
        <v>0.3665</v>
      </c>
    </row>
    <row r="1538" ht="15.75" customHeight="1" s="2">
      <c r="A1538" s="462" t="inlineStr">
        <is>
          <t>Productivity</t>
        </is>
      </c>
      <c r="B1538" s="488" t="n">
        <v>4.96</v>
      </c>
      <c r="C1538" s="568" t="n">
        <v>3.74</v>
      </c>
      <c r="D1538" s="472" t="n">
        <v>4.47</v>
      </c>
      <c r="E1538" s="488" t="n">
        <v>5.55</v>
      </c>
      <c r="F1538" s="568" t="n"/>
      <c r="G1538" s="472" t="n">
        <v>5.12</v>
      </c>
      <c r="H1538" s="488" t="n">
        <v>4.93</v>
      </c>
      <c r="I1538" s="568" t="n">
        <v>3.15</v>
      </c>
      <c r="J1538" s="472" t="n">
        <v>4.56</v>
      </c>
      <c r="K1538" s="488" t="n">
        <v>4.98</v>
      </c>
      <c r="L1538" s="568" t="n">
        <v>4.66</v>
      </c>
      <c r="M1538" s="472" t="n">
        <v>4.94</v>
      </c>
    </row>
    <row r="1539" ht="15.75" customHeight="1" s="2">
      <c r="A1539" s="462" t="inlineStr">
        <is>
          <t>Average Hourly Rate</t>
        </is>
      </c>
      <c r="B1539" s="1629" t="n">
        <v>34.03</v>
      </c>
      <c r="C1539" s="568" t="n">
        <v>33.04</v>
      </c>
      <c r="D1539" s="1628" t="n">
        <v>34.5</v>
      </c>
      <c r="E1539" s="1629" t="n">
        <v>33.97</v>
      </c>
      <c r="F1539" s="568" t="n"/>
      <c r="G1539" s="1628" t="n">
        <v>34.5</v>
      </c>
      <c r="H1539" s="1629" t="n">
        <v>33.77</v>
      </c>
      <c r="I1539" s="568" t="n">
        <v>33.28</v>
      </c>
      <c r="J1539" s="1628" t="n">
        <v>34</v>
      </c>
      <c r="K1539" s="1629" t="n">
        <v>33.5</v>
      </c>
      <c r="L1539" s="568" t="n">
        <v>33.4</v>
      </c>
      <c r="M1539" s="1628" t="n">
        <v>34</v>
      </c>
    </row>
    <row r="1540" ht="15.75" customHeight="1" s="2">
      <c r="A1540" s="462" t="inlineStr">
        <is>
          <t>Total hours for productivity</t>
        </is>
      </c>
      <c r="B1540" s="485" t="n">
        <v>1514</v>
      </c>
      <c r="C1540" s="568" t="n">
        <v>1531</v>
      </c>
      <c r="D1540" s="466" t="n">
        <v>1661</v>
      </c>
      <c r="E1540" s="485" t="n">
        <v>1629</v>
      </c>
      <c r="F1540" s="568" t="n"/>
      <c r="G1540" s="466" t="n">
        <v>1593.5</v>
      </c>
      <c r="H1540" s="485" t="n"/>
      <c r="I1540" s="568" t="n">
        <v>1355.5</v>
      </c>
      <c r="J1540" s="466" t="n">
        <v>1506.5</v>
      </c>
      <c r="K1540" s="485" t="n">
        <v>1371</v>
      </c>
      <c r="L1540" s="568" t="n">
        <v>1353.75</v>
      </c>
      <c r="M1540" s="466" t="n">
        <v>1340</v>
      </c>
    </row>
    <row r="1541" ht="15.75" customHeight="1" s="2">
      <c r="A1541" s="462" t="inlineStr">
        <is>
          <t>Training Hours used</t>
        </is>
      </c>
      <c r="B1541" s="485" t="n"/>
      <c r="C1541" s="569" t="n">
        <v>67.5</v>
      </c>
      <c r="D1541" s="466" t="n">
        <v>50</v>
      </c>
      <c r="E1541" s="485" t="n"/>
      <c r="F1541" s="569" t="n"/>
      <c r="G1541" s="466" t="n"/>
      <c r="H1541" s="485" t="n"/>
      <c r="I1541" s="569" t="n"/>
      <c r="J1541" s="466" t="n"/>
      <c r="K1541" s="485" t="n"/>
      <c r="L1541" s="569" t="n">
        <v>25</v>
      </c>
      <c r="M1541" s="466" t="n"/>
    </row>
    <row r="1542" ht="15.75" customHeight="1" s="2" thickBot="1">
      <c r="A1542" s="474" t="inlineStr">
        <is>
          <t>Number of hours used to cover sick leave</t>
        </is>
      </c>
      <c r="B1542" s="490" t="n"/>
      <c r="C1542" s="570" t="n">
        <v>16.5</v>
      </c>
      <c r="D1542" s="476" t="n"/>
      <c r="E1542" s="490" t="n"/>
      <c r="F1542" s="570" t="n"/>
      <c r="G1542" s="476" t="n"/>
      <c r="H1542" s="490" t="n"/>
      <c r="I1542" s="475" t="n"/>
      <c r="J1542" s="476" t="n"/>
      <c r="K1542" s="490" t="n"/>
      <c r="L1542" s="570">
        <f>7.5+5+5+0.5+1+0.5+0.25+4.5</f>
        <v/>
      </c>
      <c r="M1542" s="476" t="n"/>
    </row>
    <row r="1543" ht="15.75" customHeight="1" s="2" thickBot="1">
      <c r="A1543" s="477" t="inlineStr">
        <is>
          <t xml:space="preserve">Minimum Hours </t>
        </is>
      </c>
      <c r="B1543" s="491" t="inlineStr">
        <is>
          <t>Projected</t>
        </is>
      </c>
      <c r="C1543" s="478" t="inlineStr">
        <is>
          <t>Rostered</t>
        </is>
      </c>
      <c r="D1543" s="503" t="n"/>
      <c r="E1543" s="491" t="inlineStr">
        <is>
          <t>Projected</t>
        </is>
      </c>
      <c r="F1543" s="478" t="inlineStr">
        <is>
          <t>Rostered</t>
        </is>
      </c>
      <c r="G1543" s="503" t="n"/>
      <c r="H1543" s="815" t="inlineStr">
        <is>
          <t xml:space="preserve">Minimum </t>
        </is>
      </c>
      <c r="I1543" s="816" t="inlineStr">
        <is>
          <t>Projected</t>
        </is>
      </c>
      <c r="J1543" s="817" t="inlineStr">
        <is>
          <t>Rostered</t>
        </is>
      </c>
      <c r="K1543" s="815" t="inlineStr">
        <is>
          <t xml:space="preserve">Minimum </t>
        </is>
      </c>
      <c r="L1543" s="816" t="inlineStr">
        <is>
          <t>Projected</t>
        </is>
      </c>
      <c r="M1543" s="817" t="inlineStr">
        <is>
          <t>Rostered</t>
        </is>
      </c>
    </row>
    <row r="1544" ht="15.75" customHeight="1" s="2">
      <c r="A1544" s="479" t="inlineStr">
        <is>
          <t>Floor</t>
        </is>
      </c>
      <c r="B1544" s="492" t="n">
        <v>743</v>
      </c>
      <c r="C1544" s="480" t="n">
        <v>886</v>
      </c>
      <c r="D1544" s="504" t="n"/>
      <c r="E1544" s="492" t="n">
        <v>817</v>
      </c>
      <c r="F1544" s="480" t="n">
        <v>854</v>
      </c>
      <c r="G1544" s="504" t="n"/>
      <c r="H1544" s="809" t="n">
        <v>787</v>
      </c>
      <c r="I1544" s="810" t="n">
        <v>687</v>
      </c>
      <c r="J1544" s="811" t="n">
        <v>787</v>
      </c>
      <c r="K1544" s="809" t="n">
        <v>737</v>
      </c>
      <c r="L1544" s="810" t="n">
        <v>717</v>
      </c>
      <c r="M1544" s="811" t="n">
        <v>742</v>
      </c>
    </row>
    <row r="1545" ht="15.75" customHeight="1" s="2" thickBot="1">
      <c r="A1545" s="481" t="inlineStr">
        <is>
          <t>Kitchen</t>
        </is>
      </c>
      <c r="B1545" s="493" t="n">
        <v>608</v>
      </c>
      <c r="C1545" s="1242" t="n">
        <v>775</v>
      </c>
      <c r="D1545" s="505" t="n"/>
      <c r="E1545" s="493" t="n">
        <v>668</v>
      </c>
      <c r="F1545" s="1242" t="n">
        <v>740</v>
      </c>
      <c r="G1545" s="505" t="n"/>
      <c r="H1545" s="812">
        <f>563+38+38</f>
        <v/>
      </c>
      <c r="I1545" s="813" t="n">
        <v>562</v>
      </c>
      <c r="J1545" s="814" t="n">
        <v>720</v>
      </c>
      <c r="K1545" s="812">
        <f>673-23</f>
        <v/>
      </c>
      <c r="L1545" s="813" t="n">
        <v>587</v>
      </c>
      <c r="M1545" s="814" t="n">
        <v>648</v>
      </c>
    </row>
    <row r="1546" ht="15.75" customHeight="1" s="2" thickBot="1"/>
    <row r="1547" ht="15.75" customHeight="1" s="2" thickBot="1">
      <c r="A1547" s="506" t="inlineStr">
        <is>
          <t>Training explanation</t>
        </is>
      </c>
      <c r="C1547" s="523" t="inlineStr">
        <is>
          <t>Floor</t>
        </is>
      </c>
      <c r="D1547" s="524" t="inlineStr">
        <is>
          <t>Kitchen</t>
        </is>
      </c>
      <c r="E1547" s="509" t="n"/>
      <c r="F1547" s="507" t="inlineStr">
        <is>
          <t>Floor</t>
        </is>
      </c>
      <c r="G1547" s="508" t="inlineStr">
        <is>
          <t>Kitchen</t>
        </is>
      </c>
      <c r="H1547" s="510" t="n"/>
      <c r="I1547" s="535" t="n"/>
      <c r="J1547" s="511" t="n"/>
      <c r="K1547" s="512" t="n"/>
      <c r="L1547" s="535" t="inlineStr">
        <is>
          <t xml:space="preserve">floor </t>
        </is>
      </c>
      <c r="M1547" s="513" t="inlineStr">
        <is>
          <t>kitchen</t>
        </is>
      </c>
    </row>
    <row r="1548" ht="15.75" customHeight="1" s="2">
      <c r="A1548" s="506" t="inlineStr">
        <is>
          <t>Who is being Trained</t>
        </is>
      </c>
      <c r="C1548" s="549" t="inlineStr">
        <is>
          <t>25 hrs new starter</t>
        </is>
      </c>
      <c r="D1548" s="525" t="inlineStr">
        <is>
          <t>42.5hrs new starter</t>
        </is>
      </c>
      <c r="E1548" s="514" t="n"/>
      <c r="F1548" s="531" t="n"/>
      <c r="G1548" s="531" t="n"/>
      <c r="H1548" s="515" t="n"/>
      <c r="I1548" s="531" t="n"/>
      <c r="J1548" s="531" t="n"/>
      <c r="K1548" s="515" t="n"/>
      <c r="L1548" s="536" t="inlineStr">
        <is>
          <t>25-New Starter</t>
        </is>
      </c>
      <c r="M1548" s="532" t="n"/>
    </row>
    <row r="1549" ht="15.75" customHeight="1" s="2">
      <c r="C1549" s="550" t="n"/>
      <c r="D1549" s="560" t="n"/>
      <c r="E1549" s="514" t="n"/>
      <c r="F1549" s="531" t="n"/>
      <c r="G1549" s="530" t="n"/>
      <c r="H1549" s="516" t="n"/>
      <c r="I1549" s="537" t="n"/>
      <c r="J1549" s="530" t="n"/>
      <c r="K1549" s="516" t="n"/>
      <c r="L1549" s="542" t="n"/>
      <c r="M1549" s="530" t="n"/>
    </row>
    <row r="1550" ht="15.75" customHeight="1" s="2">
      <c r="C1550" s="550" t="n"/>
      <c r="D1550" s="527" t="n"/>
      <c r="E1550" s="514" t="n"/>
      <c r="F1550" s="531" t="n"/>
      <c r="G1550" s="530" t="n"/>
      <c r="H1550" s="516" t="n"/>
      <c r="I1550" s="537" t="n"/>
      <c r="J1550" s="530" t="n"/>
      <c r="K1550" s="516" t="n"/>
      <c r="L1550" s="542" t="n"/>
      <c r="M1550" s="539" t="n"/>
    </row>
    <row r="1551" ht="15.75" customHeight="1" s="2">
      <c r="C1551" s="551" t="n"/>
      <c r="D1551" s="561" t="n"/>
      <c r="E1551" s="519" t="n"/>
      <c r="F1551" s="517" t="n"/>
      <c r="G1551" s="518" t="n"/>
      <c r="H1551" s="516" t="n"/>
      <c r="I1551" s="537" t="n"/>
      <c r="J1551" s="530" t="n"/>
      <c r="K1551" s="516" t="n"/>
      <c r="L1551" s="537" t="n"/>
      <c r="M1551" s="539" t="n"/>
    </row>
    <row r="1552" ht="15.75" customHeight="1" s="2">
      <c r="C1552" s="551" t="n"/>
      <c r="D1552" s="528" t="n"/>
      <c r="E1552" s="519" t="n"/>
      <c r="F1552" s="517" t="n"/>
      <c r="G1552" s="518" t="n"/>
      <c r="H1552" s="516" t="n"/>
      <c r="I1552" s="537" t="n"/>
      <c r="J1552" s="533" t="n"/>
      <c r="K1552" s="516" t="n"/>
      <c r="L1552" s="537" t="n"/>
      <c r="M1552" s="540" t="n"/>
    </row>
    <row r="1553" ht="15.75" customHeight="1" s="2" thickBot="1">
      <c r="C1553" s="562" t="n"/>
      <c r="D1553" s="529" t="n"/>
      <c r="E1553" s="519" t="n"/>
      <c r="F1553" s="520" t="n"/>
      <c r="G1553" s="521" t="n"/>
      <c r="H1553" s="516" t="n"/>
      <c r="I1553" s="538" t="n"/>
      <c r="J1553" s="534" t="n"/>
      <c r="K1553" s="522" t="n"/>
      <c r="L1553" s="538" t="n"/>
      <c r="M1553" s="541" t="n"/>
    </row>
    <row r="1554" ht="15.75" customHeight="1" s="2" thickBot="1">
      <c r="C1554" s="821" t="inlineStr">
        <is>
          <t>shrove+mardi gras</t>
        </is>
      </c>
    </row>
    <row r="1555" ht="15.75" customHeight="1" s="2" thickBot="1">
      <c r="B1555" s="1640" t="inlineStr">
        <is>
          <t>2.3.2020</t>
        </is>
      </c>
      <c r="C1555" s="1641" t="n"/>
      <c r="D1555" s="1502" t="n"/>
      <c r="E1555" s="1640" t="inlineStr">
        <is>
          <t>9.3.2020</t>
        </is>
      </c>
      <c r="F1555" s="1641" t="n"/>
      <c r="G1555" s="1502" t="n"/>
      <c r="H1555" s="1640" t="inlineStr">
        <is>
          <t>16.3.2020</t>
        </is>
      </c>
      <c r="I1555" s="1641" t="n"/>
      <c r="J1555" s="1502" t="n"/>
      <c r="K1555" s="1640" t="inlineStr">
        <is>
          <t>23.3.2020</t>
        </is>
      </c>
      <c r="L1555" s="1641" t="n"/>
      <c r="M1555" s="1502" t="n"/>
      <c r="N1555" s="1640" t="inlineStr">
        <is>
          <t>30.3.2020</t>
        </is>
      </c>
      <c r="O1555" s="1641" t="n"/>
      <c r="P1555" s="1502" t="n"/>
    </row>
    <row r="1556" ht="15.75" customHeight="1" s="2" thickBot="1">
      <c r="A1556" s="455" t="n"/>
      <c r="B1556" s="456" t="inlineStr">
        <is>
          <t>LAST YEAR</t>
        </is>
      </c>
      <c r="C1556" s="820" t="inlineStr">
        <is>
          <t>Actual</t>
        </is>
      </c>
      <c r="D1556" s="458" t="inlineStr">
        <is>
          <t>Projected</t>
        </is>
      </c>
      <c r="E1556" s="456" t="inlineStr">
        <is>
          <t>LAST YEAR</t>
        </is>
      </c>
      <c r="F1556" s="457" t="inlineStr">
        <is>
          <t>Actual</t>
        </is>
      </c>
      <c r="G1556" s="458" t="inlineStr">
        <is>
          <t>Projected</t>
        </is>
      </c>
      <c r="H1556" s="456" t="inlineStr">
        <is>
          <t>LAST YEAR</t>
        </is>
      </c>
      <c r="I1556" s="457" t="inlineStr">
        <is>
          <t>Actual</t>
        </is>
      </c>
      <c r="J1556" s="458" t="inlineStr">
        <is>
          <t>Projected</t>
        </is>
      </c>
      <c r="K1556" s="456" t="inlineStr">
        <is>
          <t>LAST YEAR</t>
        </is>
      </c>
      <c r="L1556" s="457" t="inlineStr">
        <is>
          <t>Actual</t>
        </is>
      </c>
      <c r="M1556" s="458" t="inlineStr">
        <is>
          <t>Projected</t>
        </is>
      </c>
      <c r="N1556" s="456" t="inlineStr">
        <is>
          <t>LAST YEAR</t>
        </is>
      </c>
      <c r="O1556" s="457" t="inlineStr">
        <is>
          <t>Actual</t>
        </is>
      </c>
      <c r="P1556" s="458" t="inlineStr">
        <is>
          <t>Projected</t>
        </is>
      </c>
    </row>
    <row r="1557" ht="15.75" customHeight="1" s="2">
      <c r="A1557" s="459" t="inlineStr">
        <is>
          <t>Total Receipts</t>
        </is>
      </c>
      <c r="B1557" s="1620" t="n">
        <v>131326</v>
      </c>
      <c r="C1557" s="1631" t="n">
        <v>129756</v>
      </c>
      <c r="D1557" s="1622" t="n">
        <v>139930</v>
      </c>
      <c r="E1557" s="1620" t="n">
        <v>142681</v>
      </c>
      <c r="F1557" s="1631" t="n">
        <v>110757</v>
      </c>
      <c r="G1557" s="1622" t="n">
        <v>132570</v>
      </c>
      <c r="H1557" s="1620" t="n">
        <v>137661.27</v>
      </c>
      <c r="I1557" s="1631" t="n">
        <v>93562.99000000001</v>
      </c>
      <c r="J1557" s="1622" t="n">
        <v>131688</v>
      </c>
      <c r="K1557" s="1620" t="n">
        <v>139162</v>
      </c>
      <c r="L1557" s="1631" t="n"/>
      <c r="M1557" s="1622" t="n">
        <v>87115</v>
      </c>
      <c r="N1557" s="1620" t="n">
        <v>133449.19</v>
      </c>
      <c r="O1557" s="1631" t="n"/>
      <c r="P1557" s="1622" t="n"/>
    </row>
    <row r="1558" ht="15.75" customHeight="1" s="2">
      <c r="A1558" s="462" t="inlineStr">
        <is>
          <t>Nett Sales</t>
        </is>
      </c>
      <c r="B1558" s="1623" t="n">
        <v>119387.2727272727</v>
      </c>
      <c r="C1558" s="1632" t="n">
        <v>117960</v>
      </c>
      <c r="D1558" s="1625">
        <f>D1557/1.1</f>
        <v/>
      </c>
      <c r="E1558" s="1636" t="n">
        <v>129710</v>
      </c>
      <c r="F1558" s="1632" t="n">
        <v>100688.52</v>
      </c>
      <c r="G1558" s="1637" t="n">
        <v>120517</v>
      </c>
      <c r="H1558" s="1623" t="n">
        <v>125146.6090909091</v>
      </c>
      <c r="I1558" s="1632" t="n">
        <v>85057.25999999999</v>
      </c>
      <c r="J1558" s="1625" t="n">
        <v>119879</v>
      </c>
      <c r="K1558" s="1623" t="n">
        <v>126510.9090909091</v>
      </c>
      <c r="L1558" s="1632" t="n"/>
      <c r="M1558" s="1625" t="n">
        <v>79195</v>
      </c>
      <c r="N1558" s="1623" t="n">
        <v>121317.4454545455</v>
      </c>
      <c r="O1558" s="1632" t="n"/>
      <c r="P1558" s="1625" t="n"/>
    </row>
    <row r="1559" ht="15.75" customHeight="1" s="2">
      <c r="A1559" s="462" t="inlineStr">
        <is>
          <t>Customers</t>
        </is>
      </c>
      <c r="B1559" s="485" t="n">
        <v>6370</v>
      </c>
      <c r="C1559" s="565" t="n">
        <v>5997</v>
      </c>
      <c r="D1559" s="466" t="n">
        <v>6870</v>
      </c>
      <c r="E1559" s="1642" t="n">
        <v>6891</v>
      </c>
      <c r="F1559" s="565" t="n">
        <v>5418</v>
      </c>
      <c r="G1559" s="466" t="n">
        <v>6470</v>
      </c>
      <c r="H1559" s="485" t="n">
        <v>6785</v>
      </c>
      <c r="I1559" s="565" t="n">
        <v>4607</v>
      </c>
      <c r="J1559" s="466" t="n">
        <v>6445</v>
      </c>
      <c r="K1559" s="485" t="n">
        <v>6592</v>
      </c>
      <c r="L1559" s="565" t="n"/>
      <c r="M1559" s="466" t="n">
        <v>4280</v>
      </c>
      <c r="N1559" s="485" t="n">
        <v>6503</v>
      </c>
      <c r="O1559" s="565" t="n"/>
      <c r="P1559" s="466" t="n"/>
    </row>
    <row r="1560" ht="15.75" customHeight="1" s="2">
      <c r="A1560" s="462" t="inlineStr">
        <is>
          <t>Average Customer Spend</t>
        </is>
      </c>
      <c r="B1560" s="1626" t="n">
        <v>20.61632653061224</v>
      </c>
      <c r="C1560" s="1638" t="n">
        <v>21.64</v>
      </c>
      <c r="D1560" s="1628" t="n">
        <v>20.37</v>
      </c>
      <c r="E1560" s="1626" t="n">
        <v>20.70541285735017</v>
      </c>
      <c r="F1560" s="1635">
        <f>F1557/5418</f>
        <v/>
      </c>
      <c r="G1560" s="1628">
        <f>G1557/G1559</f>
        <v/>
      </c>
      <c r="H1560" s="1626" t="n">
        <v>20.28905969049373</v>
      </c>
      <c r="I1560" s="1635">
        <f>I1557/4607</f>
        <v/>
      </c>
      <c r="J1560" s="1628" t="n">
        <v>20.46</v>
      </c>
      <c r="K1560" s="1626" t="n">
        <v>21.11074029126214</v>
      </c>
      <c r="L1560" s="1635" t="n"/>
      <c r="M1560" s="1628" t="n">
        <v>20.35</v>
      </c>
      <c r="N1560" s="1626" t="n">
        <v>20.52117330462863</v>
      </c>
      <c r="O1560" s="1635" t="n"/>
      <c r="P1560" s="1628" t="n"/>
    </row>
    <row r="1561" ht="15.75" customHeight="1" s="2">
      <c r="A1561" s="462" t="inlineStr">
        <is>
          <t>Wage % to Total Receipts</t>
        </is>
      </c>
      <c r="B1561" s="487" t="n">
        <v>0.3547433866865662</v>
      </c>
      <c r="C1561" s="567" t="n">
        <v>0.3637</v>
      </c>
      <c r="D1561" s="470" t="n">
        <v>0.3608</v>
      </c>
      <c r="E1561" s="487" t="n">
        <v>0.346</v>
      </c>
      <c r="F1561" s="567" t="n">
        <v>0.4139</v>
      </c>
      <c r="G1561" s="470" t="n">
        <v>0.355</v>
      </c>
      <c r="H1561" s="487" t="n">
        <v>0.3378351623517639</v>
      </c>
      <c r="I1561" s="567" t="n">
        <v>0.4707</v>
      </c>
      <c r="J1561" s="470" t="n">
        <v>0.3633</v>
      </c>
      <c r="K1561" s="487" t="n">
        <v>0.3439387189031489</v>
      </c>
      <c r="L1561" s="567" t="n"/>
      <c r="M1561" s="470" t="n">
        <v>0.5033</v>
      </c>
      <c r="N1561" s="487" t="n">
        <v>0.328546673831441</v>
      </c>
      <c r="O1561" s="567" t="n"/>
      <c r="P1561" s="470" t="n"/>
    </row>
    <row r="1562" ht="15.75" customHeight="1" s="2">
      <c r="A1562" s="462" t="inlineStr">
        <is>
          <t>Wage % to Nett Sales</t>
        </is>
      </c>
      <c r="B1562" s="487" t="n">
        <v>0.3902177253552229</v>
      </c>
      <c r="C1562" s="567" t="n">
        <v>0.4001</v>
      </c>
      <c r="D1562" s="470" t="n">
        <v>0.3969</v>
      </c>
      <c r="E1562" s="487" t="n">
        <v>0.3806</v>
      </c>
      <c r="F1562" s="567" t="n">
        <v>0.4553</v>
      </c>
      <c r="G1562" s="470" t="n">
        <v>0.3904</v>
      </c>
      <c r="H1562" s="487" t="n">
        <v>0.3716186785869404</v>
      </c>
      <c r="I1562" s="567" t="n">
        <v>0.5178</v>
      </c>
      <c r="J1562" s="470" t="n">
        <v>0.3966</v>
      </c>
      <c r="K1562" s="487" t="n">
        <v>0.3783325907934638</v>
      </c>
      <c r="L1562" s="567" t="n"/>
      <c r="M1562" s="470" t="n">
        <v>0.5536</v>
      </c>
      <c r="N1562" s="487" t="n">
        <v>0.3614013412145852</v>
      </c>
      <c r="O1562" s="567" t="n"/>
      <c r="P1562" s="470" t="n"/>
    </row>
    <row r="1563" ht="15.75" customHeight="1" s="2">
      <c r="A1563" s="462" t="inlineStr">
        <is>
          <t>Productivity</t>
        </is>
      </c>
      <c r="B1563" s="488" t="n">
        <v>4.680382072005878</v>
      </c>
      <c r="C1563" s="568" t="n">
        <v>4.22</v>
      </c>
      <c r="D1563" s="472" t="n">
        <v>4.63</v>
      </c>
      <c r="E1563" s="488" t="n">
        <v>4.72</v>
      </c>
      <c r="F1563" s="568" t="n">
        <v>3.97</v>
      </c>
      <c r="G1563" s="472" t="n">
        <v>4.43</v>
      </c>
      <c r="H1563" s="488" t="n">
        <v>4.958889091905719</v>
      </c>
      <c r="I1563" s="568" t="n">
        <v>3.67</v>
      </c>
      <c r="J1563" s="472" t="n">
        <v>4.57</v>
      </c>
      <c r="K1563" s="488" t="n">
        <v>4.847949990807134</v>
      </c>
      <c r="L1563" s="568" t="n"/>
      <c r="M1563" s="472" t="n">
        <v>3.32</v>
      </c>
      <c r="N1563" s="488" t="n">
        <v>4.940550807217474</v>
      </c>
      <c r="O1563" s="568" t="n"/>
      <c r="P1563" s="472" t="n"/>
    </row>
    <row r="1564" ht="15.75" customHeight="1" s="2">
      <c r="A1564" s="462" t="inlineStr">
        <is>
          <t>Average Hourly Rate</t>
        </is>
      </c>
      <c r="B1564" s="1629" t="n">
        <v>34.23</v>
      </c>
      <c r="C1564" s="568" t="n">
        <v>33.11</v>
      </c>
      <c r="D1564" s="1628" t="n">
        <v>34</v>
      </c>
      <c r="E1564" s="1629" t="n">
        <v>33.81</v>
      </c>
      <c r="F1564" s="568" t="n">
        <v>33.55</v>
      </c>
      <c r="G1564" s="1628" t="n">
        <v>34</v>
      </c>
      <c r="H1564" s="1629" t="n">
        <v>33.99</v>
      </c>
      <c r="I1564" s="568" t="n">
        <v>35.05</v>
      </c>
      <c r="J1564" s="1628" t="n">
        <v>34</v>
      </c>
      <c r="K1564" s="1629" t="n">
        <v>35.2</v>
      </c>
      <c r="L1564" s="568" t="n"/>
      <c r="M1564" s="1628" t="n">
        <v>34</v>
      </c>
      <c r="N1564" s="1629" t="n">
        <v>33.31</v>
      </c>
      <c r="O1564" s="568" t="n"/>
      <c r="P1564" s="1628" t="n"/>
    </row>
    <row r="1565" ht="15.75" customHeight="1" s="2">
      <c r="A1565" s="462" t="inlineStr">
        <is>
          <t>Total hours for productivity</t>
        </is>
      </c>
      <c r="B1565" s="485" t="n">
        <v>1361</v>
      </c>
      <c r="C1565" s="568" t="n">
        <v>1425.5</v>
      </c>
      <c r="D1565" s="466" t="n">
        <v>1443.5</v>
      </c>
      <c r="E1565" s="485" t="n">
        <v>1460</v>
      </c>
      <c r="F1565" s="568" t="n">
        <v>1366.25</v>
      </c>
      <c r="G1565" s="466" t="n">
        <v>1384</v>
      </c>
      <c r="H1565" s="485" t="n">
        <v>1368.25</v>
      </c>
      <c r="I1565" s="568" t="n">
        <v>1256</v>
      </c>
      <c r="J1565" s="472">
        <f>J1569+J1570</f>
        <v/>
      </c>
      <c r="K1565" s="485" t="n">
        <v>1359.75</v>
      </c>
      <c r="L1565" s="568" t="n"/>
      <c r="M1565" s="466" t="n">
        <v>1289.5</v>
      </c>
      <c r="N1565" s="485" t="n">
        <v>1316.25</v>
      </c>
      <c r="O1565" s="568" t="n"/>
      <c r="P1565" s="466" t="n"/>
    </row>
    <row r="1566" ht="15.75" customHeight="1" s="2">
      <c r="A1566" s="462" t="inlineStr">
        <is>
          <t>Training Hours used</t>
        </is>
      </c>
      <c r="B1566" s="485" t="n"/>
      <c r="C1566" s="569" t="n">
        <v>63.75</v>
      </c>
      <c r="D1566" s="466" t="n">
        <v>50.5</v>
      </c>
      <c r="E1566" s="485" t="n"/>
      <c r="F1566" s="569" t="n">
        <v>61</v>
      </c>
      <c r="G1566" s="466" t="n"/>
      <c r="H1566" s="485" t="n"/>
      <c r="I1566" s="569" t="n">
        <v>16</v>
      </c>
      <c r="J1566" s="466" t="n">
        <v>36</v>
      </c>
      <c r="K1566" s="485" t="n"/>
      <c r="L1566" s="569" t="n"/>
      <c r="M1566" s="466" t="n"/>
      <c r="N1566" s="485" t="n"/>
      <c r="O1566" s="569" t="n"/>
      <c r="P1566" s="466" t="n"/>
    </row>
    <row r="1567" ht="15.75" customHeight="1" s="2" thickBot="1">
      <c r="A1567" s="474" t="inlineStr">
        <is>
          <t>Number of hours used to cover sick leave</t>
        </is>
      </c>
      <c r="B1567" s="490" t="n"/>
      <c r="C1567" s="570" t="n"/>
      <c r="D1567" s="476" t="n"/>
      <c r="E1567" s="490" t="n"/>
      <c r="F1567" s="570" t="n">
        <v>12.5</v>
      </c>
      <c r="G1567" s="476" t="n"/>
      <c r="H1567" s="490" t="n"/>
      <c r="I1567" s="475" t="n">
        <v>17.5</v>
      </c>
      <c r="J1567" s="476" t="n"/>
      <c r="K1567" s="490" t="n"/>
      <c r="L1567" s="570" t="n"/>
      <c r="M1567" s="476" t="n"/>
      <c r="N1567" s="490" t="n"/>
      <c r="O1567" s="570" t="n"/>
      <c r="P1567" s="476" t="n"/>
    </row>
    <row r="1568" ht="15.75" customHeight="1" s="2" thickBot="1">
      <c r="A1568" s="477" t="inlineStr">
        <is>
          <t xml:space="preserve">Minimum Hours </t>
        </is>
      </c>
      <c r="B1568" s="815" t="inlineStr">
        <is>
          <t xml:space="preserve">Minimum </t>
        </is>
      </c>
      <c r="C1568" s="816" t="inlineStr">
        <is>
          <t>Projected</t>
        </is>
      </c>
      <c r="D1568" s="817" t="inlineStr">
        <is>
          <t>Rostered</t>
        </is>
      </c>
      <c r="E1568" s="815" t="inlineStr">
        <is>
          <t xml:space="preserve">Minimum </t>
        </is>
      </c>
      <c r="F1568" s="816" t="inlineStr">
        <is>
          <t>Projected</t>
        </is>
      </c>
      <c r="G1568" s="817" t="inlineStr">
        <is>
          <t>Rostered</t>
        </is>
      </c>
      <c r="H1568" s="815" t="inlineStr">
        <is>
          <t xml:space="preserve">Minimum </t>
        </is>
      </c>
      <c r="I1568" s="816" t="inlineStr">
        <is>
          <t>Projected</t>
        </is>
      </c>
      <c r="J1568" s="817" t="inlineStr">
        <is>
          <t>Rostered</t>
        </is>
      </c>
      <c r="K1568" s="815" t="inlineStr">
        <is>
          <t xml:space="preserve">Minimum </t>
        </is>
      </c>
      <c r="L1568" s="816" t="inlineStr">
        <is>
          <t>Projected</t>
        </is>
      </c>
      <c r="M1568" s="817" t="inlineStr">
        <is>
          <t>Rostered</t>
        </is>
      </c>
      <c r="N1568" s="815" t="inlineStr">
        <is>
          <t xml:space="preserve">Minimum </t>
        </is>
      </c>
      <c r="O1568" s="816" t="inlineStr">
        <is>
          <t>Projected</t>
        </is>
      </c>
      <c r="P1568" s="817" t="inlineStr">
        <is>
          <t>Rostered</t>
        </is>
      </c>
    </row>
    <row r="1569" ht="15.75" customHeight="1" s="2">
      <c r="A1569" s="479" t="inlineStr">
        <is>
          <t>Floor</t>
        </is>
      </c>
      <c r="B1569" s="809" t="n">
        <v>749</v>
      </c>
      <c r="C1569" s="810" t="n">
        <v>720</v>
      </c>
      <c r="D1569" s="811" t="n">
        <v>749</v>
      </c>
      <c r="E1569" s="809" t="n">
        <v>714</v>
      </c>
      <c r="F1569" s="810" t="n">
        <v>712</v>
      </c>
      <c r="G1569" s="811" t="n">
        <v>721</v>
      </c>
      <c r="H1569" s="809" t="n">
        <v>731</v>
      </c>
      <c r="I1569" s="810" t="n">
        <v>709</v>
      </c>
      <c r="J1569" s="811" t="n">
        <v>752</v>
      </c>
      <c r="K1569" s="809" t="n">
        <v>708</v>
      </c>
      <c r="L1569" s="810" t="n">
        <v>471</v>
      </c>
      <c r="M1569" s="811" t="n">
        <v>697</v>
      </c>
      <c r="N1569" s="809" t="n">
        <v>693</v>
      </c>
      <c r="O1569" s="810" t="n"/>
      <c r="P1569" s="811" t="n"/>
    </row>
    <row r="1570" ht="15.75" customHeight="1" s="2" thickBot="1">
      <c r="A1570" s="481" t="inlineStr">
        <is>
          <t>Kitchen</t>
        </is>
      </c>
      <c r="B1570" s="812" t="n">
        <v>701</v>
      </c>
      <c r="C1570" s="813" t="n">
        <v>589</v>
      </c>
      <c r="D1570" s="814" t="n">
        <v>736</v>
      </c>
      <c r="E1570" s="812">
        <f>38+38+15+38+38+38+38+25+15+15+15+15+15+15+15+25+15+15+15+30+20+30+15+30+25+25+15+8</f>
        <v/>
      </c>
      <c r="F1570" s="813" t="n">
        <v>582</v>
      </c>
      <c r="G1570" s="814" t="n">
        <v>663</v>
      </c>
      <c r="H1570" s="812" t="n">
        <v>586</v>
      </c>
      <c r="I1570" s="813" t="n">
        <v>580</v>
      </c>
      <c r="J1570" s="814" t="n">
        <v>657</v>
      </c>
      <c r="K1570" s="812" t="n">
        <v>586</v>
      </c>
      <c r="L1570" s="813" t="n">
        <v>385</v>
      </c>
      <c r="M1570" s="814" t="n">
        <v>593</v>
      </c>
      <c r="N1570" s="812" t="n">
        <v>540</v>
      </c>
      <c r="O1570" s="813" t="n"/>
      <c r="P1570" s="814" t="n"/>
    </row>
    <row r="1571" ht="15.75" customHeight="1" s="2" thickBot="1"/>
    <row r="1572" ht="15.75" customHeight="1" s="2" thickBot="1">
      <c r="A1572" s="506" t="inlineStr">
        <is>
          <t>Training explanation</t>
        </is>
      </c>
      <c r="C1572" s="523" t="inlineStr">
        <is>
          <t>Floor</t>
        </is>
      </c>
      <c r="D1572" s="524" t="inlineStr">
        <is>
          <t>Kitchen</t>
        </is>
      </c>
      <c r="E1572" s="509" t="n"/>
      <c r="F1572" s="507" t="inlineStr">
        <is>
          <t>Floor</t>
        </is>
      </c>
      <c r="G1572" s="508" t="inlineStr">
        <is>
          <t>Kitchen</t>
        </is>
      </c>
      <c r="H1572" s="510" t="n"/>
      <c r="I1572" s="535" t="n"/>
      <c r="J1572" s="511" t="n"/>
      <c r="K1572" s="512" t="n"/>
      <c r="L1572" s="535" t="inlineStr">
        <is>
          <t>kitchen</t>
        </is>
      </c>
      <c r="M1572" s="513" t="n"/>
      <c r="N1572" s="512" t="n"/>
      <c r="O1572" s="535" t="inlineStr">
        <is>
          <t>kitchen</t>
        </is>
      </c>
      <c r="P1572" s="513" t="n"/>
    </row>
    <row r="1573" ht="15.75" customHeight="1" s="2">
      <c r="A1573" s="506" t="inlineStr">
        <is>
          <t>Who is being Trained</t>
        </is>
      </c>
      <c r="C1573" s="549" t="inlineStr">
        <is>
          <t>15hrs bar/host</t>
        </is>
      </c>
      <c r="D1573" s="525" t="inlineStr">
        <is>
          <t>Prep T1/T2 14hrs</t>
        </is>
      </c>
      <c r="E1573" s="514" t="n"/>
      <c r="F1573" s="531" t="n"/>
      <c r="G1573" s="824" t="inlineStr">
        <is>
          <t>Asmita (prep) 16</t>
        </is>
      </c>
      <c r="H1573" s="515" t="n"/>
      <c r="I1573" s="531" t="n"/>
      <c r="J1573" s="824" t="inlineStr">
        <is>
          <t>Asmita (prep) 16</t>
        </is>
      </c>
      <c r="K1573" s="515" t="n"/>
      <c r="L1573" s="536" t="n"/>
      <c r="M1573" s="532" t="n"/>
      <c r="N1573" s="515" t="n"/>
      <c r="O1573" s="536" t="n"/>
      <c r="P1573" s="532" t="n"/>
    </row>
    <row r="1574" ht="15.75" customHeight="1" s="2">
      <c r="C1574" s="550" t="n"/>
      <c r="D1574" s="526" t="inlineStr">
        <is>
          <t>Milko T1/T2 6.5hrs</t>
        </is>
      </c>
      <c r="E1574" s="514" t="n"/>
      <c r="F1574" s="531" t="n"/>
      <c r="G1574" s="530" t="inlineStr">
        <is>
          <t>Aatish (crp)5</t>
        </is>
      </c>
      <c r="H1574" s="516" t="n"/>
      <c r="I1574" s="537" t="n"/>
      <c r="J1574" s="530" t="n"/>
      <c r="K1574" s="516" t="n"/>
      <c r="L1574" s="542" t="n"/>
      <c r="M1574" s="530" t="n"/>
      <c r="N1574" s="516" t="n"/>
      <c r="O1574" s="542" t="n"/>
      <c r="P1574" s="530" t="n"/>
    </row>
    <row r="1575" ht="15.75" customHeight="1" s="2">
      <c r="C1575" s="550" t="n"/>
      <c r="D1575" s="527" t="inlineStr">
        <is>
          <t>New Start  Kitchen 30 hrs</t>
        </is>
      </c>
      <c r="E1575" s="514" t="n"/>
      <c r="F1575" s="531" t="n"/>
      <c r="G1575" s="530" t="inlineStr">
        <is>
          <t>Gus (pizza) 15</t>
        </is>
      </c>
      <c r="H1575" s="516" t="n"/>
      <c r="I1575" s="537" t="n"/>
      <c r="J1575" s="530" t="n"/>
      <c r="K1575" s="516" t="n"/>
      <c r="L1575" s="542" t="n"/>
      <c r="M1575" s="539" t="n"/>
      <c r="N1575" s="516" t="n"/>
      <c r="O1575" s="542" t="n"/>
      <c r="P1575" s="539" t="n"/>
    </row>
    <row r="1576" ht="15.75" customHeight="1" s="2">
      <c r="C1576" s="551" t="n"/>
      <c r="D1576" s="561" t="n"/>
      <c r="E1576" s="519" t="n"/>
      <c r="F1576" s="517" t="n"/>
      <c r="G1576" s="518" t="inlineStr">
        <is>
          <t>Shaun (crep sec) 12</t>
        </is>
      </c>
      <c r="H1576" s="516" t="n"/>
      <c r="I1576" s="537" t="n"/>
      <c r="J1576" s="530" t="n"/>
      <c r="K1576" s="516" t="n"/>
      <c r="L1576" s="537" t="n"/>
      <c r="M1576" s="539" t="n"/>
      <c r="N1576" s="516" t="n"/>
      <c r="O1576" s="537" t="n"/>
      <c r="P1576" s="539" t="n"/>
    </row>
    <row r="1577" ht="15.75" customHeight="1" s="2">
      <c r="C1577" s="551" t="n"/>
      <c r="D1577" s="528" t="n"/>
      <c r="E1577" s="519" t="n"/>
      <c r="F1577" s="517" t="n"/>
      <c r="G1577" s="518" t="inlineStr">
        <is>
          <t>Bibek (milko)5</t>
        </is>
      </c>
      <c r="H1577" s="516" t="n"/>
      <c r="I1577" s="537" t="n"/>
      <c r="J1577" s="533" t="n"/>
      <c r="K1577" s="516" t="n"/>
      <c r="L1577" s="537" t="n"/>
      <c r="M1577" s="540" t="n"/>
      <c r="N1577" s="516" t="n"/>
      <c r="O1577" s="537" t="n"/>
      <c r="P1577" s="540" t="n"/>
    </row>
    <row r="1578" ht="15.75" customHeight="1" s="2" thickBot="1">
      <c r="C1578" s="562" t="n"/>
      <c r="D1578" s="529" t="n"/>
      <c r="E1578" s="519" t="n"/>
      <c r="F1578" s="520" t="n"/>
      <c r="G1578" s="521" t="inlineStr">
        <is>
          <t>Ferdous(8)bfast</t>
        </is>
      </c>
      <c r="H1578" s="516" t="n"/>
      <c r="I1578" s="538" t="n"/>
      <c r="J1578" s="534" t="n"/>
      <c r="K1578" s="522" t="n"/>
      <c r="L1578" s="538" t="n"/>
      <c r="M1578" s="541" t="n"/>
      <c r="N1578" s="522" t="n"/>
      <c r="O1578" s="538" t="n"/>
      <c r="P1578" s="541" t="n"/>
    </row>
    <row r="1579" ht="15.75" customHeight="1" s="2" thickBot="1">
      <c r="K1579" s="454" t="inlineStr">
        <is>
          <t>pro v act not complete</t>
        </is>
      </c>
    </row>
    <row r="1580" ht="15.75" customHeight="1" s="2" thickBot="1">
      <c r="B1580" s="1640" t="inlineStr">
        <is>
          <t>8.6.2020</t>
        </is>
      </c>
      <c r="C1580" s="1641" t="n"/>
      <c r="D1580" s="1502" t="n"/>
      <c r="E1580" s="1640" t="inlineStr">
        <is>
          <t>15.6.2020</t>
        </is>
      </c>
      <c r="F1580" s="1641" t="n"/>
      <c r="G1580" s="1502" t="n"/>
      <c r="H1580" s="1640" t="inlineStr">
        <is>
          <t>22.6.2020</t>
        </is>
      </c>
      <c r="I1580" s="1641" t="n"/>
      <c r="J1580" s="1502" t="n"/>
      <c r="K1580" s="1640" t="inlineStr">
        <is>
          <t>29.6.2020</t>
        </is>
      </c>
      <c r="L1580" s="1641" t="n"/>
      <c r="M1580" s="1502" t="n"/>
      <c r="N1580" s="1640" t="n"/>
      <c r="O1580" s="1641" t="n"/>
      <c r="P1580" s="1502" t="n"/>
    </row>
    <row r="1581" ht="15.75" customHeight="1" s="2" thickBot="1">
      <c r="A1581" s="455" t="n"/>
      <c r="B1581" s="829" t="inlineStr">
        <is>
          <t>LAST YEAR</t>
        </is>
      </c>
      <c r="C1581" s="830" t="inlineStr">
        <is>
          <t>Actual</t>
        </is>
      </c>
      <c r="D1581" s="831" t="inlineStr">
        <is>
          <t>Projected</t>
        </is>
      </c>
      <c r="E1581" s="829" t="inlineStr">
        <is>
          <t>LAST YEAR</t>
        </is>
      </c>
      <c r="F1581" s="830" t="inlineStr">
        <is>
          <t>Actual</t>
        </is>
      </c>
      <c r="G1581" s="831" t="inlineStr">
        <is>
          <t>Projected</t>
        </is>
      </c>
      <c r="H1581" s="829" t="inlineStr">
        <is>
          <t>LAST YEAR</t>
        </is>
      </c>
      <c r="I1581" s="830" t="inlineStr">
        <is>
          <t>Actual</t>
        </is>
      </c>
      <c r="J1581" s="831" t="inlineStr">
        <is>
          <t>Projected</t>
        </is>
      </c>
      <c r="K1581" s="829" t="inlineStr">
        <is>
          <t>LAST YEAR</t>
        </is>
      </c>
      <c r="L1581" s="830" t="inlineStr">
        <is>
          <t>Actual</t>
        </is>
      </c>
      <c r="M1581" s="831" t="inlineStr">
        <is>
          <t>Projected</t>
        </is>
      </c>
      <c r="N1581" s="829" t="inlineStr">
        <is>
          <t>LAST YEAR</t>
        </is>
      </c>
      <c r="O1581" s="830" t="inlineStr">
        <is>
          <t>Actual</t>
        </is>
      </c>
      <c r="P1581" s="831" t="inlineStr">
        <is>
          <t>Projected</t>
        </is>
      </c>
      <c r="Q1581" s="832" t="inlineStr">
        <is>
          <t>restricted to 50ppl max</t>
        </is>
      </c>
      <c r="R1581" s="832" t="n"/>
    </row>
    <row r="1582" ht="15.75" customHeight="1" s="2">
      <c r="A1582" s="459" t="inlineStr">
        <is>
          <t>Total Receipts</t>
        </is>
      </c>
      <c r="B1582" s="1620" t="n">
        <v>215351.4</v>
      </c>
      <c r="C1582" s="1631" t="n">
        <v>69832</v>
      </c>
      <c r="D1582" s="1622" t="n">
        <v>58179</v>
      </c>
      <c r="E1582" s="1620" t="n">
        <v>160795.17</v>
      </c>
      <c r="F1582" s="1631" t="n">
        <v>61068.58</v>
      </c>
      <c r="G1582" s="1622" t="n">
        <v>53897</v>
      </c>
      <c r="H1582" s="1620" t="n">
        <v>133060.83</v>
      </c>
      <c r="I1582" s="1631" t="n">
        <v>67937.14</v>
      </c>
      <c r="J1582" s="1622" t="n">
        <v>54968</v>
      </c>
      <c r="K1582" s="1620" t="n">
        <v>144900</v>
      </c>
      <c r="L1582" s="1631" t="n">
        <v>76152.39</v>
      </c>
      <c r="M1582" s="1622" t="n">
        <v>63443</v>
      </c>
      <c r="N1582" s="1620" t="n"/>
      <c r="O1582" s="1631" t="n"/>
      <c r="P1582" s="1622" t="n"/>
    </row>
    <row r="1583" ht="15.75" customHeight="1" s="2">
      <c r="A1583" s="462" t="inlineStr">
        <is>
          <t>Nett Sales</t>
        </is>
      </c>
      <c r="B1583" s="1623" t="n">
        <v>195774</v>
      </c>
      <c r="C1583" s="1632">
        <f>C1582/1.1</f>
        <v/>
      </c>
      <c r="D1583" s="1625" t="n">
        <v>52890</v>
      </c>
      <c r="E1583" s="1636" t="n">
        <v>146177.4272727273</v>
      </c>
      <c r="F1583" s="1632" t="n">
        <v>55516.89</v>
      </c>
      <c r="G1583" s="1637" t="n">
        <v>48996</v>
      </c>
      <c r="H1583" s="1623" t="n">
        <v>120964.3909090909</v>
      </c>
      <c r="I1583" s="1632" t="n">
        <v>61761.04</v>
      </c>
      <c r="J1583" s="1625" t="n">
        <v>49970</v>
      </c>
      <c r="K1583" s="1623" t="n">
        <v>131728</v>
      </c>
      <c r="L1583" s="1632" t="n">
        <v>69229.45</v>
      </c>
      <c r="M1583" s="1625" t="n">
        <v>57675</v>
      </c>
      <c r="N1583" s="833" t="n"/>
      <c r="O1583" s="1632" t="n"/>
      <c r="P1583" s="1625" t="n"/>
    </row>
    <row r="1584" ht="15.75" customHeight="1" s="2">
      <c r="A1584" s="462" t="inlineStr">
        <is>
          <t>Customers</t>
        </is>
      </c>
      <c r="B1584" s="485" t="n">
        <v>10249</v>
      </c>
      <c r="C1584" s="565" t="n">
        <v>2801</v>
      </c>
      <c r="D1584" s="466" t="n">
        <v>3040</v>
      </c>
      <c r="E1584" s="1642" t="n">
        <v>7880</v>
      </c>
      <c r="F1584" s="565" t="n">
        <v>2487</v>
      </c>
      <c r="G1584" s="466" t="n">
        <v>2295</v>
      </c>
      <c r="H1584" s="485" t="n">
        <v>6544</v>
      </c>
      <c r="I1584" s="565" t="n">
        <v>2888</v>
      </c>
      <c r="J1584" s="466" t="n">
        <v>2305</v>
      </c>
      <c r="K1584" s="485" t="n">
        <v>7226</v>
      </c>
      <c r="L1584" s="565" t="n">
        <v>3286</v>
      </c>
      <c r="M1584" s="466" t="n">
        <v>2480</v>
      </c>
      <c r="N1584" s="485" t="n"/>
      <c r="O1584" s="565" t="n"/>
      <c r="P1584" s="466" t="n"/>
    </row>
    <row r="1585" ht="15.75" customHeight="1" s="2">
      <c r="A1585" s="462" t="inlineStr">
        <is>
          <t>Average Customer Spend</t>
        </is>
      </c>
      <c r="B1585" s="1626" t="n">
        <v>21.01194262854913</v>
      </c>
      <c r="C1585" s="1638">
        <f>C1582/2801</f>
        <v/>
      </c>
      <c r="D1585" s="1628" t="n">
        <v>19.14</v>
      </c>
      <c r="E1585" s="1626" t="n">
        <v>20.40547842639594</v>
      </c>
      <c r="F1585" s="1635">
        <f>F1582/2487</f>
        <v/>
      </c>
      <c r="G1585" s="1628" t="n">
        <v>23.5</v>
      </c>
      <c r="H1585" s="1626" t="n">
        <v>20.33325641809291</v>
      </c>
      <c r="I1585" s="1635" t="n">
        <v>23.52</v>
      </c>
      <c r="J1585" s="1628" t="n">
        <v>23.85</v>
      </c>
      <c r="K1585" s="1626" t="n">
        <v>20.05</v>
      </c>
      <c r="L1585" s="1635">
        <f>L1582/L1584</f>
        <v/>
      </c>
      <c r="M1585" s="1628" t="n">
        <v>23.58</v>
      </c>
      <c r="N1585" s="1626" t="n"/>
      <c r="O1585" s="1635" t="n"/>
      <c r="P1585" s="1628" t="n"/>
    </row>
    <row r="1586" ht="15.75" customHeight="1" s="2">
      <c r="A1586" s="462" t="inlineStr">
        <is>
          <t>Wage % to Total Receipts</t>
        </is>
      </c>
      <c r="B1586" s="487" t="n">
        <v>0.2865782716063142</v>
      </c>
      <c r="C1586" s="567" t="n">
        <v>0.4598</v>
      </c>
      <c r="D1586" s="470" t="n">
        <v>0.5312</v>
      </c>
      <c r="E1586" s="487" t="n">
        <v>0.2924337839252261</v>
      </c>
      <c r="F1586" s="567" t="n">
        <v>0.4624</v>
      </c>
      <c r="G1586" s="470" t="n">
        <v>0.4935</v>
      </c>
      <c r="H1586" s="487" t="n">
        <v>0.3369789215954838</v>
      </c>
      <c r="I1586" s="567" t="n">
        <v>0.3956</v>
      </c>
      <c r="J1586" s="470" t="n">
        <v>0.4498</v>
      </c>
      <c r="K1586" s="487" t="n"/>
      <c r="L1586" s="567" t="n">
        <v>0.372</v>
      </c>
      <c r="M1586" s="470" t="n">
        <v>0.4616</v>
      </c>
      <c r="N1586" s="487" t="n"/>
      <c r="O1586" s="567" t="n"/>
      <c r="P1586" s="470" t="n"/>
    </row>
    <row r="1587" ht="15.75" customHeight="1" s="2">
      <c r="A1587" s="462" t="inlineStr">
        <is>
          <t>Wage % to Nett Sales</t>
        </is>
      </c>
      <c r="B1587" s="487" t="n">
        <v>0.3152360987669456</v>
      </c>
      <c r="C1587" s="567" t="n">
        <v>0.5058</v>
      </c>
      <c r="D1587" s="470" t="n">
        <v>0.5843</v>
      </c>
      <c r="E1587" s="487" t="n">
        <v>0.3216771623177487</v>
      </c>
      <c r="F1587" s="567" t="n">
        <v>0.5087</v>
      </c>
      <c r="G1587" s="470" t="n">
        <v>0.5429</v>
      </c>
      <c r="H1587" s="487" t="n">
        <v>0.3706768137550323</v>
      </c>
      <c r="I1587" s="567" t="n">
        <v>0.4352</v>
      </c>
      <c r="J1587" s="470" t="n">
        <v>0.4948</v>
      </c>
      <c r="K1587" s="487" t="n">
        <v>0.3286</v>
      </c>
      <c r="L1587" s="567" t="n">
        <v>0.4092</v>
      </c>
      <c r="M1587" s="470" t="n">
        <v>0.5078</v>
      </c>
      <c r="N1587" s="487" t="n"/>
      <c r="O1587" s="567" t="n"/>
      <c r="P1587" s="470" t="n"/>
    </row>
    <row r="1588" ht="15.75" customHeight="1" s="2">
      <c r="A1588" s="462" t="inlineStr">
        <is>
          <t>Productivity</t>
        </is>
      </c>
      <c r="B1588" s="488" t="n">
        <v>6.041617543032303</v>
      </c>
      <c r="C1588" s="568" t="n">
        <v>3.27</v>
      </c>
      <c r="D1588" s="472" t="n">
        <v>3.5</v>
      </c>
      <c r="E1588" s="488" t="n">
        <v>5.600568585643212</v>
      </c>
      <c r="F1588" s="568" t="n">
        <v>3.16</v>
      </c>
      <c r="G1588" s="472" t="n">
        <v>2.9</v>
      </c>
      <c r="H1588" s="488" t="n">
        <v>4.848305241711428</v>
      </c>
      <c r="I1588" s="568" t="n">
        <v>3.79</v>
      </c>
      <c r="J1588" s="472" t="n">
        <v>3.1</v>
      </c>
      <c r="K1588" s="488" t="n">
        <v>5.68</v>
      </c>
      <c r="L1588" s="568" t="n">
        <v>4.02</v>
      </c>
      <c r="M1588" s="472" t="n">
        <v>3.3</v>
      </c>
      <c r="N1588" s="488" t="n"/>
      <c r="O1588" s="568" t="n"/>
      <c r="P1588" s="472" t="n"/>
    </row>
    <row r="1589" ht="15.75" customHeight="1" s="2">
      <c r="A1589" s="462" t="inlineStr">
        <is>
          <t>Average Hourly Rate</t>
        </is>
      </c>
      <c r="B1589" s="1629" t="n">
        <v>36.38</v>
      </c>
      <c r="C1589" s="568" t="n">
        <v>37.44</v>
      </c>
      <c r="D1589" s="1628" t="n">
        <v>35.5</v>
      </c>
      <c r="E1589" s="1629" t="n">
        <v>33.42</v>
      </c>
      <c r="F1589" s="568" t="n">
        <v>35.9</v>
      </c>
      <c r="G1589" s="1628" t="n">
        <v>33.5</v>
      </c>
      <c r="H1589" s="1629" t="n">
        <v>33.22</v>
      </c>
      <c r="I1589" s="568" t="n">
        <v>35.31</v>
      </c>
      <c r="J1589" s="1628" t="n">
        <v>33.5</v>
      </c>
      <c r="K1589" s="1629" t="n"/>
      <c r="L1589" s="568" t="n">
        <v>34.64</v>
      </c>
      <c r="M1589" s="1628" t="n">
        <v>33.5</v>
      </c>
      <c r="N1589" s="1629" t="n"/>
      <c r="O1589" s="568" t="n"/>
      <c r="P1589" s="1628" t="n"/>
    </row>
    <row r="1590" ht="15.75" customHeight="1" s="2">
      <c r="A1590" s="462" t="inlineStr">
        <is>
          <t>Total hours for productivity</t>
        </is>
      </c>
      <c r="B1590" s="485" t="n">
        <v>1696.4</v>
      </c>
      <c r="C1590" s="568" t="n">
        <v>857.75</v>
      </c>
      <c r="D1590" s="466" t="n">
        <v>870.5</v>
      </c>
      <c r="E1590" s="485" t="n">
        <v>1407</v>
      </c>
      <c r="F1590" s="568" t="n">
        <v>786.5</v>
      </c>
      <c r="G1590" s="466" t="n">
        <v>794</v>
      </c>
      <c r="H1590" s="485" t="n">
        <v>1349.75</v>
      </c>
      <c r="I1590" s="568" t="n">
        <v>761.25</v>
      </c>
      <c r="J1590" s="472" t="n">
        <v>738</v>
      </c>
      <c r="K1590" s="485" t="n">
        <v>1273</v>
      </c>
      <c r="L1590" s="568" t="n">
        <v>817.75</v>
      </c>
      <c r="M1590" s="466" t="n">
        <v>825</v>
      </c>
      <c r="N1590" s="485" t="n"/>
      <c r="O1590" s="568" t="n"/>
      <c r="P1590" s="466" t="n"/>
    </row>
    <row r="1591" ht="15.75" customHeight="1" s="2">
      <c r="A1591" s="462" t="inlineStr">
        <is>
          <t>Training Hours used</t>
        </is>
      </c>
      <c r="B1591" s="485" t="n"/>
      <c r="C1591" s="569" t="n">
        <v>0</v>
      </c>
      <c r="D1591" s="466" t="n">
        <v>0</v>
      </c>
      <c r="E1591" s="485" t="n"/>
      <c r="F1591" s="569" t="n"/>
      <c r="G1591" s="466" t="n"/>
      <c r="H1591" s="485" t="n"/>
      <c r="I1591" s="569" t="n"/>
      <c r="J1591" s="466" t="n"/>
      <c r="K1591" s="485" t="n"/>
      <c r="L1591" s="569" t="n">
        <v>0</v>
      </c>
      <c r="M1591" s="466" t="n">
        <v>0</v>
      </c>
      <c r="N1591" s="485" t="n"/>
      <c r="O1591" s="569" t="n"/>
      <c r="P1591" s="466" t="n"/>
    </row>
    <row r="1592" ht="15.75" customHeight="1" s="2" thickBot="1">
      <c r="A1592" s="474" t="inlineStr">
        <is>
          <t>Number of hours used to cover sick leave</t>
        </is>
      </c>
      <c r="B1592" s="490" t="n"/>
      <c r="C1592" s="570" t="n">
        <v>0</v>
      </c>
      <c r="D1592" s="476" t="n"/>
      <c r="E1592" s="490" t="n"/>
      <c r="F1592" s="570" t="n"/>
      <c r="G1592" s="476" t="n"/>
      <c r="H1592" s="490" t="n"/>
      <c r="I1592" s="475" t="n"/>
      <c r="J1592" s="476" t="n"/>
      <c r="K1592" s="490" t="n"/>
      <c r="L1592" s="570" t="n">
        <v>0</v>
      </c>
      <c r="M1592" s="476" t="n">
        <v>0</v>
      </c>
      <c r="N1592" s="490" t="n"/>
      <c r="O1592" s="570" t="n"/>
      <c r="P1592" s="476" t="n"/>
    </row>
    <row r="1593" ht="15.75" customHeight="1" s="2" thickBot="1">
      <c r="A1593" s="477" t="inlineStr">
        <is>
          <t xml:space="preserve">Minimum Hours </t>
        </is>
      </c>
      <c r="B1593" s="815" t="inlineStr">
        <is>
          <t xml:space="preserve">Minimum </t>
        </is>
      </c>
      <c r="C1593" s="816" t="inlineStr">
        <is>
          <t>Projected</t>
        </is>
      </c>
      <c r="D1593" s="817" t="inlineStr">
        <is>
          <t>Rostered</t>
        </is>
      </c>
      <c r="E1593" s="815" t="inlineStr">
        <is>
          <t xml:space="preserve">Minimum </t>
        </is>
      </c>
      <c r="F1593" s="816" t="inlineStr">
        <is>
          <t>Projected</t>
        </is>
      </c>
      <c r="G1593" s="817" t="inlineStr">
        <is>
          <t>Rostered</t>
        </is>
      </c>
      <c r="H1593" s="815" t="inlineStr">
        <is>
          <t xml:space="preserve">Minimum </t>
        </is>
      </c>
      <c r="I1593" s="816" t="inlineStr">
        <is>
          <t>Projected</t>
        </is>
      </c>
      <c r="J1593" s="817" t="inlineStr">
        <is>
          <t>Rostered</t>
        </is>
      </c>
      <c r="K1593" s="815" t="inlineStr">
        <is>
          <t xml:space="preserve">Minimum </t>
        </is>
      </c>
      <c r="L1593" s="816" t="inlineStr">
        <is>
          <t>Projected</t>
        </is>
      </c>
      <c r="M1593" s="817" t="inlineStr">
        <is>
          <t>Rostered</t>
        </is>
      </c>
      <c r="N1593" s="815" t="inlineStr">
        <is>
          <t xml:space="preserve">Minimum </t>
        </is>
      </c>
      <c r="O1593" s="816" t="inlineStr">
        <is>
          <t>Projected</t>
        </is>
      </c>
      <c r="P1593" s="817" t="inlineStr">
        <is>
          <t>Rostered</t>
        </is>
      </c>
    </row>
    <row r="1594" ht="15.75" customHeight="1" s="2">
      <c r="A1594" s="479" t="inlineStr">
        <is>
          <t>Floor</t>
        </is>
      </c>
      <c r="B1594" s="809" t="n"/>
      <c r="C1594" s="810" t="n">
        <v>334</v>
      </c>
      <c r="D1594" s="811" t="n">
        <v>469</v>
      </c>
      <c r="E1594" s="809">
        <f>390-38-36+18+64</f>
        <v/>
      </c>
      <c r="F1594" s="810" t="n">
        <v>276</v>
      </c>
      <c r="G1594" s="811" t="n">
        <v>438</v>
      </c>
      <c r="H1594" s="809" t="n">
        <v>331</v>
      </c>
      <c r="I1594" s="810" t="n">
        <v>254</v>
      </c>
      <c r="J1594" s="811" t="n">
        <v>382</v>
      </c>
      <c r="K1594" s="809" t="n">
        <v>331</v>
      </c>
      <c r="L1594" s="810" t="n">
        <v>273</v>
      </c>
      <c r="M1594" s="811" t="n">
        <v>468</v>
      </c>
      <c r="N1594" s="809" t="n"/>
      <c r="O1594" s="810" t="n"/>
      <c r="P1594" s="811" t="n"/>
    </row>
    <row r="1595" ht="15.75" customHeight="1" s="2" thickBot="1">
      <c r="A1595" s="481" t="inlineStr">
        <is>
          <t>Kitchen</t>
        </is>
      </c>
      <c r="B1595" s="812" t="n"/>
      <c r="C1595" s="813" t="n">
        <v>274</v>
      </c>
      <c r="D1595" s="814" t="n">
        <v>402</v>
      </c>
      <c r="E1595" s="809" t="n">
        <v>312</v>
      </c>
      <c r="F1595" s="810" t="n">
        <v>222</v>
      </c>
      <c r="G1595" s="814" t="n">
        <v>356</v>
      </c>
      <c r="H1595" s="812" t="n">
        <v>273</v>
      </c>
      <c r="I1595" s="813" t="n">
        <v>207</v>
      </c>
      <c r="J1595" s="814" t="n">
        <v>356</v>
      </c>
      <c r="K1595" s="812" t="n">
        <v>273</v>
      </c>
      <c r="L1595" s="813" t="n">
        <v>223</v>
      </c>
      <c r="M1595" s="814" t="n">
        <v>357</v>
      </c>
      <c r="N1595" s="812" t="n"/>
      <c r="O1595" s="813" t="n"/>
      <c r="P1595" s="814" t="n"/>
    </row>
    <row r="1596" ht="15.75" customHeight="1" s="2" thickBot="1"/>
    <row r="1597" ht="15.75" customHeight="1" s="2" thickBot="1">
      <c r="A1597" s="506" t="inlineStr">
        <is>
          <t>Training explanation</t>
        </is>
      </c>
      <c r="C1597" s="523" t="inlineStr">
        <is>
          <t>Floor</t>
        </is>
      </c>
      <c r="D1597" s="524" t="inlineStr">
        <is>
          <t>Kitchen</t>
        </is>
      </c>
      <c r="E1597" s="509" t="n"/>
      <c r="F1597" s="507" t="inlineStr">
        <is>
          <t>Floor</t>
        </is>
      </c>
      <c r="G1597" s="508" t="inlineStr">
        <is>
          <t>Kitchen</t>
        </is>
      </c>
      <c r="H1597" s="510" t="n"/>
      <c r="I1597" s="535" t="n"/>
      <c r="J1597" s="511" t="n"/>
      <c r="K1597" s="512" t="n"/>
      <c r="L1597" s="535" t="inlineStr">
        <is>
          <t>kitchen</t>
        </is>
      </c>
      <c r="M1597" s="513" t="n"/>
      <c r="N1597" s="512" t="n"/>
      <c r="O1597" s="535" t="inlineStr">
        <is>
          <t>kitchen</t>
        </is>
      </c>
      <c r="P1597" s="513" t="n"/>
    </row>
    <row r="1598" ht="15.75" customHeight="1" s="2">
      <c r="A1598" s="506" t="inlineStr">
        <is>
          <t>Who is being Trained</t>
        </is>
      </c>
      <c r="C1598" s="549" t="n"/>
      <c r="D1598" s="525" t="n"/>
      <c r="E1598" s="514" t="n"/>
      <c r="F1598" s="531" t="n"/>
      <c r="G1598" s="824" t="n"/>
      <c r="H1598" s="515" t="n"/>
      <c r="I1598" s="531" t="n"/>
      <c r="J1598" s="824" t="n"/>
      <c r="K1598" s="515" t="n"/>
      <c r="L1598" s="536" t="n"/>
      <c r="M1598" s="532" t="n"/>
      <c r="N1598" s="515" t="n"/>
      <c r="O1598" s="536" t="n"/>
      <c r="P1598" s="532" t="n"/>
    </row>
    <row r="1599" ht="15.75" customHeight="1" s="2">
      <c r="C1599" s="550" t="n"/>
      <c r="D1599" s="526" t="n"/>
      <c r="E1599" s="514" t="n"/>
      <c r="F1599" s="531" t="n"/>
      <c r="G1599" s="530" t="n"/>
      <c r="H1599" s="516" t="n"/>
      <c r="I1599" s="537" t="n"/>
      <c r="J1599" s="530" t="n"/>
      <c r="K1599" s="516" t="n"/>
      <c r="L1599" s="542" t="n"/>
      <c r="M1599" s="530" t="n"/>
      <c r="N1599" s="516" t="n"/>
      <c r="O1599" s="542" t="n"/>
      <c r="P1599" s="530" t="n"/>
    </row>
    <row r="1600" ht="15.75" customHeight="1" s="2">
      <c r="C1600" s="550" t="n"/>
      <c r="D1600" s="527" t="n"/>
      <c r="E1600" s="514" t="n"/>
      <c r="F1600" s="531" t="n"/>
      <c r="G1600" s="530" t="n"/>
      <c r="H1600" s="516" t="n"/>
      <c r="I1600" s="537" t="n"/>
      <c r="J1600" s="530" t="n"/>
      <c r="K1600" s="516" t="n"/>
      <c r="L1600" s="542" t="n"/>
      <c r="M1600" s="539" t="n"/>
      <c r="N1600" s="516" t="n"/>
      <c r="O1600" s="542" t="n"/>
      <c r="P1600" s="539" t="n"/>
    </row>
    <row r="1601" ht="15.75" customHeight="1" s="2">
      <c r="C1601" s="551" t="n"/>
      <c r="D1601" s="561" t="n"/>
      <c r="E1601" s="519" t="n"/>
      <c r="F1601" s="517" t="n"/>
      <c r="G1601" s="518" t="n"/>
      <c r="H1601" s="516" t="n"/>
      <c r="I1601" s="537" t="n"/>
      <c r="J1601" s="530" t="n"/>
      <c r="K1601" s="516" t="n"/>
      <c r="L1601" s="537" t="n"/>
      <c r="M1601" s="539" t="n"/>
      <c r="N1601" s="516" t="n"/>
      <c r="O1601" s="537" t="n"/>
      <c r="P1601" s="539" t="n"/>
    </row>
    <row r="1602" ht="15.75" customHeight="1" s="2">
      <c r="C1602" s="551" t="n"/>
      <c r="D1602" s="528" t="n"/>
      <c r="E1602" s="519" t="n"/>
      <c r="F1602" s="517" t="n"/>
      <c r="G1602" s="518" t="n"/>
      <c r="H1602" s="516" t="n"/>
      <c r="I1602" s="537" t="n"/>
      <c r="J1602" s="533" t="n"/>
      <c r="K1602" s="516" t="n"/>
      <c r="L1602" s="537" t="n"/>
      <c r="M1602" s="540" t="n"/>
      <c r="N1602" s="516" t="n"/>
      <c r="O1602" s="537" t="n"/>
      <c r="P1602" s="540" t="n"/>
    </row>
    <row r="1603" ht="15.75" customHeight="1" s="2" thickBot="1">
      <c r="C1603" s="562" t="n"/>
      <c r="D1603" s="529" t="n"/>
      <c r="E1603" s="519" t="n"/>
      <c r="F1603" s="520" t="n"/>
      <c r="G1603" s="521" t="n"/>
      <c r="H1603" s="516" t="n"/>
      <c r="I1603" s="538" t="n"/>
      <c r="J1603" s="534" t="n"/>
      <c r="K1603" s="522" t="n"/>
      <c r="L1603" s="538" t="n"/>
      <c r="M1603" s="541" t="n"/>
      <c r="N1603" s="522" t="n"/>
      <c r="O1603" s="538" t="n"/>
      <c r="P1603" s="541" t="n"/>
    </row>
    <row r="1604" ht="15.75" customHeight="1" s="2" thickBot="1"/>
    <row r="1605" ht="15.75" customHeight="1" s="2" thickBot="1">
      <c r="B1605" s="1640" t="inlineStr">
        <is>
          <t>6.7.2020</t>
        </is>
      </c>
      <c r="C1605" s="1641" t="n"/>
      <c r="D1605" s="1502" t="n"/>
      <c r="E1605" s="1640" t="inlineStr">
        <is>
          <t>13.7.2020</t>
        </is>
      </c>
      <c r="F1605" s="1641" t="n"/>
      <c r="G1605" s="1502" t="n"/>
      <c r="H1605" s="1640" t="inlineStr">
        <is>
          <t>20.7.2020</t>
        </is>
      </c>
      <c r="I1605" s="1641" t="n"/>
      <c r="J1605" s="1502" t="n"/>
      <c r="K1605" s="1640" t="inlineStr">
        <is>
          <t>27.7.2020</t>
        </is>
      </c>
      <c r="L1605" s="1641" t="n"/>
      <c r="M1605" s="1502" t="n"/>
      <c r="N1605" s="1640" t="n"/>
      <c r="O1605" s="1641" t="n"/>
      <c r="P1605" s="1502" t="n"/>
    </row>
    <row r="1606" ht="15.75" customHeight="1" s="2" thickBot="1">
      <c r="A1606" s="455" t="n"/>
      <c r="B1606" s="825" t="inlineStr">
        <is>
          <t>LAST YEAR</t>
        </is>
      </c>
      <c r="C1606" s="826" t="inlineStr">
        <is>
          <t>Actual</t>
        </is>
      </c>
      <c r="D1606" s="827" t="inlineStr">
        <is>
          <t>Projected</t>
        </is>
      </c>
      <c r="E1606" s="825" t="inlineStr">
        <is>
          <t>LAST YEAR</t>
        </is>
      </c>
      <c r="F1606" s="826" t="inlineStr">
        <is>
          <t>Actual</t>
        </is>
      </c>
      <c r="G1606" s="827" t="inlineStr">
        <is>
          <t>Projected</t>
        </is>
      </c>
      <c r="H1606" s="825" t="inlineStr">
        <is>
          <t>LAST YEAR</t>
        </is>
      </c>
      <c r="I1606" s="826" t="inlineStr">
        <is>
          <t>Actual</t>
        </is>
      </c>
      <c r="J1606" s="827" t="inlineStr">
        <is>
          <t>Projected</t>
        </is>
      </c>
      <c r="K1606" s="825" t="inlineStr">
        <is>
          <t>LAST YEAR</t>
        </is>
      </c>
      <c r="L1606" s="826" t="inlineStr">
        <is>
          <t>Actual</t>
        </is>
      </c>
      <c r="M1606" s="827" t="inlineStr">
        <is>
          <t>Projected</t>
        </is>
      </c>
      <c r="N1606" s="825" t="inlineStr">
        <is>
          <t>LAST YEAR</t>
        </is>
      </c>
      <c r="O1606" s="826" t="inlineStr">
        <is>
          <t>Actual</t>
        </is>
      </c>
      <c r="P1606" s="827" t="inlineStr">
        <is>
          <t>Projected</t>
        </is>
      </c>
      <c r="Q1606" s="828" t="inlineStr">
        <is>
          <t>restricted to 100pl max</t>
        </is>
      </c>
      <c r="R1606" s="828" t="n"/>
    </row>
    <row r="1607" ht="15.75" customHeight="1" s="2">
      <c r="A1607" s="459" t="inlineStr">
        <is>
          <t>Total Receipts</t>
        </is>
      </c>
      <c r="B1607" s="1620" t="n">
        <v>164558.59</v>
      </c>
      <c r="C1607" s="1631" t="n">
        <v>108069.73</v>
      </c>
      <c r="D1607" s="1622" t="n">
        <v>87410</v>
      </c>
      <c r="E1607" s="1620" t="n">
        <v>190853.94</v>
      </c>
      <c r="F1607" s="1631" t="n">
        <v>122214.54</v>
      </c>
      <c r="G1607" s="1622" t="n">
        <v>114447</v>
      </c>
      <c r="H1607" s="1620" t="n">
        <v>154054.41</v>
      </c>
      <c r="I1607" s="1631" t="n">
        <v>100804.38</v>
      </c>
      <c r="J1607" s="1622" t="n">
        <v>120721</v>
      </c>
      <c r="K1607" s="1620" t="n">
        <v>125306.63</v>
      </c>
      <c r="L1607" s="1631" t="n">
        <v>62861.35</v>
      </c>
      <c r="M1607" s="1622" t="n">
        <v>87708</v>
      </c>
      <c r="N1607" s="1620" t="n"/>
      <c r="O1607" s="1631" t="n"/>
      <c r="P1607" s="1622" t="n"/>
    </row>
    <row r="1608" ht="15.75" customHeight="1" s="2">
      <c r="A1608" s="462" t="inlineStr">
        <is>
          <t>Nett Sales</t>
        </is>
      </c>
      <c r="B1608" s="1623" t="n">
        <v>149598.7181818182</v>
      </c>
      <c r="C1608" s="1632" t="n">
        <v>98245.21000000001</v>
      </c>
      <c r="D1608" s="1625" t="n">
        <v>79218</v>
      </c>
      <c r="E1608" s="1636" t="n">
        <v>173503.5818181818</v>
      </c>
      <c r="F1608" s="1632">
        <f>F1607/1.1</f>
        <v/>
      </c>
      <c r="G1608" s="1637" t="n">
        <v>104042.7</v>
      </c>
      <c r="H1608" s="1623">
        <f>H1607/1.1</f>
        <v/>
      </c>
      <c r="I1608" s="1632" t="n">
        <v>91640</v>
      </c>
      <c r="J1608" s="1625" t="n">
        <v>109746</v>
      </c>
      <c r="K1608" s="1623">
        <f>K1607/1.1</f>
        <v/>
      </c>
      <c r="L1608" s="1632" t="n">
        <v>57146</v>
      </c>
      <c r="M1608" s="1625">
        <f>M1607/1.1</f>
        <v/>
      </c>
      <c r="N1608" s="1623" t="n"/>
      <c r="O1608" s="1632" t="n"/>
      <c r="P1608" s="1625" t="n"/>
    </row>
    <row r="1609" ht="15.75" customHeight="1" s="2">
      <c r="A1609" s="462" t="inlineStr">
        <is>
          <t>Customers</t>
        </is>
      </c>
      <c r="B1609" s="485" t="n">
        <v>8013</v>
      </c>
      <c r="C1609" s="565" t="n">
        <v>4714</v>
      </c>
      <c r="D1609" s="466" t="n">
        <v>4020</v>
      </c>
      <c r="E1609" s="1642" t="n">
        <v>9195</v>
      </c>
      <c r="F1609" s="565" t="n">
        <v>5472</v>
      </c>
      <c r="G1609" s="466" t="n">
        <v>5605</v>
      </c>
      <c r="H1609" s="485" t="n">
        <v>7340</v>
      </c>
      <c r="I1609" s="565" t="n">
        <v>4512</v>
      </c>
      <c r="J1609" s="466" t="n">
        <v>5935</v>
      </c>
      <c r="K1609" s="485" t="n">
        <v>5721</v>
      </c>
      <c r="L1609" s="565" t="n">
        <v>2647</v>
      </c>
      <c r="M1609" s="466" t="n">
        <v>4230</v>
      </c>
      <c r="N1609" s="485" t="n"/>
      <c r="O1609" s="565" t="n"/>
      <c r="P1609" s="466" t="n"/>
    </row>
    <row r="1610" ht="15.75" customHeight="1" s="2">
      <c r="A1610" s="462" t="inlineStr">
        <is>
          <t>Average Customer Spend</t>
        </is>
      </c>
      <c r="B1610" s="1626" t="n">
        <v>20.53645201547485</v>
      </c>
      <c r="C1610" s="1638" t="n">
        <v>22.92527153160798</v>
      </c>
      <c r="D1610" s="1628" t="n">
        <v>21.68</v>
      </c>
      <c r="E1610" s="1626" t="n">
        <v>20.75627406199021</v>
      </c>
      <c r="F1610" s="1635">
        <f>F1607/5472</f>
        <v/>
      </c>
      <c r="G1610" s="1628" t="n">
        <v>20.42</v>
      </c>
      <c r="H1610" s="1626">
        <f>H1607/H1609</f>
        <v/>
      </c>
      <c r="I1610" s="1635">
        <f>I1607/4512</f>
        <v/>
      </c>
      <c r="J1610" s="1628" t="n">
        <v>20.34</v>
      </c>
      <c r="K1610" s="1626">
        <f>K1607/K1609</f>
        <v/>
      </c>
      <c r="L1610" s="1635" t="n">
        <v>23.75</v>
      </c>
      <c r="M1610" s="1628" t="n">
        <v>20.73</v>
      </c>
      <c r="N1610" s="1626" t="n"/>
      <c r="O1610" s="1635" t="n"/>
      <c r="P1610" s="1628" t="n"/>
    </row>
    <row r="1611" ht="15.75" customHeight="1" s="2">
      <c r="A1611" s="462" t="inlineStr">
        <is>
          <t>Wage % to Total Receipts</t>
        </is>
      </c>
      <c r="B1611" s="487" t="n">
        <v>0.2978992163216761</v>
      </c>
      <c r="C1611" s="567" t="n">
        <v>0.3289</v>
      </c>
      <c r="D1611" s="470" t="n">
        <v>0.3783</v>
      </c>
      <c r="E1611" s="487" t="n">
        <v>0.2822826974386801</v>
      </c>
      <c r="F1611" s="567" t="n">
        <v>0.337</v>
      </c>
      <c r="G1611" s="470" t="n">
        <v>0.3848</v>
      </c>
      <c r="H1611" s="487" t="n">
        <v>0.3251</v>
      </c>
      <c r="I1611" s="567" t="n">
        <v>0.3917</v>
      </c>
      <c r="J1611" s="470" t="n">
        <v>0.3838</v>
      </c>
      <c r="K1611" s="487">
        <f>(K1614*K1615)/K1607</f>
        <v/>
      </c>
      <c r="L1611" s="567" t="n">
        <v>0.4922</v>
      </c>
      <c r="M1611" s="470" t="n">
        <v>0.3816</v>
      </c>
      <c r="N1611" s="487" t="n"/>
      <c r="O1611" s="567" t="n"/>
      <c r="P1611" s="470" t="n"/>
    </row>
    <row r="1612" ht="15.75" customHeight="1" s="2">
      <c r="A1612" s="462" t="inlineStr">
        <is>
          <t>Wage % to Nett Sales</t>
        </is>
      </c>
      <c r="B1612" s="487" t="n">
        <v>0.3276891379538437</v>
      </c>
      <c r="C1612" s="567" t="n">
        <v>0.3617</v>
      </c>
      <c r="D1612" s="470" t="n">
        <v>0.4161</v>
      </c>
      <c r="E1612" s="487" t="n">
        <v>0.3105109671825481</v>
      </c>
      <c r="F1612" s="567" t="n">
        <v>0.3707</v>
      </c>
      <c r="G1612" s="470" t="n">
        <v>0.4233</v>
      </c>
      <c r="H1612" s="487" t="n">
        <v>0.3575</v>
      </c>
      <c r="I1612" s="567" t="n">
        <v>0.4308</v>
      </c>
      <c r="J1612" s="470" t="n">
        <v>0.4222</v>
      </c>
      <c r="K1612" s="487">
        <f>(K1614*K1615)/K1608</f>
        <v/>
      </c>
      <c r="L1612" s="567" t="n">
        <v>0.5415</v>
      </c>
      <c r="M1612" s="470" t="n">
        <v>0.4198</v>
      </c>
      <c r="N1612" s="487" t="n"/>
      <c r="O1612" s="567" t="n"/>
      <c r="P1612" s="470" t="n"/>
    </row>
    <row r="1613" ht="15.75" customHeight="1" s="2">
      <c r="A1613" s="462" t="inlineStr">
        <is>
          <t>Productivity</t>
        </is>
      </c>
      <c r="B1613" s="488" t="n">
        <v>5.516695352839931</v>
      </c>
      <c r="C1613" s="568" t="n">
        <v>4.74</v>
      </c>
      <c r="D1613" s="472" t="n">
        <v>4.3</v>
      </c>
      <c r="E1613" s="488" t="n">
        <v>5.698791447164549</v>
      </c>
      <c r="F1613" s="568" t="n">
        <v>4.39</v>
      </c>
      <c r="G1613" s="472" t="n">
        <v>4.4</v>
      </c>
      <c r="H1613" s="488" t="n">
        <v>4.88</v>
      </c>
      <c r="I1613" s="568" t="n">
        <v>3.94</v>
      </c>
      <c r="J1613" s="472" t="n">
        <v>4.4</v>
      </c>
      <c r="K1613" s="488">
        <f>K1609/K1615</f>
        <v/>
      </c>
      <c r="L1613" s="568" t="n">
        <v>3.05</v>
      </c>
      <c r="M1613" s="472" t="n">
        <v>4.4</v>
      </c>
      <c r="N1613" s="488" t="n"/>
      <c r="O1613" s="568" t="n"/>
      <c r="P1613" s="472" t="n"/>
    </row>
    <row r="1614" ht="15.75" customHeight="1" s="2">
      <c r="A1614" s="462" t="inlineStr">
        <is>
          <t>Average Hourly Rate</t>
        </is>
      </c>
      <c r="B1614" s="1629" t="n">
        <v>33.75</v>
      </c>
      <c r="C1614" s="568" t="n">
        <v>34.21</v>
      </c>
      <c r="D1614" s="1628" t="n">
        <v>35.5</v>
      </c>
      <c r="E1614" s="1629" t="n">
        <v>33.39</v>
      </c>
      <c r="F1614" s="568" t="n">
        <v>33.05</v>
      </c>
      <c r="G1614" s="1628" t="n">
        <v>34.5</v>
      </c>
      <c r="H1614" s="1629" t="n">
        <v>33.28</v>
      </c>
      <c r="I1614" s="568" t="n">
        <v>34.47</v>
      </c>
      <c r="J1614" s="1628" t="n">
        <v>34.5</v>
      </c>
      <c r="K1614" s="1629" t="n">
        <v>34.15</v>
      </c>
      <c r="L1614" s="568" t="n">
        <v>35.61</v>
      </c>
      <c r="M1614" s="1628" t="n">
        <v>34.5</v>
      </c>
      <c r="N1614" s="1629" t="n"/>
      <c r="O1614" s="568" t="n"/>
      <c r="P1614" s="1628" t="n"/>
    </row>
    <row r="1615" ht="15.75" customHeight="1" s="2">
      <c r="A1615" s="462" t="inlineStr">
        <is>
          <t>Total hours for productivity</t>
        </is>
      </c>
      <c r="B1615" s="485" t="n">
        <v>1452.5</v>
      </c>
      <c r="C1615" s="568" t="n">
        <v>1038.75</v>
      </c>
      <c r="D1615" s="466" t="n">
        <v>928.5</v>
      </c>
      <c r="E1615" s="485" t="n">
        <v>1613.5</v>
      </c>
      <c r="F1615" s="568" t="n">
        <v>1246.25</v>
      </c>
      <c r="G1615" s="466" t="n">
        <v>1276.5</v>
      </c>
      <c r="H1615" s="485" t="n">
        <v>1504.75</v>
      </c>
      <c r="I1615" s="568" t="n">
        <v>1145.25</v>
      </c>
      <c r="J1615" s="472" t="n">
        <v>1343</v>
      </c>
      <c r="K1615" s="485" t="n">
        <v>1359.5</v>
      </c>
      <c r="L1615" s="568" t="n">
        <v>869</v>
      </c>
      <c r="M1615" s="466" t="n">
        <v>970.25</v>
      </c>
      <c r="N1615" s="485" t="n"/>
      <c r="O1615" s="568" t="n"/>
      <c r="P1615" s="466" t="n"/>
    </row>
    <row r="1616" ht="15.75" customHeight="1" s="2">
      <c r="A1616" s="462" t="inlineStr">
        <is>
          <t>Training Hours used</t>
        </is>
      </c>
      <c r="B1616" s="485" t="n"/>
      <c r="C1616" s="569" t="n"/>
      <c r="D1616" s="466" t="n">
        <v>10</v>
      </c>
      <c r="E1616" s="485" t="n"/>
      <c r="F1616" s="569" t="n">
        <v>0</v>
      </c>
      <c r="G1616" s="466" t="n">
        <v>0</v>
      </c>
      <c r="H1616" s="485" t="n">
        <v>21</v>
      </c>
      <c r="I1616" s="569" t="n"/>
      <c r="J1616" s="466" t="n">
        <v>0</v>
      </c>
      <c r="K1616" s="485" t="n">
        <v>16</v>
      </c>
      <c r="L1616" s="569" t="n">
        <v>13</v>
      </c>
      <c r="M1616" s="466" t="n">
        <v>13</v>
      </c>
      <c r="N1616" s="485" t="n"/>
      <c r="O1616" s="569" t="n"/>
      <c r="P1616" s="466" t="n"/>
    </row>
    <row r="1617" ht="15.75" customHeight="1" s="2" thickBot="1">
      <c r="A1617" s="474" t="inlineStr">
        <is>
          <t>Number of hours used to cover sick leave</t>
        </is>
      </c>
      <c r="B1617" s="490" t="n"/>
      <c r="C1617" s="570" t="n"/>
      <c r="D1617" s="476" t="n"/>
      <c r="E1617" s="490" t="n"/>
      <c r="F1617" s="570">
        <f>2+1.5</f>
        <v/>
      </c>
      <c r="G1617" s="476" t="n"/>
      <c r="H1617" s="490" t="n"/>
      <c r="I1617" s="475" t="n"/>
      <c r="J1617" s="476" t="n"/>
      <c r="K1617" s="490" t="n"/>
      <c r="L1617" s="570" t="n"/>
      <c r="M1617" s="476" t="n"/>
      <c r="N1617" s="490" t="n"/>
      <c r="O1617" s="570" t="n"/>
      <c r="P1617" s="476" t="n"/>
    </row>
    <row r="1618" ht="15.75" customHeight="1" s="2" thickBot="1">
      <c r="A1618" s="477" t="inlineStr">
        <is>
          <t xml:space="preserve">Minimum Hours </t>
        </is>
      </c>
      <c r="B1618" s="815" t="inlineStr">
        <is>
          <t xml:space="preserve">Minimum </t>
        </is>
      </c>
      <c r="C1618" s="816" t="inlineStr">
        <is>
          <t>Projected</t>
        </is>
      </c>
      <c r="D1618" s="817" t="inlineStr">
        <is>
          <t>Rostered</t>
        </is>
      </c>
      <c r="E1618" s="815" t="inlineStr">
        <is>
          <t xml:space="preserve">Minimum </t>
        </is>
      </c>
      <c r="F1618" s="816" t="n">
        <v>122</v>
      </c>
      <c r="G1618" s="817" t="inlineStr">
        <is>
          <t>Rostered</t>
        </is>
      </c>
      <c r="H1618" s="815" t="inlineStr">
        <is>
          <t xml:space="preserve">Minimum </t>
        </is>
      </c>
      <c r="I1618" s="816" t="inlineStr">
        <is>
          <t>Projected</t>
        </is>
      </c>
      <c r="J1618" s="817" t="inlineStr">
        <is>
          <t>Rostered</t>
        </is>
      </c>
      <c r="K1618" s="836" t="inlineStr">
        <is>
          <t>60% hours</t>
        </is>
      </c>
      <c r="L1618" s="816" t="inlineStr">
        <is>
          <t>Projected</t>
        </is>
      </c>
      <c r="M1618" s="817" t="inlineStr">
        <is>
          <t>Rostered</t>
        </is>
      </c>
      <c r="N1618" s="836" t="inlineStr">
        <is>
          <t>60% hours</t>
        </is>
      </c>
      <c r="O1618" s="816" t="inlineStr">
        <is>
          <t>Projected</t>
        </is>
      </c>
      <c r="P1618" s="817" t="inlineStr">
        <is>
          <t>Rostered</t>
        </is>
      </c>
    </row>
    <row r="1619" ht="15.75" customHeight="1" s="2">
      <c r="A1619" s="479" t="inlineStr">
        <is>
          <t>Floor</t>
        </is>
      </c>
      <c r="B1619" s="809" t="n">
        <v>496.5</v>
      </c>
      <c r="C1619" s="810" t="n">
        <v>442</v>
      </c>
      <c r="D1619" s="811" t="n">
        <v>514.5</v>
      </c>
      <c r="E1619" s="809" t="n">
        <v>624</v>
      </c>
      <c r="F1619" s="810" t="n">
        <v>587</v>
      </c>
      <c r="G1619" s="811" t="n">
        <v>711</v>
      </c>
      <c r="H1619" s="809" t="n">
        <v>624</v>
      </c>
      <c r="I1619" s="810" t="n">
        <v>622</v>
      </c>
      <c r="J1619" s="811" t="n">
        <v>749</v>
      </c>
      <c r="K1619" s="837" t="n">
        <v>365</v>
      </c>
      <c r="L1619" s="810" t="n">
        <v>443</v>
      </c>
      <c r="M1619" s="811" t="n">
        <v>500</v>
      </c>
      <c r="N1619" s="837" t="n"/>
      <c r="O1619" s="810" t="n"/>
      <c r="P1619" s="811" t="n"/>
    </row>
    <row r="1620" ht="15.75" customHeight="1" s="2" thickBot="1">
      <c r="A1620" s="481" t="inlineStr">
        <is>
          <t>Kitchen</t>
        </is>
      </c>
      <c r="B1620" s="812" t="n">
        <v>446</v>
      </c>
      <c r="C1620" s="813" t="n">
        <v>362</v>
      </c>
      <c r="D1620" s="814" t="n">
        <v>418.5</v>
      </c>
      <c r="E1620" s="809" t="n">
        <v>458</v>
      </c>
      <c r="F1620" s="810" t="n">
        <v>566</v>
      </c>
      <c r="G1620" s="814" t="n">
        <v>565.5</v>
      </c>
      <c r="H1620" s="812" t="n">
        <v>458</v>
      </c>
      <c r="I1620" s="813" t="n">
        <v>509</v>
      </c>
      <c r="J1620" s="814" t="n">
        <v>595</v>
      </c>
      <c r="K1620" s="838" t="n">
        <v>249</v>
      </c>
      <c r="L1620" s="813" t="n">
        <v>363</v>
      </c>
      <c r="M1620" s="814" t="n">
        <v>470</v>
      </c>
      <c r="N1620" s="838" t="n"/>
      <c r="O1620" s="813" t="n"/>
      <c r="P1620" s="814" t="n"/>
    </row>
    <row r="1621" ht="15.75" customHeight="1" s="2" thickBot="1">
      <c r="A1621" s="834" t="n"/>
      <c r="B1621" s="835" t="n"/>
      <c r="C1621" s="835" t="n"/>
      <c r="D1621" s="835" t="n"/>
      <c r="E1621" s="835" t="n"/>
      <c r="F1621" s="835" t="n"/>
      <c r="G1621" s="835" t="n"/>
      <c r="H1621" s="835" t="n"/>
      <c r="I1621" s="835" t="n"/>
      <c r="J1621" s="835" t="n"/>
      <c r="K1621" s="836" t="inlineStr">
        <is>
          <t xml:space="preserve">Minimum </t>
        </is>
      </c>
      <c r="L1621" s="835" t="n"/>
      <c r="M1621" s="835" t="n"/>
      <c r="N1621" s="836" t="inlineStr">
        <is>
          <t xml:space="preserve">Minimum </t>
        </is>
      </c>
      <c r="O1621" s="835" t="n"/>
      <c r="P1621" s="835" t="n"/>
    </row>
    <row r="1622" ht="15.75" customHeight="1" s="2">
      <c r="A1622" s="834" t="n"/>
      <c r="B1622" s="835" t="n"/>
      <c r="C1622" s="835" t="n"/>
      <c r="D1622" s="835" t="n"/>
      <c r="E1622" s="835" t="n"/>
      <c r="F1622" s="835" t="n"/>
      <c r="G1622" s="835" t="n"/>
      <c r="H1622" s="835" t="n"/>
      <c r="I1622" s="835" t="n"/>
      <c r="J1622" s="835" t="n"/>
      <c r="K1622" s="837" t="n">
        <v>609</v>
      </c>
      <c r="L1622" s="835" t="n"/>
      <c r="M1622" s="835" t="n"/>
      <c r="N1622" s="837" t="n"/>
      <c r="O1622" s="835" t="n"/>
      <c r="P1622" s="835" t="n"/>
    </row>
    <row r="1623" ht="15.75" customHeight="1" s="2" thickBot="1">
      <c r="K1623" s="838" t="n">
        <v>415</v>
      </c>
      <c r="N1623" s="838" t="n"/>
    </row>
    <row r="1624" ht="15.75" customHeight="1" s="2" thickBot="1">
      <c r="A1624" s="506" t="inlineStr">
        <is>
          <t>Training explanation</t>
        </is>
      </c>
      <c r="C1624" s="523" t="inlineStr">
        <is>
          <t>Floor</t>
        </is>
      </c>
      <c r="D1624" s="524" t="inlineStr">
        <is>
          <t>Kitchen</t>
        </is>
      </c>
      <c r="E1624" s="509" t="n"/>
      <c r="F1624" s="507" t="inlineStr">
        <is>
          <t>Floor</t>
        </is>
      </c>
      <c r="G1624" s="508" t="inlineStr">
        <is>
          <t>Kitchen</t>
        </is>
      </c>
      <c r="H1624" s="510" t="n"/>
      <c r="I1624" s="535" t="n"/>
      <c r="J1624" s="511" t="n"/>
      <c r="K1624" s="512" t="n"/>
      <c r="L1624" s="535" t="inlineStr">
        <is>
          <t>kitchen</t>
        </is>
      </c>
      <c r="M1624" s="513" t="n"/>
      <c r="N1624" s="512" t="n"/>
      <c r="O1624" s="535" t="inlineStr">
        <is>
          <t>kitchen</t>
        </is>
      </c>
      <c r="P1624" s="513" t="n"/>
    </row>
    <row r="1625" ht="15.75" customHeight="1" s="2">
      <c r="A1625" s="506" t="inlineStr">
        <is>
          <t>Who is being Trained</t>
        </is>
      </c>
      <c r="C1625" s="549" t="n"/>
      <c r="D1625" s="525" t="inlineStr">
        <is>
          <t>Bishal Stocking (5 hrs)</t>
        </is>
      </c>
      <c r="E1625" s="514" t="n"/>
      <c r="F1625" s="531" t="n"/>
      <c r="G1625" s="824" t="n"/>
      <c r="H1625" s="515" t="n"/>
      <c r="I1625" s="531" t="n"/>
      <c r="J1625" s="824" t="n"/>
      <c r="K1625" s="515" t="n"/>
      <c r="L1625" s="536" t="inlineStr">
        <is>
          <t>Han NM peak calling)</t>
        </is>
      </c>
      <c r="M1625" s="532" t="n">
        <v>13</v>
      </c>
      <c r="N1625" s="515" t="n"/>
      <c r="O1625" s="536" t="n"/>
      <c r="P1625" s="532" t="n"/>
    </row>
    <row r="1626" ht="15.75" customHeight="1" s="2">
      <c r="C1626" s="550" t="n"/>
      <c r="D1626" s="526" t="inlineStr">
        <is>
          <t>Ming B/fast (5hrs)</t>
        </is>
      </c>
      <c r="E1626" s="514" t="n"/>
      <c r="F1626" s="531" t="n"/>
      <c r="G1626" s="530" t="n"/>
      <c r="H1626" s="516" t="n"/>
      <c r="I1626" s="537" t="n"/>
      <c r="J1626" s="530" t="n"/>
      <c r="K1626" s="516" t="n"/>
      <c r="L1626" s="542" t="n"/>
      <c r="M1626" s="530" t="n"/>
      <c r="N1626" s="516" t="n"/>
      <c r="O1626" s="542" t="n"/>
      <c r="P1626" s="530" t="n"/>
    </row>
    <row r="1627" ht="15.75" customHeight="1" s="2">
      <c r="C1627" s="550" t="n"/>
      <c r="D1627" s="527" t="n"/>
      <c r="E1627" s="514" t="n"/>
      <c r="F1627" s="531" t="n"/>
      <c r="G1627" s="530" t="n"/>
      <c r="H1627" s="516" t="n"/>
      <c r="I1627" s="537" t="n"/>
      <c r="J1627" s="530" t="n"/>
      <c r="K1627" s="516" t="n"/>
      <c r="L1627" s="542" t="n"/>
      <c r="M1627" s="539" t="n"/>
      <c r="N1627" s="516" t="n"/>
      <c r="O1627" s="542" t="n"/>
      <c r="P1627" s="539" t="n"/>
    </row>
    <row r="1628" ht="15.75" customHeight="1" s="2">
      <c r="C1628" s="551" t="n"/>
      <c r="D1628" s="561" t="n"/>
      <c r="E1628" s="519" t="n"/>
      <c r="F1628" s="517" t="n"/>
      <c r="G1628" s="518" t="n"/>
      <c r="H1628" s="516" t="n"/>
      <c r="I1628" s="537" t="n"/>
      <c r="J1628" s="530" t="n"/>
      <c r="K1628" s="516" t="n"/>
      <c r="L1628" s="537" t="n"/>
      <c r="M1628" s="539" t="n"/>
      <c r="N1628" s="516" t="n"/>
      <c r="O1628" s="537" t="n"/>
      <c r="P1628" s="539" t="n"/>
    </row>
    <row r="1629" ht="15.75" customHeight="1" s="2">
      <c r="C1629" s="551" t="n"/>
      <c r="D1629" s="528" t="n"/>
      <c r="E1629" s="519" t="n"/>
      <c r="F1629" s="517" t="n"/>
      <c r="G1629" s="518" t="n"/>
      <c r="H1629" s="516" t="n"/>
      <c r="I1629" s="537" t="n"/>
      <c r="J1629" s="533" t="n"/>
      <c r="K1629" s="516" t="n"/>
      <c r="L1629" s="537" t="n"/>
      <c r="M1629" s="540" t="n"/>
      <c r="N1629" s="516" t="n"/>
      <c r="O1629" s="537" t="n"/>
      <c r="P1629" s="540" t="n"/>
    </row>
    <row r="1630" ht="15.75" customHeight="1" s="2" thickBot="1">
      <c r="C1630" s="562" t="n"/>
      <c r="D1630" s="529" t="n"/>
      <c r="E1630" s="519" t="n"/>
      <c r="F1630" s="520" t="n"/>
      <c r="G1630" s="521" t="n"/>
      <c r="H1630" s="516" t="n"/>
      <c r="I1630" s="538" t="n"/>
      <c r="J1630" s="534" t="n"/>
      <c r="K1630" s="522" t="n"/>
      <c r="L1630" s="538" t="n"/>
      <c r="M1630" s="541" t="n"/>
      <c r="N1630" s="522" t="n"/>
      <c r="O1630" s="538" t="n"/>
      <c r="P1630" s="541" t="n"/>
    </row>
    <row r="1633" ht="15.75" customHeight="1" s="2" thickBot="1"/>
    <row r="1634" ht="15.75" customHeight="1" s="2" thickBot="1">
      <c r="B1634" s="1640" t="inlineStr">
        <is>
          <t>3.8.2020</t>
        </is>
      </c>
      <c r="C1634" s="1641" t="n"/>
      <c r="D1634" s="1502" t="n"/>
      <c r="E1634" s="1640" t="inlineStr">
        <is>
          <t>10.8.2020</t>
        </is>
      </c>
      <c r="F1634" s="1641" t="n"/>
      <c r="G1634" s="1502" t="n"/>
      <c r="H1634" s="1640" t="inlineStr">
        <is>
          <t>17.8.2020</t>
        </is>
      </c>
      <c r="I1634" s="1641" t="n"/>
      <c r="J1634" s="1502" t="n"/>
      <c r="K1634" s="1640" t="inlineStr">
        <is>
          <t>24.8.2020</t>
        </is>
      </c>
      <c r="L1634" s="1641" t="n"/>
      <c r="M1634" s="1502" t="n"/>
      <c r="N1634" s="1640" t="inlineStr">
        <is>
          <t>31.8.2020</t>
        </is>
      </c>
      <c r="O1634" s="1641" t="n"/>
      <c r="P1634" s="1502" t="n"/>
    </row>
    <row r="1635" ht="15.75" customHeight="1" s="2" thickBot="1">
      <c r="A1635" s="455" t="n"/>
      <c r="B1635" s="825" t="inlineStr">
        <is>
          <t>LAST YEAR</t>
        </is>
      </c>
      <c r="C1635" s="826" t="inlineStr">
        <is>
          <t>Actual</t>
        </is>
      </c>
      <c r="D1635" s="827" t="inlineStr">
        <is>
          <t>Projected</t>
        </is>
      </c>
      <c r="E1635" s="825" t="inlineStr">
        <is>
          <t>LAST YEAR</t>
        </is>
      </c>
      <c r="F1635" s="826" t="inlineStr">
        <is>
          <t>Actual</t>
        </is>
      </c>
      <c r="G1635" s="827" t="inlineStr">
        <is>
          <t>Projected</t>
        </is>
      </c>
      <c r="H1635" s="825" t="inlineStr">
        <is>
          <t>LAST YEAR</t>
        </is>
      </c>
      <c r="I1635" s="826" t="inlineStr">
        <is>
          <t>Actual</t>
        </is>
      </c>
      <c r="J1635" s="827" t="inlineStr">
        <is>
          <t>Projected</t>
        </is>
      </c>
      <c r="K1635" s="825" t="inlineStr">
        <is>
          <t>LAST YEAR</t>
        </is>
      </c>
      <c r="L1635" s="826" t="inlineStr">
        <is>
          <t>Actual</t>
        </is>
      </c>
      <c r="M1635" s="827" t="inlineStr">
        <is>
          <t>Projected</t>
        </is>
      </c>
      <c r="N1635" s="825" t="inlineStr">
        <is>
          <t>LAST YEAR</t>
        </is>
      </c>
      <c r="O1635" s="826" t="inlineStr">
        <is>
          <t>Actual</t>
        </is>
      </c>
      <c r="P1635" s="827" t="inlineStr">
        <is>
          <t>Projected</t>
        </is>
      </c>
    </row>
    <row r="1636" ht="15.75" customHeight="1" s="2">
      <c r="A1636" s="459" t="inlineStr">
        <is>
          <t>Total Receipts</t>
        </is>
      </c>
      <c r="B1636" s="1620" t="n">
        <v>160455.6</v>
      </c>
      <c r="C1636" s="1631" t="n">
        <v>59804.75</v>
      </c>
      <c r="D1636" s="1622" t="n">
        <v>66560</v>
      </c>
      <c r="E1636" s="1620" t="n">
        <v>180997.3</v>
      </c>
      <c r="F1636" s="1631" t="n">
        <v>51659.02</v>
      </c>
      <c r="G1636" s="1622" t="n">
        <v>54968</v>
      </c>
      <c r="H1636" s="1620" t="n">
        <v>190853.94</v>
      </c>
      <c r="I1636" s="1631" t="n">
        <v>61298.75</v>
      </c>
      <c r="J1636" s="1622" t="n">
        <v>54585</v>
      </c>
      <c r="K1636" s="1620" t="n">
        <v>148744.4</v>
      </c>
      <c r="L1636" s="1631" t="n">
        <v>62042.04</v>
      </c>
      <c r="M1636" s="1622" t="n">
        <v>50765</v>
      </c>
      <c r="N1636" s="1620" t="n">
        <v>140760.57</v>
      </c>
      <c r="O1636" s="1631" t="n">
        <v>62976</v>
      </c>
      <c r="P1636" s="1622" t="n">
        <v>53183</v>
      </c>
    </row>
    <row r="1637" ht="15.75" customHeight="1" s="2">
      <c r="A1637" s="462" t="inlineStr">
        <is>
          <t>Nett Sales</t>
        </is>
      </c>
      <c r="B1637" s="1623" t="n">
        <v>145868.7272727273</v>
      </c>
      <c r="C1637" s="1632" t="n">
        <v>54367.95</v>
      </c>
      <c r="D1637" s="1625">
        <f>D1636/1.1</f>
        <v/>
      </c>
      <c r="E1637" s="1636" t="n">
        <v>164543</v>
      </c>
      <c r="F1637" s="1632" t="n">
        <v>46962.75</v>
      </c>
      <c r="G1637" s="1637" t="n">
        <v>49970.5</v>
      </c>
      <c r="H1637" s="1623" t="n">
        <v>173503.5818181818</v>
      </c>
      <c r="I1637" s="1632" t="n">
        <v>55726.14</v>
      </c>
      <c r="J1637" s="1625" t="n">
        <v>49622.7</v>
      </c>
      <c r="K1637" s="1623" t="n">
        <v>135222.18</v>
      </c>
      <c r="L1637" s="1632" t="n">
        <v>56401.85</v>
      </c>
      <c r="M1637" s="1625" t="n">
        <v>46150</v>
      </c>
      <c r="N1637" s="1623" t="n">
        <v>127964.15</v>
      </c>
      <c r="O1637" s="1632" t="n">
        <v>57251</v>
      </c>
      <c r="P1637" s="1625">
        <f>P1636/1.1</f>
        <v/>
      </c>
    </row>
    <row r="1638" ht="15.75" customHeight="1" s="2">
      <c r="A1638" s="462" t="inlineStr">
        <is>
          <t>Customers</t>
        </is>
      </c>
      <c r="B1638" s="485" t="n">
        <v>7641</v>
      </c>
      <c r="C1638" s="565" t="n">
        <v>2528</v>
      </c>
      <c r="D1638" s="466" t="n">
        <v>3200</v>
      </c>
      <c r="E1638" s="1642" t="n">
        <v>8419</v>
      </c>
      <c r="F1638" s="565" t="n">
        <v>2177</v>
      </c>
      <c r="G1638" s="466" t="n">
        <v>2315</v>
      </c>
      <c r="H1638" s="485" t="n">
        <v>9195</v>
      </c>
      <c r="I1638" s="565" t="n">
        <v>2551</v>
      </c>
      <c r="J1638" s="466" t="n">
        <v>2275</v>
      </c>
      <c r="K1638" s="485" t="n">
        <v>7098</v>
      </c>
      <c r="L1638" s="565" t="n">
        <v>2583</v>
      </c>
      <c r="M1638" s="466" t="n">
        <v>2125</v>
      </c>
      <c r="N1638" s="485" t="n">
        <v>6820</v>
      </c>
      <c r="O1638" s="565" t="n">
        <v>2622</v>
      </c>
      <c r="P1638" s="466" t="n">
        <v>2215</v>
      </c>
    </row>
    <row r="1639" ht="15.75" customHeight="1" s="2">
      <c r="A1639" s="462" t="inlineStr">
        <is>
          <t>Average Customer Spend</t>
        </is>
      </c>
      <c r="B1639" s="1626" t="n">
        <v>20.99929328621908</v>
      </c>
      <c r="C1639" s="1638">
        <f>C1636/C1638</f>
        <v/>
      </c>
      <c r="D1639" s="1628" t="n">
        <v>20.8</v>
      </c>
      <c r="E1639" s="1626" t="n">
        <v>21.49866967573346</v>
      </c>
      <c r="F1639" s="1635">
        <f>F1636/F1638</f>
        <v/>
      </c>
      <c r="G1639" s="1628">
        <f>G1636/G1638</f>
        <v/>
      </c>
      <c r="H1639" s="1626" t="n">
        <v>20.75627406199021</v>
      </c>
      <c r="I1639" s="1635">
        <f>I1636/2551</f>
        <v/>
      </c>
      <c r="J1639" s="1628" t="n">
        <v>23.99</v>
      </c>
      <c r="K1639" s="1626" t="n">
        <v>18.83</v>
      </c>
      <c r="L1639" s="1635">
        <f>L1636/2583</f>
        <v/>
      </c>
      <c r="M1639" s="1628" t="n">
        <v>23.89</v>
      </c>
      <c r="N1639" s="1626" t="n">
        <v>20.63937976539589</v>
      </c>
      <c r="O1639" s="1635">
        <f>O1636/2622</f>
        <v/>
      </c>
      <c r="P1639" s="1628" t="n">
        <v>24.01</v>
      </c>
    </row>
    <row r="1640" ht="15.75" customHeight="1" s="2">
      <c r="A1640" s="462" t="inlineStr">
        <is>
          <t>Wage % to Total Receipts</t>
        </is>
      </c>
      <c r="B1640" s="487" t="n">
        <v>0.3459456385442453</v>
      </c>
      <c r="C1640" s="567" t="n">
        <v>0.4735</v>
      </c>
      <c r="D1640" s="470" t="n">
        <v>0.4626</v>
      </c>
      <c r="E1640" s="487" t="n">
        <v>0.3217194123890246</v>
      </c>
      <c r="F1640" s="567" t="n">
        <v>0.4994</v>
      </c>
      <c r="G1640" s="470" t="n">
        <v>0.495</v>
      </c>
      <c r="H1640" s="487" t="n">
        <v>0.2822826974386801</v>
      </c>
      <c r="I1640" s="567" t="n">
        <v>0.413</v>
      </c>
      <c r="J1640" s="470" t="n">
        <v>0.4598</v>
      </c>
      <c r="K1640" s="487" t="n">
        <v>0.3629</v>
      </c>
      <c r="L1640" s="567" t="n">
        <v>0.4099</v>
      </c>
      <c r="M1640" s="470" t="n">
        <v>0.4699</v>
      </c>
      <c r="N1640" s="487" t="n">
        <v>0.3831</v>
      </c>
      <c r="O1640" s="567" t="n">
        <v>0.3911</v>
      </c>
      <c r="P1640" s="470" t="n">
        <v>0.4372</v>
      </c>
    </row>
    <row r="1641" ht="15.75" customHeight="1" s="2">
      <c r="A1641" s="462" t="inlineStr">
        <is>
          <t>Wage % to Nett Sales</t>
        </is>
      </c>
      <c r="B1641" s="487" t="n">
        <v>0.3805402023986698</v>
      </c>
      <c r="C1641" s="567" t="n">
        <v>0.5208</v>
      </c>
      <c r="D1641" s="470" t="n">
        <v>0.5089</v>
      </c>
      <c r="E1641" s="487" t="n">
        <v>0.3538913536279271</v>
      </c>
      <c r="F1641" s="567" t="n">
        <v>0.5494</v>
      </c>
      <c r="G1641" s="470" t="n">
        <v>0.5445</v>
      </c>
      <c r="H1641" s="487" t="n">
        <v>0.3105109671825481</v>
      </c>
      <c r="I1641" s="567" t="n">
        <v>0.4543</v>
      </c>
      <c r="J1641" s="470" t="n">
        <v>0.5058</v>
      </c>
      <c r="K1641" s="487" t="n">
        <v>0.3992</v>
      </c>
      <c r="L1641" s="567" t="n">
        <v>0.4509</v>
      </c>
      <c r="M1641" s="470" t="n">
        <v>0.5169</v>
      </c>
      <c r="N1641" s="487" t="n">
        <v>0.4114</v>
      </c>
      <c r="O1641" s="567" t="n">
        <v>0.4302</v>
      </c>
      <c r="P1641" s="470" t="n">
        <v>0.4809</v>
      </c>
      <c r="S1641" s="454">
        <f>2622-2583</f>
        <v/>
      </c>
    </row>
    <row r="1642" ht="15.75" customHeight="1" s="2">
      <c r="A1642" s="462" t="inlineStr">
        <is>
          <t>Productivity</t>
        </is>
      </c>
      <c r="B1642" s="488" t="n">
        <v>4.557709513868177</v>
      </c>
      <c r="C1642" s="568" t="n">
        <v>3.28</v>
      </c>
      <c r="D1642" s="472" t="n">
        <v>3.6</v>
      </c>
      <c r="E1642" s="488" t="n">
        <v>4.862258157666763</v>
      </c>
      <c r="F1642" s="568" t="n">
        <v>3.18</v>
      </c>
      <c r="G1642" s="472" t="n">
        <v>3</v>
      </c>
      <c r="H1642" s="488" t="n">
        <v>5.698791447164549</v>
      </c>
      <c r="I1642" s="568" t="n">
        <v>3.65</v>
      </c>
      <c r="J1642" s="472" t="n">
        <v>3.2</v>
      </c>
      <c r="K1642" s="488" t="n">
        <v>4.4</v>
      </c>
      <c r="L1642" s="568" t="n">
        <v>3.69</v>
      </c>
      <c r="M1642" s="472" t="n">
        <v>3.2</v>
      </c>
      <c r="N1642" s="488" t="n">
        <v>4.13</v>
      </c>
      <c r="O1642" s="568" t="n">
        <v>3.86</v>
      </c>
      <c r="P1642" s="472" t="n">
        <v>3.4</v>
      </c>
    </row>
    <row r="1643" ht="15.75" customHeight="1" s="2">
      <c r="A1643" s="462" t="inlineStr">
        <is>
          <t>Average Hourly Rate</t>
        </is>
      </c>
      <c r="B1643" s="1629" t="n">
        <v>33.11</v>
      </c>
      <c r="C1643" s="568" t="n">
        <v>36.75</v>
      </c>
      <c r="D1643" s="1628" t="n">
        <v>34.5</v>
      </c>
      <c r="E1643" s="1629" t="n">
        <v>33.63</v>
      </c>
      <c r="F1643" s="568" t="n">
        <v>37.66</v>
      </c>
      <c r="G1643" s="1628" t="n">
        <v>35.5</v>
      </c>
      <c r="H1643" s="1629" t="n">
        <v>33.39</v>
      </c>
      <c r="I1643" s="568" t="n">
        <v>36.18</v>
      </c>
      <c r="J1643" s="1628" t="n">
        <v>35.5</v>
      </c>
      <c r="K1643" s="1629" t="n">
        <v>33.45</v>
      </c>
      <c r="L1643" s="568" t="n">
        <v>36.32</v>
      </c>
      <c r="M1643" s="1628" t="n">
        <v>35.5</v>
      </c>
      <c r="N1643" s="1629" t="n">
        <v>32.62</v>
      </c>
      <c r="O1643" s="568" t="n">
        <v>36.25</v>
      </c>
      <c r="P1643" s="1628" t="n">
        <v>35.5</v>
      </c>
    </row>
    <row r="1644" ht="15.75" customHeight="1" s="2">
      <c r="A1644" s="462" t="inlineStr">
        <is>
          <t>Total hours for productivity</t>
        </is>
      </c>
      <c r="B1644" s="485" t="n">
        <v>1676.5</v>
      </c>
      <c r="C1644" s="568" t="n">
        <v>770.5</v>
      </c>
      <c r="D1644" s="466" t="n">
        <v>892.5</v>
      </c>
      <c r="E1644" s="485" t="n">
        <v>1731.5</v>
      </c>
      <c r="F1644" s="568" t="n">
        <v>685</v>
      </c>
      <c r="G1644" s="466" t="n">
        <v>766.5</v>
      </c>
      <c r="H1644" s="485" t="n">
        <v>1613.5</v>
      </c>
      <c r="I1644" s="568" t="n">
        <v>699.75</v>
      </c>
      <c r="J1644" s="472" t="n">
        <v>707</v>
      </c>
      <c r="K1644" s="485" t="n">
        <v>1613.75</v>
      </c>
      <c r="L1644" s="568" t="n">
        <v>700</v>
      </c>
      <c r="M1644" s="466" t="n">
        <v>672</v>
      </c>
      <c r="N1644" s="485" t="n">
        <v>1653</v>
      </c>
      <c r="O1644" s="568" t="n">
        <v>679.5</v>
      </c>
      <c r="P1644" s="466" t="n">
        <v>655</v>
      </c>
    </row>
    <row r="1645" ht="15.75" customHeight="1" s="2">
      <c r="A1645" s="462" t="inlineStr">
        <is>
          <t>Training Hours used</t>
        </is>
      </c>
      <c r="B1645" s="485" t="n"/>
      <c r="C1645" s="569" t="n">
        <v>0</v>
      </c>
      <c r="D1645" s="466" t="n">
        <v>13</v>
      </c>
      <c r="E1645" s="485" t="n">
        <v>70</v>
      </c>
      <c r="F1645" s="569" t="n"/>
      <c r="G1645" s="466" t="n">
        <v>0</v>
      </c>
      <c r="H1645" s="485" t="n"/>
      <c r="I1645" s="569" t="n">
        <v>0</v>
      </c>
      <c r="J1645" s="466" t="n">
        <v>0</v>
      </c>
      <c r="K1645" s="485" t="n">
        <v>88</v>
      </c>
      <c r="L1645" s="569" t="n">
        <v>0</v>
      </c>
      <c r="M1645" s="466" t="n"/>
      <c r="N1645" s="485" t="n">
        <v>153</v>
      </c>
      <c r="O1645" s="569" t="n">
        <v>0</v>
      </c>
      <c r="P1645" s="466" t="n"/>
    </row>
    <row r="1646" ht="15.75" customHeight="1" s="2" thickBot="1">
      <c r="A1646" s="474" t="inlineStr">
        <is>
          <t>Number of hours used to cover sick leave</t>
        </is>
      </c>
      <c r="B1646" s="490" t="n"/>
      <c r="C1646" s="570" t="n">
        <v>0</v>
      </c>
      <c r="D1646" s="476" t="n"/>
      <c r="E1646" s="490" t="n"/>
      <c r="F1646" s="570" t="n">
        <v>18</v>
      </c>
      <c r="G1646" s="476" t="n">
        <v>0</v>
      </c>
      <c r="H1646" s="490" t="n"/>
      <c r="I1646" s="475" t="n">
        <v>0</v>
      </c>
      <c r="J1646" s="476" t="n">
        <v>26</v>
      </c>
      <c r="K1646" s="490" t="n">
        <v>63.5</v>
      </c>
      <c r="L1646" s="570" t="n">
        <v>16</v>
      </c>
      <c r="M1646" s="476" t="n">
        <v>26</v>
      </c>
      <c r="N1646" s="490" t="n"/>
      <c r="O1646" s="570" t="n"/>
      <c r="P1646" s="476" t="n"/>
    </row>
    <row r="1647" ht="15.75" customHeight="1" s="2" thickBot="1">
      <c r="A1647" s="477" t="inlineStr">
        <is>
          <t xml:space="preserve">Minimum Hours </t>
        </is>
      </c>
      <c r="B1647" s="836" t="inlineStr">
        <is>
          <t>60% Hours</t>
        </is>
      </c>
      <c r="C1647" s="816" t="inlineStr">
        <is>
          <t>Projected</t>
        </is>
      </c>
      <c r="D1647" s="817" t="inlineStr">
        <is>
          <t>Rostered</t>
        </is>
      </c>
      <c r="E1647" s="836" t="inlineStr">
        <is>
          <t>60% Hours</t>
        </is>
      </c>
      <c r="F1647" s="816" t="inlineStr">
        <is>
          <t>Projected</t>
        </is>
      </c>
      <c r="G1647" s="817" t="inlineStr">
        <is>
          <t>Rostered</t>
        </is>
      </c>
      <c r="H1647" s="836" t="inlineStr">
        <is>
          <t>60% Hours</t>
        </is>
      </c>
      <c r="I1647" s="816" t="inlineStr">
        <is>
          <t>Projected</t>
        </is>
      </c>
      <c r="J1647" s="817" t="inlineStr">
        <is>
          <t>Rostered</t>
        </is>
      </c>
      <c r="K1647" s="836" t="inlineStr">
        <is>
          <t>60% Hours</t>
        </is>
      </c>
      <c r="L1647" s="816" t="inlineStr">
        <is>
          <t>Projected</t>
        </is>
      </c>
      <c r="M1647" s="817" t="inlineStr">
        <is>
          <t>Rostered</t>
        </is>
      </c>
      <c r="N1647" s="836" t="inlineStr">
        <is>
          <t>60% Hours</t>
        </is>
      </c>
      <c r="O1647" s="816" t="inlineStr">
        <is>
          <t>Projected</t>
        </is>
      </c>
      <c r="P1647" s="817" t="inlineStr">
        <is>
          <t>Rostered</t>
        </is>
      </c>
    </row>
    <row r="1648" ht="15.75" customHeight="1" s="2">
      <c r="A1648" s="479" t="inlineStr">
        <is>
          <t>Floor</t>
        </is>
      </c>
      <c r="B1648" s="837" t="n">
        <v>365</v>
      </c>
      <c r="C1648" s="810" t="n">
        <v>358</v>
      </c>
      <c r="D1648" s="811" t="n">
        <v>455</v>
      </c>
      <c r="E1648" s="837" t="n">
        <v>326</v>
      </c>
      <c r="F1648" s="810" t="n">
        <v>243</v>
      </c>
      <c r="G1648" s="811" t="n">
        <v>395</v>
      </c>
      <c r="H1648" s="837">
        <f>327-12</f>
        <v/>
      </c>
      <c r="I1648" s="810" t="n">
        <v>238</v>
      </c>
      <c r="J1648" s="811" t="n">
        <v>372</v>
      </c>
      <c r="K1648" s="837" t="n">
        <v>311</v>
      </c>
      <c r="L1648" s="810" t="n">
        <v>223</v>
      </c>
      <c r="M1648" s="811" t="n">
        <v>354</v>
      </c>
      <c r="N1648" s="837" t="n">
        <v>292</v>
      </c>
      <c r="O1648" s="810" t="n">
        <v>232</v>
      </c>
      <c r="P1648" s="811" t="n">
        <v>339</v>
      </c>
    </row>
    <row r="1649" ht="15.75" customHeight="1" s="2" thickBot="1">
      <c r="A1649" s="481" t="inlineStr">
        <is>
          <t>Kitchen</t>
        </is>
      </c>
      <c r="B1649" s="838" t="n">
        <v>249</v>
      </c>
      <c r="C1649" s="813" t="n">
        <v>297</v>
      </c>
      <c r="D1649" s="814" t="n">
        <v>438</v>
      </c>
      <c r="E1649" s="838" t="n">
        <v>245</v>
      </c>
      <c r="F1649" s="840" t="n">
        <v>198</v>
      </c>
      <c r="G1649" s="814" t="n">
        <v>372</v>
      </c>
      <c r="H1649" s="838">
        <f>245-15</f>
        <v/>
      </c>
      <c r="I1649" s="813" t="n">
        <v>195</v>
      </c>
      <c r="J1649" s="814" t="n">
        <v>335</v>
      </c>
      <c r="K1649" s="838" t="n">
        <v>227</v>
      </c>
      <c r="L1649" s="813" t="n">
        <v>182</v>
      </c>
      <c r="M1649" s="814" t="n">
        <v>319</v>
      </c>
      <c r="N1649" s="838" t="n">
        <v>227</v>
      </c>
      <c r="O1649" s="813" t="n">
        <v>217</v>
      </c>
      <c r="P1649" s="814" t="n">
        <v>317</v>
      </c>
    </row>
    <row r="1650" ht="15.75" customHeight="1" s="2" thickBot="1">
      <c r="A1650" s="834" t="n"/>
      <c r="B1650" s="836" t="inlineStr">
        <is>
          <t xml:space="preserve">Minimum </t>
        </is>
      </c>
      <c r="C1650" s="841" t="n"/>
      <c r="D1650" s="841" t="n"/>
      <c r="E1650" s="839" t="inlineStr">
        <is>
          <t>Minimum</t>
        </is>
      </c>
      <c r="F1650" s="841" t="n"/>
      <c r="G1650" s="841" t="n"/>
      <c r="H1650" s="839" t="inlineStr">
        <is>
          <t>Minimum</t>
        </is>
      </c>
      <c r="I1650" s="841" t="n"/>
      <c r="J1650" s="841" t="n"/>
      <c r="K1650" s="839" t="inlineStr">
        <is>
          <t>Minimum</t>
        </is>
      </c>
      <c r="L1650" s="841" t="n"/>
      <c r="M1650" s="841" t="n"/>
      <c r="N1650" s="839" t="inlineStr">
        <is>
          <t>Minimum</t>
        </is>
      </c>
      <c r="O1650" s="835" t="n"/>
      <c r="P1650" s="835" t="n"/>
    </row>
    <row r="1651" ht="15.75" customHeight="1" s="2">
      <c r="A1651" s="834" t="n"/>
      <c r="B1651" s="837" t="n">
        <v>609</v>
      </c>
      <c r="C1651" s="841" t="n"/>
      <c r="D1651" s="841" t="n"/>
      <c r="E1651" s="837" t="n"/>
      <c r="F1651" s="841" t="n"/>
      <c r="G1651" s="841" t="n"/>
      <c r="H1651" s="837" t="n">
        <v>409</v>
      </c>
      <c r="I1651" s="841" t="n"/>
      <c r="J1651" s="841" t="n"/>
      <c r="K1651" s="837" t="n">
        <v>519</v>
      </c>
      <c r="L1651" s="841" t="n"/>
      <c r="M1651" s="841" t="n"/>
      <c r="N1651" s="837" t="n">
        <v>486</v>
      </c>
      <c r="O1651" s="835" t="n"/>
      <c r="P1651" s="835" t="n"/>
    </row>
    <row r="1652" ht="15.75" customHeight="1" s="2" thickBot="1">
      <c r="B1652" s="838" t="n">
        <v>415</v>
      </c>
      <c r="C1652" s="842" t="n"/>
      <c r="D1652" s="842" t="n"/>
      <c r="E1652" s="838" t="n">
        <v>408</v>
      </c>
      <c r="F1652" s="842" t="n"/>
      <c r="G1652" s="842" t="n"/>
      <c r="H1652" s="838" t="n">
        <v>539</v>
      </c>
      <c r="I1652" s="842" t="n"/>
      <c r="J1652" s="842" t="n"/>
      <c r="K1652" s="838" t="n">
        <v>378</v>
      </c>
      <c r="L1652" s="842" t="n"/>
      <c r="M1652" s="842" t="n"/>
      <c r="N1652" s="838" t="n">
        <v>378</v>
      </c>
    </row>
    <row r="1653" ht="15.75" customHeight="1" s="2" thickBot="1">
      <c r="A1653" s="506" t="inlineStr">
        <is>
          <t>Training explanation</t>
        </is>
      </c>
      <c r="C1653" s="523" t="inlineStr">
        <is>
          <t>Floor</t>
        </is>
      </c>
      <c r="D1653" s="524" t="inlineStr">
        <is>
          <t>Kitchen</t>
        </is>
      </c>
      <c r="E1653" s="509" t="n"/>
      <c r="F1653" s="507" t="inlineStr">
        <is>
          <t>Floor</t>
        </is>
      </c>
      <c r="G1653" s="508" t="inlineStr">
        <is>
          <t>Kitchen</t>
        </is>
      </c>
      <c r="H1653" s="510" t="n"/>
      <c r="I1653" s="535" t="n"/>
      <c r="J1653" s="511" t="n"/>
      <c r="K1653" s="512" t="n"/>
      <c r="L1653" s="535" t="inlineStr">
        <is>
          <t>kitchen</t>
        </is>
      </c>
      <c r="M1653" s="513" t="n"/>
      <c r="N1653" s="512" t="n"/>
      <c r="O1653" s="535" t="inlineStr">
        <is>
          <t>kitchen</t>
        </is>
      </c>
      <c r="P1653" s="513" t="n"/>
    </row>
    <row r="1654" ht="15.75" customHeight="1" s="2">
      <c r="A1654" s="506" t="inlineStr">
        <is>
          <t>Who is being Trained</t>
        </is>
      </c>
      <c r="C1654" s="549" t="n"/>
      <c r="D1654" s="525" t="n"/>
      <c r="E1654" s="514" t="n"/>
      <c r="F1654" s="531" t="n"/>
      <c r="G1654" s="824" t="n"/>
      <c r="H1654" s="515" t="n"/>
      <c r="I1654" s="531" t="n"/>
      <c r="J1654" s="824" t="n"/>
      <c r="K1654" s="515" t="n"/>
      <c r="L1654" s="536" t="n"/>
      <c r="M1654" s="532" t="n"/>
      <c r="N1654" s="515" t="n"/>
      <c r="O1654" s="536" t="n"/>
      <c r="P1654" s="532" t="n"/>
    </row>
    <row r="1655" ht="15.75" customHeight="1" s="2">
      <c r="C1655" s="550" t="n"/>
      <c r="D1655" s="526" t="n"/>
      <c r="E1655" s="514" t="n"/>
      <c r="F1655" s="531" t="n"/>
      <c r="G1655" s="530" t="n"/>
      <c r="H1655" s="516" t="n"/>
      <c r="I1655" s="537" t="n"/>
      <c r="J1655" s="530" t="n"/>
      <c r="K1655" s="516" t="n"/>
      <c r="L1655" s="542" t="n"/>
      <c r="M1655" s="530" t="n"/>
      <c r="N1655" s="516" t="n"/>
      <c r="O1655" s="542" t="n"/>
      <c r="P1655" s="530" t="n"/>
    </row>
    <row r="1656" ht="15.75" customHeight="1" s="2">
      <c r="C1656" s="550" t="n"/>
      <c r="D1656" s="527" t="n"/>
      <c r="E1656" s="514" t="n"/>
      <c r="F1656" s="531" t="n"/>
      <c r="G1656" s="530" t="n"/>
      <c r="H1656" s="516" t="n"/>
      <c r="I1656" s="537" t="n"/>
      <c r="J1656" s="530" t="n"/>
      <c r="K1656" s="516" t="n"/>
      <c r="L1656" s="542" t="n"/>
      <c r="M1656" s="539" t="n"/>
      <c r="N1656" s="516" t="n"/>
      <c r="O1656" s="542" t="n"/>
      <c r="P1656" s="539" t="n"/>
    </row>
    <row r="1657" ht="15.75" customHeight="1" s="2">
      <c r="C1657" s="551" t="n"/>
      <c r="D1657" s="561" t="n"/>
      <c r="E1657" s="519" t="n"/>
      <c r="F1657" s="517" t="n"/>
      <c r="G1657" s="518" t="n"/>
      <c r="H1657" s="516" t="n"/>
      <c r="I1657" s="537" t="n"/>
      <c r="J1657" s="530" t="n"/>
      <c r="K1657" s="516" t="n"/>
      <c r="L1657" s="537" t="n"/>
      <c r="M1657" s="539" t="n"/>
      <c r="N1657" s="516" t="n"/>
      <c r="O1657" s="537" t="n"/>
      <c r="P1657" s="539" t="n"/>
    </row>
    <row r="1658" ht="15.75" customHeight="1" s="2">
      <c r="C1658" s="551" t="n"/>
      <c r="D1658" s="528" t="n"/>
      <c r="E1658" s="519" t="n"/>
      <c r="F1658" s="517" t="n"/>
      <c r="G1658" s="518" t="n"/>
      <c r="H1658" s="516" t="n"/>
      <c r="I1658" s="537" t="n"/>
      <c r="J1658" s="533" t="n"/>
      <c r="K1658" s="516" t="n"/>
      <c r="L1658" s="537" t="n"/>
      <c r="M1658" s="540" t="n"/>
      <c r="N1658" s="516" t="n"/>
      <c r="O1658" s="537" t="n"/>
      <c r="P1658" s="540" t="n"/>
    </row>
    <row r="1659" ht="15.75" customHeight="1" s="2" thickBot="1">
      <c r="C1659" s="562" t="n"/>
      <c r="D1659" s="529" t="n"/>
      <c r="E1659" s="519" t="n"/>
      <c r="F1659" s="520" t="n"/>
      <c r="G1659" s="521" t="n"/>
      <c r="H1659" s="516" t="n"/>
      <c r="I1659" s="538" t="n"/>
      <c r="J1659" s="534" t="n"/>
      <c r="K1659" s="522" t="n"/>
      <c r="L1659" s="538" t="n"/>
      <c r="M1659" s="541" t="n"/>
      <c r="N1659" s="522" t="n"/>
      <c r="O1659" s="538" t="n"/>
      <c r="P1659" s="541" t="n"/>
    </row>
    <row r="1660" ht="15.75" customHeight="1" s="2">
      <c r="A1660" s="454">
        <f>O1636-C1664</f>
        <v/>
      </c>
    </row>
    <row r="1661" ht="15.75" customHeight="1" s="2" thickBot="1">
      <c r="K1661" s="454" t="inlineStr">
        <is>
          <t>start school holidays</t>
        </is>
      </c>
    </row>
    <row r="1662" ht="15.75" customHeight="1" s="2" thickBot="1">
      <c r="B1662" s="1640" t="inlineStr">
        <is>
          <t>7.9.2020</t>
        </is>
      </c>
      <c r="C1662" s="1641" t="n"/>
      <c r="D1662" s="1502" t="n"/>
      <c r="E1662" s="1640" t="inlineStr">
        <is>
          <t>14.9.2020</t>
        </is>
      </c>
      <c r="F1662" s="1641" t="n"/>
      <c r="G1662" s="1502" t="n"/>
      <c r="H1662" s="1640" t="inlineStr">
        <is>
          <t>21.9.2020</t>
        </is>
      </c>
      <c r="I1662" s="1641" t="n"/>
      <c r="J1662" s="1502" t="n"/>
      <c r="K1662" s="1640" t="inlineStr">
        <is>
          <t>28.9.2020</t>
        </is>
      </c>
      <c r="L1662" s="1641" t="n"/>
      <c r="M1662" s="1502" t="n"/>
      <c r="N1662" s="1640" t="n"/>
      <c r="O1662" s="1641" t="n"/>
      <c r="P1662" s="1502" t="n"/>
    </row>
    <row r="1663" ht="15.75" customHeight="1" s="2" thickBot="1">
      <c r="A1663" s="455" t="n"/>
      <c r="B1663" s="825" t="inlineStr">
        <is>
          <t>LAST YEAR</t>
        </is>
      </c>
      <c r="C1663" s="826" t="inlineStr">
        <is>
          <t>Actual</t>
        </is>
      </c>
      <c r="D1663" s="827" t="inlineStr">
        <is>
          <t>Projected</t>
        </is>
      </c>
      <c r="E1663" s="825" t="inlineStr">
        <is>
          <t>LAST YEAR</t>
        </is>
      </c>
      <c r="F1663" s="826" t="inlineStr">
        <is>
          <t>Actual</t>
        </is>
      </c>
      <c r="G1663" s="827" t="inlineStr">
        <is>
          <t>Projected</t>
        </is>
      </c>
      <c r="H1663" s="825" t="inlineStr">
        <is>
          <t>LAST YEAR</t>
        </is>
      </c>
      <c r="I1663" s="826" t="inlineStr">
        <is>
          <t>Actual</t>
        </is>
      </c>
      <c r="J1663" s="827" t="inlineStr">
        <is>
          <t>Projected</t>
        </is>
      </c>
      <c r="K1663" s="825" t="inlineStr">
        <is>
          <t>LAST YEAR</t>
        </is>
      </c>
      <c r="L1663" s="826" t="inlineStr">
        <is>
          <t>Actual</t>
        </is>
      </c>
      <c r="M1663" s="827" t="inlineStr">
        <is>
          <t>Projected</t>
        </is>
      </c>
      <c r="N1663" s="825" t="inlineStr">
        <is>
          <t>LAST YEAR</t>
        </is>
      </c>
      <c r="O1663" s="826" t="inlineStr">
        <is>
          <t>Actual</t>
        </is>
      </c>
      <c r="P1663" s="827" t="inlineStr">
        <is>
          <t>Projected</t>
        </is>
      </c>
    </row>
    <row r="1664" ht="15.75" customHeight="1" s="2">
      <c r="A1664" s="459" t="inlineStr">
        <is>
          <t>Total Receipts</t>
        </is>
      </c>
      <c r="B1664" s="1620" t="n">
        <v>141592.82</v>
      </c>
      <c r="C1664" s="1631" t="n">
        <v>62244</v>
      </c>
      <c r="D1664" s="1622" t="n">
        <v>62840</v>
      </c>
      <c r="E1664" s="1620" t="n">
        <v>132035.76</v>
      </c>
      <c r="F1664" s="1631" t="n">
        <v>62210.4</v>
      </c>
      <c r="G1664" s="1622" t="n">
        <v>56710</v>
      </c>
      <c r="H1664" s="1620" t="n">
        <v>127916.86</v>
      </c>
      <c r="I1664" s="1631" t="n">
        <v>65030</v>
      </c>
      <c r="J1664" s="1622" t="n">
        <v>55540</v>
      </c>
      <c r="K1664" s="1620" t="n">
        <v>168519.56</v>
      </c>
      <c r="L1664" s="1631" t="n">
        <v>74481.33</v>
      </c>
      <c r="M1664" s="1622" t="n">
        <v>97105</v>
      </c>
      <c r="N1664" s="1620" t="n"/>
      <c r="O1664" s="1631" t="n"/>
      <c r="P1664" s="1622" t="n"/>
    </row>
    <row r="1665" ht="15.75" customHeight="1" s="2">
      <c r="A1665" s="462" t="inlineStr">
        <is>
          <t>Nett Sales</t>
        </is>
      </c>
      <c r="B1665" s="1623" t="n">
        <v>128720.75</v>
      </c>
      <c r="C1665" s="1632" t="n">
        <v>56585</v>
      </c>
      <c r="D1665" s="1625" t="n">
        <v>57127</v>
      </c>
      <c r="E1665" s="1636" t="n">
        <v>120032.51</v>
      </c>
      <c r="F1665" s="1632" t="n">
        <v>56554.91</v>
      </c>
      <c r="G1665" s="1637" t="n">
        <v>51554</v>
      </c>
      <c r="H1665" s="1623" t="n">
        <v>116288.05</v>
      </c>
      <c r="I1665" s="1632" t="n">
        <v>59118.79</v>
      </c>
      <c r="J1665" s="1625" t="n">
        <v>50490</v>
      </c>
      <c r="K1665" s="1623" t="n">
        <v>153199.6</v>
      </c>
      <c r="L1665" s="1632" t="n">
        <v>67710.3</v>
      </c>
      <c r="M1665" s="1625" t="n">
        <v>88277</v>
      </c>
      <c r="N1665" s="1623" t="n"/>
      <c r="O1665" s="1632" t="n"/>
      <c r="P1665" s="1625" t="n"/>
      <c r="S1665" s="454">
        <f>3219-2792</f>
        <v/>
      </c>
    </row>
    <row r="1666" ht="15.75" customHeight="1" s="2">
      <c r="A1666" s="462" t="inlineStr">
        <is>
          <t>Customers</t>
        </is>
      </c>
      <c r="B1666" s="485" t="n">
        <v>6807</v>
      </c>
      <c r="C1666" s="565" t="n">
        <v>2673</v>
      </c>
      <c r="D1666" s="466" t="n">
        <v>2620</v>
      </c>
      <c r="E1666" s="1642" t="n">
        <v>6112</v>
      </c>
      <c r="F1666" s="565" t="n">
        <v>2723</v>
      </c>
      <c r="G1666" s="466" t="n">
        <v>2355</v>
      </c>
      <c r="H1666" s="485" t="n">
        <v>5879</v>
      </c>
      <c r="I1666" s="565" t="n">
        <v>2792</v>
      </c>
      <c r="J1666" s="466" t="n">
        <v>2445</v>
      </c>
      <c r="K1666" s="485" t="n">
        <v>7691</v>
      </c>
      <c r="L1666" s="565" t="n">
        <v>3219</v>
      </c>
      <c r="M1666" s="466" t="n">
        <v>4385</v>
      </c>
      <c r="N1666" s="485" t="n"/>
      <c r="O1666" s="565" t="n"/>
      <c r="P1666" s="466" t="n"/>
    </row>
    <row r="1667" ht="15.75" customHeight="1" s="2">
      <c r="A1667" s="462" t="inlineStr">
        <is>
          <t>Average Customer Spend</t>
        </is>
      </c>
      <c r="B1667" s="1626" t="n">
        <v>20.8</v>
      </c>
      <c r="C1667" s="1638">
        <f>C1664/C1666</f>
        <v/>
      </c>
      <c r="D1667" s="1628">
        <f>D1664/D1666</f>
        <v/>
      </c>
      <c r="E1667" s="1626" t="n">
        <v>21.60274869109948</v>
      </c>
      <c r="F1667" s="1635">
        <f>F1664/2723</f>
        <v/>
      </c>
      <c r="G1667" s="1628" t="n">
        <v>24.08</v>
      </c>
      <c r="H1667" s="1626" t="n">
        <v>21.75826841299541</v>
      </c>
      <c r="I1667" s="1635">
        <f>I1664/I1666</f>
        <v/>
      </c>
      <c r="J1667" s="1628" t="n">
        <v>22.75</v>
      </c>
      <c r="K1667" s="1626" t="n">
        <v>21.91126771551164</v>
      </c>
      <c r="L1667" s="1635">
        <f>L1664/L1666</f>
        <v/>
      </c>
      <c r="M1667" s="1628" t="n">
        <v>22.14</v>
      </c>
      <c r="N1667" s="1626" t="n"/>
      <c r="O1667" s="1635" t="n"/>
      <c r="P1667" s="1628" t="n"/>
    </row>
    <row r="1668" ht="15.75" customHeight="1" s="2">
      <c r="A1668" s="462" t="inlineStr">
        <is>
          <t>Wage % to Total Receipts</t>
        </is>
      </c>
      <c r="B1668" s="487" t="n">
        <v>0.3707</v>
      </c>
      <c r="C1668" s="567" t="n">
        <v>0.4657</v>
      </c>
      <c r="D1668" s="470" t="n">
        <v>0.4321</v>
      </c>
      <c r="E1668" s="487" t="n">
        <v>0.3759</v>
      </c>
      <c r="F1668" s="567" t="n">
        <v>0.4082</v>
      </c>
      <c r="G1668" s="470" t="n">
        <v>0.4772</v>
      </c>
      <c r="H1668" s="487" t="n">
        <v>0.3667</v>
      </c>
      <c r="I1668" s="567" t="n">
        <v>0.3965</v>
      </c>
      <c r="J1668" s="470" t="n">
        <v>0.4804</v>
      </c>
      <c r="K1668" s="487" t="n">
        <v>0.2983</v>
      </c>
      <c r="L1668" s="567" t="n">
        <v>0.4101</v>
      </c>
      <c r="M1668" s="470" t="n">
        <v>0.3673</v>
      </c>
      <c r="N1668" s="487" t="n"/>
      <c r="O1668" s="567" t="n"/>
      <c r="P1668" s="470" t="n"/>
    </row>
    <row r="1669" ht="15.75" customHeight="1" s="2">
      <c r="A1669" s="462" t="inlineStr">
        <is>
          <t>Wage % to Nett Sales</t>
        </is>
      </c>
      <c r="B1669" s="487" t="n">
        <v>0.4078</v>
      </c>
      <c r="C1669" s="567" t="n">
        <v>0.5122</v>
      </c>
      <c r="D1669" s="470" t="n">
        <v>0.4753</v>
      </c>
      <c r="E1669" s="487" t="n">
        <v>0.4135</v>
      </c>
      <c r="F1669" s="567" t="n">
        <v>0.449</v>
      </c>
      <c r="G1669" s="470" t="n">
        <v>0.5249</v>
      </c>
      <c r="H1669" s="487" t="n">
        <v>0.4033</v>
      </c>
      <c r="I1669" s="567" t="n">
        <v>0.4362</v>
      </c>
      <c r="J1669" s="470" t="n">
        <v>0.5284</v>
      </c>
      <c r="K1669" s="487" t="n">
        <v>0.3281</v>
      </c>
      <c r="L1669" s="567" t="n">
        <v>0.4511</v>
      </c>
      <c r="M1669" s="470" t="n">
        <v>0.4041</v>
      </c>
      <c r="N1669" s="487" t="n"/>
      <c r="O1669" s="567" t="n"/>
      <c r="P1669" s="470" t="n"/>
    </row>
    <row r="1670" ht="15.75" customHeight="1" s="2">
      <c r="A1670" s="462" t="inlineStr">
        <is>
          <t>Productivity</t>
        </is>
      </c>
      <c r="B1670" s="488" t="n">
        <v>4.21</v>
      </c>
      <c r="C1670" s="568" t="n">
        <v>3.38</v>
      </c>
      <c r="D1670" s="472" t="n">
        <v>3.5</v>
      </c>
      <c r="E1670" s="488" t="n">
        <v>4.03</v>
      </c>
      <c r="F1670" s="568" t="n">
        <v>3.84</v>
      </c>
      <c r="G1670" s="472" t="n">
        <v>3.2</v>
      </c>
      <c r="H1670" s="488" t="n">
        <v>4.12</v>
      </c>
      <c r="I1670" s="568" t="n">
        <v>3.87</v>
      </c>
      <c r="J1670" s="472" t="n">
        <v>3.3</v>
      </c>
      <c r="K1670" s="488" t="n">
        <v>5.25</v>
      </c>
      <c r="L1670" s="568" t="n">
        <v>3.62</v>
      </c>
      <c r="M1670" s="472" t="n">
        <v>4.5</v>
      </c>
      <c r="N1670" s="488" t="n"/>
      <c r="O1670" s="568" t="n"/>
      <c r="P1670" s="472" t="n"/>
    </row>
    <row r="1671" ht="15.75" customHeight="1" s="2">
      <c r="A1671" s="462" t="inlineStr">
        <is>
          <t>Average Hourly Rate</t>
        </is>
      </c>
      <c r="B1671" s="1629" t="n">
        <v>32.45</v>
      </c>
      <c r="C1671" s="568" t="n">
        <v>36.61</v>
      </c>
      <c r="D1671" s="1628" t="n">
        <v>36.25</v>
      </c>
      <c r="E1671" s="1629" t="n">
        <v>32.72</v>
      </c>
      <c r="F1671" s="568" t="n">
        <v>35.84</v>
      </c>
      <c r="G1671" s="1628" t="n">
        <v>36.25</v>
      </c>
      <c r="H1671" s="1629" t="n">
        <v>32.86</v>
      </c>
      <c r="I1671" s="568" t="n">
        <v>35.78</v>
      </c>
      <c r="J1671" s="1628" t="n">
        <v>36.25</v>
      </c>
      <c r="K1671" s="1629" t="n">
        <v>34.29</v>
      </c>
      <c r="L1671" s="568" t="n">
        <v>34.31</v>
      </c>
      <c r="M1671" s="1628" t="n">
        <v>36.25</v>
      </c>
      <c r="N1671" s="1629" t="n"/>
      <c r="O1671" s="568" t="n"/>
      <c r="P1671" s="1628" t="n"/>
    </row>
    <row r="1672" ht="15.75" customHeight="1" s="2">
      <c r="A1672" s="462" t="inlineStr">
        <is>
          <t>Total hours for productivity</t>
        </is>
      </c>
      <c r="B1672" s="485" t="n">
        <v>1617.75</v>
      </c>
      <c r="C1672" s="568" t="n">
        <v>791.75</v>
      </c>
      <c r="D1672" s="466" t="n">
        <v>749</v>
      </c>
      <c r="E1672" s="485" t="n">
        <v>1471</v>
      </c>
      <c r="F1672" s="568" t="n">
        <v>708.5</v>
      </c>
      <c r="G1672" s="466" t="n">
        <v>746.5</v>
      </c>
      <c r="H1672" s="485" t="n">
        <v>1426.25</v>
      </c>
      <c r="I1672" s="568" t="n">
        <v>720.75</v>
      </c>
      <c r="J1672" s="472" t="n">
        <v>736</v>
      </c>
      <c r="K1672" s="485" t="n">
        <v>1438</v>
      </c>
      <c r="L1672" s="568" t="n">
        <v>890.25</v>
      </c>
      <c r="M1672" s="466">
        <f>418+518</f>
        <v/>
      </c>
      <c r="N1672" s="485" t="n"/>
      <c r="O1672" s="568" t="n"/>
      <c r="P1672" s="466" t="n"/>
    </row>
    <row r="1673" ht="15.75" customHeight="1" s="2">
      <c r="A1673" s="462" t="inlineStr">
        <is>
          <t>Training Hours used</t>
        </is>
      </c>
      <c r="B1673" s="485" t="n">
        <v>75</v>
      </c>
      <c r="C1673" s="569" t="n"/>
      <c r="D1673" s="466" t="n">
        <v>0</v>
      </c>
      <c r="E1673" s="485" t="n">
        <v>122</v>
      </c>
      <c r="F1673" s="569" t="n"/>
      <c r="G1673" s="466" t="n">
        <v>0</v>
      </c>
      <c r="H1673" s="485" t="n">
        <v>54.5</v>
      </c>
      <c r="I1673" s="569" t="n">
        <v>15</v>
      </c>
      <c r="J1673" s="466" t="n">
        <v>13</v>
      </c>
      <c r="K1673" s="485" t="n"/>
      <c r="L1673" s="569" t="n">
        <v>18</v>
      </c>
      <c r="M1673" s="466" t="n"/>
      <c r="N1673" s="485" t="n"/>
      <c r="O1673" s="569" t="n"/>
      <c r="P1673" s="466" t="n"/>
    </row>
    <row r="1674" ht="15.75" customHeight="1" s="2" thickBot="1">
      <c r="A1674" s="474" t="inlineStr">
        <is>
          <t>Number of hours used to cover sick leave</t>
        </is>
      </c>
      <c r="B1674" s="490" t="n"/>
      <c r="C1674" s="570" t="n"/>
      <c r="D1674" s="476" t="n"/>
      <c r="E1674" s="490" t="n"/>
      <c r="F1674" s="570" t="n"/>
      <c r="G1674" s="476" t="n"/>
      <c r="H1674" s="490" t="n">
        <v>5</v>
      </c>
      <c r="I1674" s="475" t="n">
        <v>30</v>
      </c>
      <c r="J1674" s="476" t="n"/>
      <c r="K1674" s="490" t="n"/>
      <c r="L1674" s="570" t="n"/>
      <c r="M1674" s="476" t="n"/>
      <c r="N1674" s="490" t="n"/>
      <c r="O1674" s="570" t="n"/>
      <c r="P1674" s="476" t="n"/>
    </row>
    <row r="1675" ht="15.75" customHeight="1" s="2" thickBot="1">
      <c r="A1675" s="477" t="inlineStr">
        <is>
          <t xml:space="preserve">Minimum Hours </t>
        </is>
      </c>
      <c r="B1675" s="836" t="inlineStr">
        <is>
          <t>60% Hours</t>
        </is>
      </c>
      <c r="C1675" s="816" t="inlineStr">
        <is>
          <t>Projected</t>
        </is>
      </c>
      <c r="D1675" s="817" t="inlineStr">
        <is>
          <t>Rostered</t>
        </is>
      </c>
      <c r="E1675" s="836" t="inlineStr">
        <is>
          <t>60% Hours</t>
        </is>
      </c>
      <c r="F1675" s="816" t="inlineStr">
        <is>
          <t>Projected</t>
        </is>
      </c>
      <c r="G1675" s="817" t="inlineStr">
        <is>
          <t>Rostered</t>
        </is>
      </c>
      <c r="H1675" s="836" t="inlineStr">
        <is>
          <t>60% Hours</t>
        </is>
      </c>
      <c r="I1675" s="816" t="inlineStr">
        <is>
          <t>Projected</t>
        </is>
      </c>
      <c r="J1675" s="817" t="inlineStr">
        <is>
          <t>Rostered</t>
        </is>
      </c>
      <c r="K1675" s="836" t="inlineStr">
        <is>
          <t>60% Hours</t>
        </is>
      </c>
      <c r="L1675" s="816" t="inlineStr">
        <is>
          <t>Projected</t>
        </is>
      </c>
      <c r="M1675" s="817" t="inlineStr">
        <is>
          <t>Rostered</t>
        </is>
      </c>
      <c r="N1675" s="836" t="inlineStr">
        <is>
          <t>60% Hours</t>
        </is>
      </c>
      <c r="O1675" s="816" t="inlineStr">
        <is>
          <t>Projected</t>
        </is>
      </c>
      <c r="P1675" s="817" t="inlineStr">
        <is>
          <t>Rostered</t>
        </is>
      </c>
    </row>
    <row r="1676" ht="15.75" customHeight="1" s="2">
      <c r="A1676" s="479" t="inlineStr">
        <is>
          <t>Floor</t>
        </is>
      </c>
      <c r="B1676" s="837" t="n">
        <v>269</v>
      </c>
      <c r="C1676" s="810" t="n">
        <v>274</v>
      </c>
      <c r="D1676" s="811" t="n">
        <v>339</v>
      </c>
      <c r="E1676" s="837" t="n">
        <v>269</v>
      </c>
      <c r="F1676" s="810" t="n">
        <v>247</v>
      </c>
      <c r="G1676" s="811" t="n">
        <v>419</v>
      </c>
      <c r="H1676" s="837" t="n">
        <v>269</v>
      </c>
      <c r="I1676" s="810" t="n">
        <v>256</v>
      </c>
      <c r="J1676" s="811" t="n">
        <v>393</v>
      </c>
      <c r="K1676" s="855" t="n"/>
      <c r="L1676" s="810" t="n">
        <v>459</v>
      </c>
      <c r="M1676" s="811" t="n">
        <v>518</v>
      </c>
      <c r="N1676" s="855" t="n"/>
      <c r="O1676" s="810" t="n"/>
      <c r="P1676" s="811" t="n"/>
    </row>
    <row r="1677" ht="15.75" customHeight="1" s="2" thickBot="1">
      <c r="A1677" s="481" t="inlineStr">
        <is>
          <t>Kitchen</t>
        </is>
      </c>
      <c r="B1677" s="838" t="n">
        <v>227</v>
      </c>
      <c r="C1677" s="813" t="n">
        <v>225</v>
      </c>
      <c r="D1677" s="814" t="n">
        <v>317</v>
      </c>
      <c r="E1677" s="838" t="n">
        <v>227</v>
      </c>
      <c r="F1677" s="840" t="n">
        <v>202</v>
      </c>
      <c r="G1677" s="814" t="n">
        <v>327.5</v>
      </c>
      <c r="H1677" s="838" t="n">
        <v>227</v>
      </c>
      <c r="I1677" s="813" t="n">
        <v>210</v>
      </c>
      <c r="J1677" s="814" t="n">
        <v>343</v>
      </c>
      <c r="K1677" s="856" t="n"/>
      <c r="L1677" s="813" t="n">
        <v>376</v>
      </c>
      <c r="M1677" s="814" t="n">
        <v>417</v>
      </c>
      <c r="N1677" s="856" t="n"/>
      <c r="O1677" s="813" t="n"/>
      <c r="P1677" s="814" t="n"/>
    </row>
    <row r="1678" ht="15.75" customHeight="1" s="2" thickBot="1">
      <c r="A1678" s="834" t="n"/>
      <c r="B1678" s="836" t="inlineStr">
        <is>
          <t xml:space="preserve">Minimum </t>
        </is>
      </c>
      <c r="C1678" s="841" t="n"/>
      <c r="D1678" s="841" t="n"/>
      <c r="E1678" s="839" t="inlineStr">
        <is>
          <t>Minimum</t>
        </is>
      </c>
      <c r="F1678" s="841" t="n"/>
      <c r="G1678" s="841" t="n"/>
      <c r="H1678" s="839" t="inlineStr">
        <is>
          <t>Minimum</t>
        </is>
      </c>
      <c r="I1678" s="841" t="n"/>
      <c r="J1678" s="841" t="n"/>
      <c r="K1678" s="839" t="inlineStr">
        <is>
          <t>Minimum</t>
        </is>
      </c>
      <c r="L1678" s="841" t="n"/>
      <c r="M1678" s="841" t="n"/>
      <c r="N1678" s="839" t="inlineStr">
        <is>
          <t>Minimum</t>
        </is>
      </c>
      <c r="O1678" s="835" t="n"/>
      <c r="P1678" s="835" t="n"/>
    </row>
    <row r="1679" ht="15.75" customHeight="1" s="2">
      <c r="A1679" s="834" t="n"/>
      <c r="B1679" s="837" t="n">
        <v>448</v>
      </c>
      <c r="C1679" s="841" t="n"/>
      <c r="D1679" s="841" t="n"/>
      <c r="E1679" s="837" t="n">
        <v>448</v>
      </c>
      <c r="F1679" s="841" t="n"/>
      <c r="G1679" s="841" t="n"/>
      <c r="H1679" s="837" t="n">
        <v>448</v>
      </c>
      <c r="I1679" s="841" t="n"/>
      <c r="J1679" s="841" t="n"/>
      <c r="K1679" s="837" t="n"/>
      <c r="L1679" s="841" t="n"/>
      <c r="M1679" s="841" t="n"/>
      <c r="N1679" s="837" t="n"/>
      <c r="O1679" s="835" t="n"/>
      <c r="P1679" s="835" t="n"/>
    </row>
    <row r="1680" ht="15.75" customHeight="1" s="2" thickBot="1">
      <c r="B1680" s="838" t="n">
        <v>378</v>
      </c>
      <c r="C1680" s="842" t="n"/>
      <c r="D1680" s="842" t="n"/>
      <c r="E1680" s="838" t="n">
        <v>378</v>
      </c>
      <c r="F1680" s="842" t="n"/>
      <c r="G1680" s="842" t="n"/>
      <c r="H1680" s="838" t="n">
        <v>378</v>
      </c>
      <c r="I1680" s="842" t="n"/>
      <c r="J1680" s="842" t="n"/>
      <c r="K1680" s="838" t="n"/>
      <c r="L1680" s="842" t="n"/>
      <c r="M1680" s="842" t="n"/>
      <c r="N1680" s="838" t="n"/>
    </row>
    <row r="1681" ht="15.75" customHeight="1" s="2" thickBot="1">
      <c r="A1681" s="506" t="inlineStr">
        <is>
          <t>Training explanation</t>
        </is>
      </c>
      <c r="C1681" s="523" t="inlineStr">
        <is>
          <t>Floor</t>
        </is>
      </c>
      <c r="D1681" s="524" t="inlineStr">
        <is>
          <t>Kitchen</t>
        </is>
      </c>
      <c r="E1681" s="509" t="n"/>
      <c r="F1681" s="507" t="inlineStr">
        <is>
          <t>Floor</t>
        </is>
      </c>
      <c r="G1681" s="508" t="inlineStr">
        <is>
          <t>Kitchen</t>
        </is>
      </c>
      <c r="H1681" s="510" t="n"/>
      <c r="I1681" s="535" t="n"/>
      <c r="J1681" s="511" t="n"/>
      <c r="K1681" s="512" t="n"/>
      <c r="L1681" s="535" t="inlineStr">
        <is>
          <t>kitchen</t>
        </is>
      </c>
      <c r="M1681" s="513" t="n"/>
      <c r="N1681" s="512" t="n"/>
      <c r="O1681" s="535" t="inlineStr">
        <is>
          <t>kitchen</t>
        </is>
      </c>
      <c r="P1681" s="513" t="n"/>
    </row>
    <row r="1682" ht="15.75" customHeight="1" s="2">
      <c r="A1682" s="506" t="inlineStr">
        <is>
          <t>Who is being Trained</t>
        </is>
      </c>
      <c r="C1682" s="549" t="n"/>
      <c r="D1682" s="525" t="n"/>
      <c r="E1682" s="514" t="n"/>
      <c r="F1682" s="531" t="n"/>
      <c r="G1682" s="824" t="n"/>
      <c r="H1682" s="515" t="n"/>
      <c r="I1682" s="531" t="inlineStr">
        <is>
          <t>Niraj T1-T3 pizza</t>
        </is>
      </c>
      <c r="J1682" s="824" t="n">
        <v>13</v>
      </c>
      <c r="K1682" s="515" t="n"/>
      <c r="L1682" s="536" t="n"/>
      <c r="M1682" s="532" t="n"/>
      <c r="N1682" s="515" t="n"/>
      <c r="O1682" s="536" t="n"/>
      <c r="P1682" s="532" t="n"/>
    </row>
    <row r="1683" ht="15.75" customHeight="1" s="2">
      <c r="C1683" s="550" t="n"/>
      <c r="D1683" s="526" t="n"/>
      <c r="E1683" s="514" t="n"/>
      <c r="F1683" s="531" t="n"/>
      <c r="G1683" s="530" t="n"/>
      <c r="H1683" s="516" t="n"/>
      <c r="I1683" s="537" t="n"/>
      <c r="J1683" s="530" t="n"/>
      <c r="K1683" s="516" t="n"/>
      <c r="L1683" s="542" t="n"/>
      <c r="M1683" s="530" t="n"/>
      <c r="N1683" s="516" t="n"/>
      <c r="O1683" s="542" t="n"/>
      <c r="P1683" s="530" t="n"/>
    </row>
    <row r="1684" ht="15.75" customHeight="1" s="2">
      <c r="C1684" s="550" t="n"/>
      <c r="D1684" s="527" t="n"/>
      <c r="E1684" s="514" t="n"/>
      <c r="F1684" s="531" t="n"/>
      <c r="G1684" s="530" t="n"/>
      <c r="H1684" s="516" t="n"/>
      <c r="I1684" s="537" t="n"/>
      <c r="J1684" s="530" t="n"/>
      <c r="K1684" s="516" t="n"/>
      <c r="L1684" s="542" t="n"/>
      <c r="M1684" s="539" t="n"/>
      <c r="N1684" s="516" t="n"/>
      <c r="O1684" s="542" t="n"/>
      <c r="P1684" s="539" t="n"/>
    </row>
    <row r="1685" ht="15.75" customHeight="1" s="2">
      <c r="C1685" s="551" t="n"/>
      <c r="D1685" s="561" t="n"/>
      <c r="E1685" s="519" t="n"/>
      <c r="F1685" s="517" t="n"/>
      <c r="G1685" s="518" t="n"/>
      <c r="H1685" s="516" t="n"/>
      <c r="I1685" s="537" t="n"/>
      <c r="J1685" s="530" t="n"/>
      <c r="K1685" s="516" t="n"/>
      <c r="L1685" s="537" t="n"/>
      <c r="M1685" s="539" t="n"/>
      <c r="N1685" s="516" t="n"/>
      <c r="O1685" s="537" t="n"/>
      <c r="P1685" s="539" t="n"/>
    </row>
    <row r="1686" ht="15.75" customHeight="1" s="2">
      <c r="C1686" s="551" t="n"/>
      <c r="D1686" s="528" t="n"/>
      <c r="E1686" s="519" t="n"/>
      <c r="F1686" s="517" t="n"/>
      <c r="G1686" s="518" t="n"/>
      <c r="H1686" s="516" t="n"/>
      <c r="I1686" s="537" t="n"/>
      <c r="J1686" s="533" t="n"/>
      <c r="K1686" s="516" t="n"/>
      <c r="L1686" s="537" t="n"/>
      <c r="M1686" s="540" t="n"/>
      <c r="N1686" s="516" t="n"/>
      <c r="O1686" s="537" t="n"/>
      <c r="P1686" s="540" t="n"/>
    </row>
    <row r="1687" ht="15.75" customHeight="1" s="2" thickBot="1">
      <c r="C1687" s="562" t="n"/>
      <c r="D1687" s="529" t="n"/>
      <c r="E1687" s="519" t="n"/>
      <c r="F1687" s="520" t="n"/>
      <c r="G1687" s="521" t="n"/>
      <c r="H1687" s="516" t="n"/>
      <c r="I1687" s="538" t="n"/>
      <c r="J1687" s="534" t="n"/>
      <c r="K1687" s="522" t="n"/>
      <c r="L1687" s="538" t="n"/>
      <c r="M1687" s="541" t="n"/>
      <c r="N1687" s="522" t="n"/>
      <c r="O1687" s="538" t="n"/>
      <c r="P1687" s="541" t="n"/>
    </row>
    <row r="1688" ht="15.75" customHeight="1" s="2" thickBot="1">
      <c r="B1688" s="454" t="inlineStr">
        <is>
          <t>1st week+public holiday on Monday</t>
        </is>
      </c>
      <c r="E1688" s="454" t="inlineStr">
        <is>
          <t>2nd week schools + no pupil free on Monday</t>
        </is>
      </c>
    </row>
    <row r="1689" ht="15.75" customHeight="1" s="2" thickBot="1">
      <c r="B1689" s="1640" t="inlineStr">
        <is>
          <t>5.10.2020</t>
        </is>
      </c>
      <c r="C1689" s="1641" t="n"/>
      <c r="D1689" s="1502" t="n"/>
      <c r="E1689" s="1640" t="inlineStr">
        <is>
          <t>12.10.20</t>
        </is>
      </c>
      <c r="F1689" s="1641" t="n"/>
      <c r="G1689" s="1502" t="n"/>
      <c r="H1689" s="1640" t="inlineStr">
        <is>
          <t>19.10.2020</t>
        </is>
      </c>
      <c r="I1689" s="1641" t="n"/>
      <c r="J1689" s="1502" t="n"/>
      <c r="K1689" s="1640" t="inlineStr">
        <is>
          <t>26.10.2020</t>
        </is>
      </c>
      <c r="L1689" s="1641" t="n"/>
      <c r="M1689" s="1502" t="n"/>
      <c r="N1689" s="1640" t="n"/>
      <c r="O1689" s="1641" t="n"/>
      <c r="P1689" s="1502" t="n"/>
    </row>
    <row r="1690" ht="15.75" customHeight="1" s="2" thickBot="1">
      <c r="A1690" s="455" t="n"/>
      <c r="B1690" s="825" t="inlineStr">
        <is>
          <t>LAST YEAR</t>
        </is>
      </c>
      <c r="C1690" s="826" t="inlineStr">
        <is>
          <t>Actual</t>
        </is>
      </c>
      <c r="D1690" s="827" t="inlineStr">
        <is>
          <t>Projected</t>
        </is>
      </c>
      <c r="E1690" s="825" t="inlineStr">
        <is>
          <t>LAST YEAR</t>
        </is>
      </c>
      <c r="F1690" s="826" t="inlineStr">
        <is>
          <t>Actual</t>
        </is>
      </c>
      <c r="G1690" s="827" t="inlineStr">
        <is>
          <t>Projected</t>
        </is>
      </c>
      <c r="H1690" s="825" t="inlineStr">
        <is>
          <t>LAST YEAR</t>
        </is>
      </c>
      <c r="I1690" s="826" t="inlineStr">
        <is>
          <t>Actual</t>
        </is>
      </c>
      <c r="J1690" s="827" t="inlineStr">
        <is>
          <t>Projected</t>
        </is>
      </c>
      <c r="K1690" s="825" t="inlineStr">
        <is>
          <t>LAST YEAR</t>
        </is>
      </c>
      <c r="L1690" s="826" t="inlineStr">
        <is>
          <t>Actual</t>
        </is>
      </c>
      <c r="M1690" s="827" t="inlineStr">
        <is>
          <t>Projected</t>
        </is>
      </c>
      <c r="N1690" s="825" t="inlineStr">
        <is>
          <t>LAST YEAR</t>
        </is>
      </c>
      <c r="O1690" s="826" t="inlineStr">
        <is>
          <t>Actual</t>
        </is>
      </c>
      <c r="P1690" s="827" t="inlineStr">
        <is>
          <t>Projected</t>
        </is>
      </c>
    </row>
    <row r="1691" ht="15.75" customHeight="1" s="2">
      <c r="A1691" s="459" t="inlineStr">
        <is>
          <t>Total Receipts</t>
        </is>
      </c>
      <c r="B1691" s="1620" t="n">
        <v>212193.72</v>
      </c>
      <c r="C1691" s="1631" t="n">
        <v>121581.2</v>
      </c>
      <c r="D1691" s="1622" t="n">
        <v>122524</v>
      </c>
      <c r="E1691" s="1620" t="n">
        <v>151481.53</v>
      </c>
      <c r="F1691" s="1631" t="n">
        <v>95153.86</v>
      </c>
      <c r="G1691" s="1622" t="n">
        <v>92215</v>
      </c>
      <c r="H1691" s="1620" t="n">
        <v>129477.48</v>
      </c>
      <c r="I1691" s="1631" t="n">
        <v>69887.98</v>
      </c>
      <c r="J1691" s="1622" t="n">
        <v>62667</v>
      </c>
      <c r="K1691" s="1620" t="n">
        <v>137288.37</v>
      </c>
      <c r="L1691" s="1631" t="n">
        <v>69471.05</v>
      </c>
      <c r="M1691" s="1622" t="n">
        <v>69227</v>
      </c>
      <c r="N1691" s="1620" t="n"/>
      <c r="O1691" s="1631" t="n"/>
      <c r="P1691" s="1622" t="n"/>
    </row>
    <row r="1692" ht="15.75" customHeight="1" s="2">
      <c r="A1692" s="462" t="inlineStr">
        <is>
          <t>Nett Sales</t>
        </is>
      </c>
      <c r="B1692" s="1623" t="n">
        <v>192903.3818181818</v>
      </c>
      <c r="C1692" s="1632" t="n">
        <v>110528.36</v>
      </c>
      <c r="D1692" s="1625">
        <f>D1691/1.1</f>
        <v/>
      </c>
      <c r="E1692" s="1636" t="n">
        <v>137710.48</v>
      </c>
      <c r="F1692" s="1632" t="n">
        <v>86503.50999999999</v>
      </c>
      <c r="G1692" s="1637" t="n">
        <v>83831.8</v>
      </c>
      <c r="H1692" s="1623" t="n">
        <v>117706.8</v>
      </c>
      <c r="I1692" s="1632" t="n">
        <v>63534.53</v>
      </c>
      <c r="J1692" s="1625" t="n">
        <v>56969.5</v>
      </c>
      <c r="K1692" s="1623" t="n">
        <v>124807.61</v>
      </c>
      <c r="L1692" s="1632" t="n">
        <v>63155.5</v>
      </c>
      <c r="M1692" s="1625" t="n">
        <v>62933.2</v>
      </c>
      <c r="N1692" s="1623" t="n"/>
      <c r="O1692" s="1632" t="n"/>
      <c r="P1692" s="1625" t="n"/>
    </row>
    <row r="1693" ht="15.75" customHeight="1" s="2">
      <c r="A1693" s="462" t="inlineStr">
        <is>
          <t>Customers</t>
        </is>
      </c>
      <c r="B1693" s="485" t="n">
        <v>9582</v>
      </c>
      <c r="C1693" s="565" t="n">
        <v>5094</v>
      </c>
      <c r="D1693" s="466" t="n">
        <v>5595</v>
      </c>
      <c r="E1693" s="1642" t="n">
        <v>7310</v>
      </c>
      <c r="F1693" s="565" t="n">
        <v>4275</v>
      </c>
      <c r="G1693" s="466" t="n">
        <v>4270</v>
      </c>
      <c r="H1693" s="485" t="n">
        <v>6008</v>
      </c>
      <c r="I1693" s="565" t="n">
        <v>2988</v>
      </c>
      <c r="J1693" s="466" t="n">
        <v>2790</v>
      </c>
      <c r="K1693" s="485" t="n">
        <v>6320</v>
      </c>
      <c r="L1693" s="565" t="n">
        <v>2957</v>
      </c>
      <c r="M1693" s="466" t="n">
        <v>3095</v>
      </c>
      <c r="N1693" s="485" t="n"/>
      <c r="O1693" s="565" t="n"/>
      <c r="P1693" s="466" t="n"/>
    </row>
    <row r="1694" ht="15.75" customHeight="1" s="2">
      <c r="A1694" s="462" t="inlineStr">
        <is>
          <t>Average Customer Spend</t>
        </is>
      </c>
      <c r="B1694" s="1626" t="n">
        <v>22.1450344395742</v>
      </c>
      <c r="C1694" s="1638">
        <f>C1691/C1693</f>
        <v/>
      </c>
      <c r="D1694" s="1628" t="n">
        <v>21.9</v>
      </c>
      <c r="E1694" s="1626" t="n">
        <v>20.72250752393981</v>
      </c>
      <c r="F1694" s="1635">
        <f>F1691/4275</f>
        <v/>
      </c>
      <c r="G1694" s="1628" t="n">
        <v>21.6</v>
      </c>
      <c r="H1694" s="1626" t="n">
        <v>21.55084553928096</v>
      </c>
      <c r="I1694" s="1635">
        <f>I1691/2988</f>
        <v/>
      </c>
      <c r="J1694" s="1628" t="n">
        <v>22.46</v>
      </c>
      <c r="K1694" s="1626" t="n">
        <v>21.72284335443038</v>
      </c>
      <c r="L1694" s="1635">
        <f>69471/2957</f>
        <v/>
      </c>
      <c r="M1694" s="1628" t="n">
        <v>22.37</v>
      </c>
      <c r="N1694" s="1626" t="n"/>
      <c r="O1694" s="1635" t="n"/>
      <c r="P1694" s="1628" t="n"/>
    </row>
    <row r="1695" ht="15.75" customHeight="1" s="2">
      <c r="A1695" s="462" t="inlineStr">
        <is>
          <t>Wage % to Total Receipts</t>
        </is>
      </c>
      <c r="B1695" s="487" t="n">
        <v>0.313</v>
      </c>
      <c r="C1695" s="567" t="n">
        <v>0.3549</v>
      </c>
      <c r="D1695" s="470" t="n">
        <v>0.3944</v>
      </c>
      <c r="E1695" s="487" t="n">
        <v>0.3505</v>
      </c>
      <c r="F1695" s="567" t="n">
        <v>0.3538</v>
      </c>
      <c r="G1695" s="470" t="n">
        <v>0.4055</v>
      </c>
      <c r="H1695" s="487" t="n">
        <v>0.3828</v>
      </c>
      <c r="I1695" s="567" t="n">
        <v>0.3738</v>
      </c>
      <c r="J1695" s="470" t="n">
        <v>0.4257</v>
      </c>
      <c r="K1695" s="487" t="n">
        <v>0.3295</v>
      </c>
      <c r="L1695" s="567" t="n">
        <v>0.3737</v>
      </c>
      <c r="M1695" s="470" t="n">
        <v>0.3951</v>
      </c>
      <c r="N1695" s="487" t="n"/>
      <c r="O1695" s="567" t="n"/>
      <c r="P1695" s="470" t="n"/>
    </row>
    <row r="1696" ht="15.75" customHeight="1" s="2">
      <c r="A1696" s="462" t="inlineStr">
        <is>
          <t>Wage % to Nett Sales</t>
        </is>
      </c>
      <c r="B1696" s="487" t="n">
        <v>0.3443</v>
      </c>
      <c r="C1696" s="567" t="n">
        <v>0.3904</v>
      </c>
      <c r="D1696" s="470" t="n">
        <v>0.4338</v>
      </c>
      <c r="E1696" s="487" t="n">
        <v>0.3855</v>
      </c>
      <c r="F1696" s="567" t="n">
        <v>0.3892</v>
      </c>
      <c r="G1696" s="470" t="n">
        <v>0.446</v>
      </c>
      <c r="H1696" s="487" t="n">
        <v>0.421</v>
      </c>
      <c r="I1696" s="567" t="n">
        <v>0.4112</v>
      </c>
      <c r="J1696" s="470" t="n">
        <v>0.4683</v>
      </c>
      <c r="K1696" s="487" t="n">
        <v>0.3625</v>
      </c>
      <c r="L1696" s="567" t="n">
        <v>0.411</v>
      </c>
      <c r="M1696" s="470" t="n">
        <v>0.4346</v>
      </c>
      <c r="N1696" s="487" t="n"/>
      <c r="O1696" s="567" t="n"/>
      <c r="P1696" s="470" t="n"/>
    </row>
    <row r="1697" ht="15.75" customHeight="1" s="2">
      <c r="A1697" s="462" t="inlineStr">
        <is>
          <t>Productivity</t>
        </is>
      </c>
      <c r="B1697" s="488" t="n">
        <v>5.36</v>
      </c>
      <c r="C1697" s="568" t="n">
        <v>4.39</v>
      </c>
      <c r="D1697" s="472" t="n">
        <v>4.5</v>
      </c>
      <c r="E1697" s="488" t="n">
        <v>4.8</v>
      </c>
      <c r="F1697" s="568" t="n">
        <v>4.33</v>
      </c>
      <c r="G1697" s="472" t="n">
        <v>4.1</v>
      </c>
      <c r="H1697" s="488" t="n">
        <v>4.23</v>
      </c>
      <c r="I1697" s="568" t="n">
        <v>4.06</v>
      </c>
      <c r="J1697" s="472" t="n">
        <v>3.8</v>
      </c>
      <c r="K1697" s="488" t="n">
        <v>4.81</v>
      </c>
      <c r="L1697" s="568" t="n">
        <v>4.02</v>
      </c>
      <c r="M1697" s="472" t="n">
        <v>4.1</v>
      </c>
      <c r="N1697" s="488" t="n"/>
      <c r="O1697" s="568" t="n"/>
      <c r="P1697" s="472" t="n"/>
    </row>
    <row r="1698" ht="15.75" customHeight="1" s="2">
      <c r="A1698" s="462" t="inlineStr">
        <is>
          <t>Average Hourly Rate</t>
        </is>
      </c>
      <c r="B1698" s="1629" t="n">
        <v>37.13</v>
      </c>
      <c r="C1698" s="568" t="n">
        <v>37.17</v>
      </c>
      <c r="D1698" s="1628" t="n">
        <v>39</v>
      </c>
      <c r="E1698" s="1629" t="n">
        <v>34.84</v>
      </c>
      <c r="F1698" s="568" t="n">
        <v>34.1</v>
      </c>
      <c r="G1698" s="1628" t="n">
        <v>36.25</v>
      </c>
      <c r="H1698" s="1629" t="n">
        <v>34.89</v>
      </c>
      <c r="I1698" s="568" t="n">
        <v>35.52</v>
      </c>
      <c r="J1698" s="1628" t="n">
        <v>36.25</v>
      </c>
      <c r="K1698" s="1629" t="n">
        <v>34.43</v>
      </c>
      <c r="L1698" s="568" t="n">
        <v>35.29</v>
      </c>
      <c r="M1698" s="1628" t="n">
        <v>36.25</v>
      </c>
      <c r="N1698" s="1629" t="n"/>
      <c r="O1698" s="568" t="n"/>
      <c r="P1698" s="1628" t="n"/>
    </row>
    <row r="1699" ht="15.75" customHeight="1" s="2">
      <c r="A1699" s="462" t="inlineStr">
        <is>
          <t xml:space="preserve"> </t>
        </is>
      </c>
      <c r="B1699" s="485" t="n">
        <v>1783.25</v>
      </c>
      <c r="C1699" s="568" t="n">
        <v>1161</v>
      </c>
      <c r="D1699" s="466" t="n">
        <v>1239</v>
      </c>
      <c r="E1699" s="485" t="n">
        <v>1526</v>
      </c>
      <c r="F1699" s="568" t="n">
        <v>987.25</v>
      </c>
      <c r="G1699" s="466" t="n">
        <v>1031.5</v>
      </c>
      <c r="H1699" s="485" t="n">
        <v>1421.45</v>
      </c>
      <c r="I1699" s="568" t="n">
        <v>735.5</v>
      </c>
      <c r="J1699" s="472" t="n">
        <v>736</v>
      </c>
      <c r="K1699" s="485" t="n">
        <v>1314</v>
      </c>
      <c r="L1699" s="568" t="n">
        <v>735.5</v>
      </c>
      <c r="M1699" s="466" t="n">
        <v>754.5</v>
      </c>
      <c r="N1699" s="485" t="n"/>
      <c r="O1699" s="568" t="n"/>
      <c r="P1699" s="466" t="n"/>
    </row>
    <row r="1700" ht="15.75" customHeight="1" s="2">
      <c r="A1700" s="462" t="inlineStr">
        <is>
          <t>Training Hours used</t>
        </is>
      </c>
      <c r="B1700" s="485" t="n"/>
      <c r="C1700" s="569" t="n"/>
      <c r="D1700" s="466" t="n"/>
      <c r="E1700" s="485" t="n">
        <v>15</v>
      </c>
      <c r="F1700" s="569" t="n"/>
      <c r="G1700" s="466" t="n"/>
      <c r="H1700" s="485" t="n">
        <v>67</v>
      </c>
      <c r="I1700" s="569" t="n">
        <v>0</v>
      </c>
      <c r="J1700" s="466" t="n">
        <v>0</v>
      </c>
      <c r="K1700" s="485" t="n">
        <v>23</v>
      </c>
      <c r="L1700" s="569" t="n">
        <v>0</v>
      </c>
      <c r="M1700" s="466" t="n">
        <v>0</v>
      </c>
      <c r="N1700" s="485" t="n"/>
      <c r="O1700" s="569" t="n"/>
      <c r="P1700" s="466" t="n"/>
    </row>
    <row r="1701" ht="15.75" customHeight="1" s="2" thickBot="1">
      <c r="A1701" s="474" t="inlineStr">
        <is>
          <t>Number of hours used to cover sick leave</t>
        </is>
      </c>
      <c r="B1701" s="490" t="n"/>
      <c r="C1701" s="570" t="n"/>
      <c r="D1701" s="476" t="n"/>
      <c r="E1701" s="490" t="n"/>
      <c r="F1701" s="570" t="n">
        <v>0</v>
      </c>
      <c r="G1701" s="476" t="n"/>
      <c r="H1701" s="490" t="n"/>
      <c r="I1701" s="475" t="n">
        <v>9.5</v>
      </c>
      <c r="J1701" s="476" t="n"/>
      <c r="K1701" s="490" t="n"/>
      <c r="L1701" s="570" t="n">
        <v>0</v>
      </c>
      <c r="M1701" s="476" t="n">
        <v>0</v>
      </c>
      <c r="N1701" s="490" t="n"/>
      <c r="O1701" s="570" t="n"/>
      <c r="P1701" s="476" t="n"/>
    </row>
    <row r="1702" ht="15.75" customHeight="1" s="2" thickBot="1">
      <c r="A1702" s="477" t="inlineStr">
        <is>
          <t xml:space="preserve">Minimum Hours </t>
        </is>
      </c>
      <c r="B1702" s="836" t="inlineStr">
        <is>
          <t>60% Hours</t>
        </is>
      </c>
      <c r="C1702" s="816" t="inlineStr">
        <is>
          <t>Projected</t>
        </is>
      </c>
      <c r="D1702" s="817" t="inlineStr">
        <is>
          <t>Rostered</t>
        </is>
      </c>
      <c r="E1702" s="836" t="inlineStr">
        <is>
          <t>60% Hours</t>
        </is>
      </c>
      <c r="F1702" s="816" t="inlineStr">
        <is>
          <t>Projected</t>
        </is>
      </c>
      <c r="G1702" s="817" t="inlineStr">
        <is>
          <t>Rostered</t>
        </is>
      </c>
      <c r="H1702" s="836" t="inlineStr">
        <is>
          <t>60% Hours</t>
        </is>
      </c>
      <c r="I1702" s="816" t="inlineStr">
        <is>
          <t>Projected</t>
        </is>
      </c>
      <c r="J1702" s="817" t="inlineStr">
        <is>
          <t>Rostered</t>
        </is>
      </c>
      <c r="K1702" s="836" t="inlineStr">
        <is>
          <t>60% Hours</t>
        </is>
      </c>
      <c r="L1702" s="816" t="inlineStr">
        <is>
          <t>Projected</t>
        </is>
      </c>
      <c r="M1702" s="817" t="inlineStr">
        <is>
          <t>Rostered</t>
        </is>
      </c>
      <c r="N1702" s="836" t="inlineStr">
        <is>
          <t>60% Hours</t>
        </is>
      </c>
      <c r="O1702" s="816" t="inlineStr">
        <is>
          <t>Projected</t>
        </is>
      </c>
      <c r="P1702" s="817" t="inlineStr">
        <is>
          <t>Rostered</t>
        </is>
      </c>
    </row>
    <row r="1703" ht="15.75" customHeight="1" s="2">
      <c r="A1703" s="479" t="inlineStr">
        <is>
          <t>Floor</t>
        </is>
      </c>
      <c r="B1703" s="855" t="n"/>
      <c r="C1703" s="810" t="n">
        <v>689</v>
      </c>
      <c r="D1703" s="811" t="n">
        <v>711</v>
      </c>
      <c r="E1703" s="855" t="n"/>
      <c r="F1703" s="810" t="n">
        <v>447</v>
      </c>
      <c r="G1703" s="811" t="n">
        <v>549</v>
      </c>
      <c r="H1703" s="855" t="n"/>
      <c r="I1703" s="810" t="n">
        <v>292</v>
      </c>
      <c r="J1703" s="811" t="n">
        <v>384</v>
      </c>
      <c r="K1703" s="855" t="n"/>
      <c r="L1703" s="810" t="n">
        <v>324</v>
      </c>
      <c r="M1703" s="811" t="n">
        <v>407</v>
      </c>
      <c r="N1703" s="855" t="n"/>
      <c r="O1703" s="810" t="n"/>
      <c r="P1703" s="811" t="n"/>
    </row>
    <row r="1704" ht="15.75" customHeight="1" s="2" thickBot="1">
      <c r="A1704" s="481" t="inlineStr">
        <is>
          <t>Kitchen</t>
        </is>
      </c>
      <c r="B1704" s="856" t="n"/>
      <c r="C1704" s="813" t="n">
        <v>563</v>
      </c>
      <c r="D1704" s="814" t="n">
        <v>529</v>
      </c>
      <c r="E1704" s="856" t="n"/>
      <c r="F1704" s="840" t="n">
        <v>366</v>
      </c>
      <c r="G1704" s="814" t="n">
        <v>483</v>
      </c>
      <c r="H1704" s="856" t="n"/>
      <c r="I1704" s="813" t="n">
        <v>239</v>
      </c>
      <c r="J1704" s="814" t="n">
        <v>352</v>
      </c>
      <c r="K1704" s="856" t="n"/>
      <c r="L1704" s="813" t="n">
        <v>265</v>
      </c>
      <c r="M1704" s="814" t="n">
        <v>348</v>
      </c>
      <c r="N1704" s="856" t="n"/>
      <c r="O1704" s="813" t="n"/>
      <c r="P1704" s="814" t="n"/>
    </row>
    <row r="1705" ht="15.75" customHeight="1" s="2" thickBot="1">
      <c r="A1705" s="834" t="n"/>
      <c r="B1705" s="836" t="inlineStr">
        <is>
          <t xml:space="preserve">Minimum </t>
        </is>
      </c>
      <c r="C1705" s="841" t="n"/>
      <c r="D1705" s="841" t="n"/>
      <c r="E1705" s="839" t="inlineStr">
        <is>
          <t>Minimum</t>
        </is>
      </c>
      <c r="F1705" s="841" t="n"/>
      <c r="G1705" s="841" t="n"/>
      <c r="H1705" s="839" t="inlineStr">
        <is>
          <t>Minimum</t>
        </is>
      </c>
      <c r="I1705" s="841" t="n"/>
      <c r="J1705" s="841" t="n"/>
      <c r="K1705" s="839" t="inlineStr">
        <is>
          <t>Minimum</t>
        </is>
      </c>
      <c r="L1705" s="841" t="n"/>
      <c r="M1705" s="841" t="n"/>
      <c r="N1705" s="839" t="inlineStr">
        <is>
          <t>Minimum</t>
        </is>
      </c>
      <c r="O1705" s="835" t="n"/>
      <c r="P1705" s="835" t="n"/>
    </row>
    <row r="1706" ht="15.75" customHeight="1" s="2">
      <c r="A1706" s="834" t="n"/>
      <c r="B1706" s="837" t="n"/>
      <c r="C1706" s="841" t="n"/>
      <c r="D1706" s="841" t="n"/>
      <c r="E1706" s="837" t="n"/>
      <c r="F1706" s="841" t="n"/>
      <c r="G1706" s="841" t="n"/>
      <c r="H1706" s="837" t="n"/>
      <c r="I1706" s="841" t="n"/>
      <c r="J1706" s="841" t="n"/>
      <c r="K1706" s="837" t="n"/>
      <c r="L1706" s="841" t="n"/>
      <c r="M1706" s="841" t="n"/>
      <c r="N1706" s="837" t="n"/>
      <c r="O1706" s="835" t="n"/>
      <c r="P1706" s="835" t="n"/>
    </row>
    <row r="1707" ht="15.75" customHeight="1" s="2" thickBot="1">
      <c r="B1707" s="838" t="n"/>
      <c r="C1707" s="842" t="n"/>
      <c r="D1707" s="842" t="n"/>
      <c r="E1707" s="838" t="n"/>
      <c r="F1707" s="842" t="n"/>
      <c r="G1707" s="842" t="n"/>
      <c r="H1707" s="838" t="n"/>
      <c r="I1707" s="842" t="n"/>
      <c r="J1707" s="842" t="n"/>
      <c r="K1707" s="838" t="n"/>
      <c r="L1707" s="842" t="n"/>
      <c r="M1707" s="842" t="n"/>
      <c r="N1707" s="838" t="n"/>
    </row>
    <row r="1708" ht="15.75" customHeight="1" s="2" thickBot="1">
      <c r="A1708" s="506" t="inlineStr">
        <is>
          <t>Training explanation</t>
        </is>
      </c>
      <c r="C1708" s="523" t="n"/>
      <c r="D1708" s="524" t="inlineStr">
        <is>
          <t>Kitchen</t>
        </is>
      </c>
      <c r="E1708" s="509" t="n"/>
      <c r="F1708" s="507" t="inlineStr">
        <is>
          <t>Floor</t>
        </is>
      </c>
      <c r="G1708" s="508" t="inlineStr">
        <is>
          <t>Kitchen</t>
        </is>
      </c>
      <c r="H1708" s="510" t="n"/>
      <c r="I1708" s="535" t="n"/>
      <c r="J1708" s="511" t="n"/>
      <c r="K1708" s="512" t="n"/>
      <c r="L1708" s="535" t="inlineStr">
        <is>
          <t>kitchen</t>
        </is>
      </c>
      <c r="M1708" s="513" t="n"/>
      <c r="N1708" s="512" t="n"/>
      <c r="O1708" s="535" t="inlineStr">
        <is>
          <t>kitchen</t>
        </is>
      </c>
      <c r="P1708" s="513" t="n"/>
    </row>
    <row r="1709" ht="15.75" customHeight="1" s="2">
      <c r="A1709" s="506" t="inlineStr">
        <is>
          <t>Who is being Trained</t>
        </is>
      </c>
      <c r="C1709" s="525" t="n"/>
      <c r="D1709" s="527" t="n"/>
      <c r="E1709" s="514" t="n"/>
      <c r="F1709" s="531" t="n"/>
      <c r="G1709" s="824" t="n"/>
      <c r="H1709" s="515" t="n"/>
      <c r="I1709" s="531" t="n"/>
      <c r="J1709" s="824" t="n"/>
      <c r="K1709" s="515" t="n"/>
      <c r="L1709" s="536" t="n"/>
      <c r="M1709" s="532" t="n"/>
      <c r="N1709" s="515" t="n"/>
      <c r="O1709" s="536" t="n"/>
      <c r="P1709" s="532" t="n"/>
    </row>
    <row r="1710" ht="15.75" customHeight="1" s="2">
      <c r="C1710" s="550" t="n"/>
      <c r="D1710" s="526" t="n"/>
      <c r="E1710" s="514" t="n"/>
      <c r="F1710" s="531" t="n"/>
      <c r="G1710" s="530" t="n"/>
      <c r="H1710" s="516" t="n"/>
      <c r="I1710" s="537" t="n"/>
      <c r="J1710" s="530" t="n"/>
      <c r="K1710" s="516" t="n"/>
      <c r="L1710" s="542" t="n"/>
      <c r="M1710" s="530" t="n"/>
      <c r="N1710" s="516" t="n"/>
      <c r="O1710" s="542" t="n"/>
      <c r="P1710" s="530" t="n"/>
    </row>
    <row r="1711" ht="15.75" customHeight="1" s="2">
      <c r="C1711" s="550" t="n"/>
      <c r="D1711" s="527" t="n"/>
      <c r="E1711" s="514" t="n"/>
      <c r="F1711" s="531" t="n"/>
      <c r="G1711" s="530" t="n"/>
      <c r="H1711" s="516" t="n"/>
      <c r="I1711" s="537" t="n"/>
      <c r="J1711" s="530" t="n"/>
      <c r="K1711" s="516" t="n"/>
      <c r="L1711" s="542" t="n"/>
      <c r="M1711" s="539" t="n"/>
      <c r="N1711" s="516" t="n"/>
      <c r="O1711" s="542" t="n"/>
      <c r="P1711" s="539" t="n"/>
    </row>
    <row r="1712" ht="15.75" customHeight="1" s="2">
      <c r="C1712" s="551" t="n"/>
      <c r="D1712" s="561" t="n"/>
      <c r="E1712" s="519" t="n"/>
      <c r="F1712" s="517" t="n"/>
      <c r="G1712" s="518" t="n"/>
      <c r="H1712" s="516" t="n"/>
      <c r="I1712" s="537" t="n"/>
      <c r="J1712" s="530" t="n"/>
      <c r="K1712" s="516" t="n"/>
      <c r="L1712" s="537" t="n"/>
      <c r="M1712" s="539" t="n"/>
      <c r="N1712" s="516" t="n"/>
      <c r="O1712" s="537" t="n"/>
      <c r="P1712" s="539" t="n"/>
    </row>
    <row r="1713" ht="15.75" customHeight="1" s="2">
      <c r="C1713" s="551" t="n"/>
      <c r="D1713" s="528" t="n"/>
      <c r="E1713" s="519" t="n"/>
      <c r="F1713" s="517" t="n"/>
      <c r="G1713" s="518" t="n"/>
      <c r="H1713" s="516" t="n"/>
      <c r="I1713" s="537" t="n"/>
      <c r="J1713" s="533" t="n"/>
      <c r="K1713" s="516" t="n"/>
      <c r="L1713" s="537" t="n"/>
      <c r="M1713" s="540" t="n"/>
      <c r="N1713" s="516" t="n"/>
      <c r="O1713" s="537" t="n"/>
      <c r="P1713" s="540" t="n"/>
    </row>
    <row r="1714" ht="15.75" customHeight="1" s="2" thickBot="1">
      <c r="C1714" s="562" t="n"/>
      <c r="D1714" s="529" t="n"/>
      <c r="E1714" s="519" t="n"/>
      <c r="F1714" s="520" t="n"/>
      <c r="G1714" s="521" t="n"/>
      <c r="H1714" s="516" t="n"/>
      <c r="I1714" s="538" t="n"/>
      <c r="J1714" s="534" t="n"/>
      <c r="K1714" s="522" t="n"/>
      <c r="L1714" s="538" t="n"/>
      <c r="M1714" s="541" t="n"/>
      <c r="N1714" s="522" t="n"/>
      <c r="O1714" s="538" t="n"/>
      <c r="P1714" s="541" t="n"/>
    </row>
    <row r="1716" ht="15.75" customHeight="1" s="2" thickBot="1"/>
    <row r="1717" ht="15.75" customHeight="1" s="2" thickBot="1">
      <c r="B1717" s="1640" t="inlineStr">
        <is>
          <t>2.11.2020</t>
        </is>
      </c>
      <c r="C1717" s="1641" t="n"/>
      <c r="D1717" s="1502" t="n"/>
      <c r="E1717" s="1640" t="inlineStr">
        <is>
          <t>9.11.2020</t>
        </is>
      </c>
      <c r="F1717" s="1641" t="n"/>
      <c r="G1717" s="1502" t="n"/>
      <c r="H1717" s="1640" t="inlineStr">
        <is>
          <t>16.11.2020</t>
        </is>
      </c>
      <c r="I1717" s="1641" t="n"/>
      <c r="J1717" s="1502" t="n"/>
      <c r="K1717" s="1640" t="inlineStr">
        <is>
          <t>23.11.2020</t>
        </is>
      </c>
      <c r="L1717" s="1641" t="n"/>
      <c r="M1717" s="1502" t="n"/>
      <c r="N1717" s="1640" t="inlineStr">
        <is>
          <t>30.11.20</t>
        </is>
      </c>
      <c r="O1717" s="1641" t="n"/>
      <c r="P1717" s="1502" t="n"/>
    </row>
    <row r="1718" ht="15.75" customHeight="1" s="2" thickBot="1">
      <c r="A1718" s="455" t="n"/>
      <c r="B1718" s="825" t="inlineStr">
        <is>
          <t>LAST YEAR</t>
        </is>
      </c>
      <c r="C1718" s="826" t="inlineStr">
        <is>
          <t>Actual</t>
        </is>
      </c>
      <c r="D1718" s="827" t="inlineStr">
        <is>
          <t>Projected</t>
        </is>
      </c>
      <c r="E1718" s="825" t="inlineStr">
        <is>
          <t>LAST YEAR</t>
        </is>
      </c>
      <c r="F1718" s="826" t="inlineStr">
        <is>
          <t>Actual</t>
        </is>
      </c>
      <c r="G1718" s="827" t="inlineStr">
        <is>
          <t>Projected</t>
        </is>
      </c>
      <c r="H1718" s="825" t="inlineStr">
        <is>
          <t>LAST YEAR</t>
        </is>
      </c>
      <c r="I1718" s="826" t="inlineStr">
        <is>
          <t>Actual</t>
        </is>
      </c>
      <c r="J1718" s="827" t="inlineStr">
        <is>
          <t>Projected</t>
        </is>
      </c>
      <c r="K1718" s="825" t="inlineStr">
        <is>
          <t>LAST YEAR</t>
        </is>
      </c>
      <c r="L1718" s="826" t="inlineStr">
        <is>
          <t>Actual</t>
        </is>
      </c>
      <c r="M1718" s="827" t="inlineStr">
        <is>
          <t>Projected</t>
        </is>
      </c>
      <c r="N1718" s="825" t="inlineStr">
        <is>
          <t>LAST YEAR</t>
        </is>
      </c>
      <c r="O1718" s="826" t="inlineStr">
        <is>
          <t>Actual</t>
        </is>
      </c>
      <c r="P1718" s="827" t="inlineStr">
        <is>
          <t>Projected</t>
        </is>
      </c>
    </row>
    <row r="1719" ht="15.75" customHeight="1" s="2">
      <c r="A1719" s="459" t="inlineStr">
        <is>
          <t>Total Receipts</t>
        </is>
      </c>
      <c r="B1719" s="1620" t="n">
        <v>131818.33</v>
      </c>
      <c r="C1719" s="1631" t="n">
        <v>69124</v>
      </c>
      <c r="D1719" s="1622" t="n">
        <v>60420</v>
      </c>
      <c r="E1719" s="1620" t="n">
        <v>137617.08</v>
      </c>
      <c r="F1719" s="1643" t="n">
        <v>77119</v>
      </c>
      <c r="G1719" s="1622" t="n">
        <v>69206</v>
      </c>
      <c r="H1719" s="1620" t="n">
        <v>143105.97</v>
      </c>
      <c r="I1719" s="1643" t="n">
        <v>77184.21000000001</v>
      </c>
      <c r="J1719" s="1622" t="n">
        <v>70398</v>
      </c>
      <c r="K1719" s="1644" t="n">
        <v>149201.57</v>
      </c>
      <c r="L1719" s="1643" t="n">
        <v>75780.17</v>
      </c>
      <c r="M1719" s="1645" t="n">
        <v>72848</v>
      </c>
      <c r="N1719" s="1644" t="n">
        <v>147273.71</v>
      </c>
      <c r="O1719" s="1631" t="n">
        <v>71771.86</v>
      </c>
      <c r="P1719" s="1622" t="n">
        <v>75209</v>
      </c>
    </row>
    <row r="1720" ht="15.75" customHeight="1" s="2">
      <c r="A1720" s="462" t="inlineStr">
        <is>
          <t>Nett Sales</t>
        </is>
      </c>
      <c r="B1720" s="1623" t="n">
        <v>119834.85</v>
      </c>
      <c r="C1720" s="1632" t="n">
        <v>62840.27</v>
      </c>
      <c r="D1720" s="1625" t="n">
        <v>54927.3</v>
      </c>
      <c r="E1720" s="1636" t="n">
        <v>125106.4363636363</v>
      </c>
      <c r="F1720" s="1632" t="n">
        <v>70108.69</v>
      </c>
      <c r="G1720" s="1637" t="n">
        <v>62914.5</v>
      </c>
      <c r="H1720" s="1623" t="n">
        <v>130096.34</v>
      </c>
      <c r="I1720" s="1632" t="n">
        <v>70167.46000000001</v>
      </c>
      <c r="J1720" s="1625" t="n">
        <v>63997</v>
      </c>
      <c r="K1720" s="1646" t="n">
        <v>135637.9</v>
      </c>
      <c r="L1720" s="1632" t="n">
        <v>68891.06</v>
      </c>
      <c r="M1720" s="1625" t="n">
        <v>66225</v>
      </c>
      <c r="N1720" s="1646" t="n">
        <v>133885.19</v>
      </c>
      <c r="O1720" s="1632" t="n">
        <v>65247.15</v>
      </c>
      <c r="P1720" s="1625" t="n">
        <v>68371</v>
      </c>
    </row>
    <row r="1721" ht="15.75" customHeight="1" s="2">
      <c r="A1721" s="462" t="inlineStr">
        <is>
          <t>Customers</t>
        </is>
      </c>
      <c r="B1721" s="485" t="n">
        <v>6237</v>
      </c>
      <c r="C1721" s="565" t="n">
        <v>2915</v>
      </c>
      <c r="D1721" s="466" t="n">
        <v>2675</v>
      </c>
      <c r="E1721" s="1642" t="n">
        <v>6492</v>
      </c>
      <c r="F1721" s="565" t="n">
        <v>3296</v>
      </c>
      <c r="G1721" s="466" t="n">
        <v>2984</v>
      </c>
      <c r="H1721" s="485" t="n">
        <v>6674</v>
      </c>
      <c r="I1721" s="565" t="n">
        <v>3350</v>
      </c>
      <c r="J1721" s="466" t="n">
        <v>3035</v>
      </c>
      <c r="K1721" s="866" t="n">
        <v>7190</v>
      </c>
      <c r="L1721" s="565" t="n">
        <v>3313</v>
      </c>
      <c r="M1721" s="466" t="n">
        <v>3140</v>
      </c>
      <c r="N1721" s="866" t="n">
        <v>7004</v>
      </c>
      <c r="O1721" s="565" t="n">
        <v>3141</v>
      </c>
      <c r="P1721" s="466" t="n">
        <v>3217</v>
      </c>
    </row>
    <row r="1722" ht="15.75" customHeight="1" s="2">
      <c r="A1722" s="462" t="inlineStr">
        <is>
          <t>Average Customer Spend</t>
        </is>
      </c>
      <c r="B1722" s="1626" t="n">
        <v>21.13489337822671</v>
      </c>
      <c r="C1722" s="1638" t="n">
        <v>23.71</v>
      </c>
      <c r="D1722" s="1628" t="n">
        <v>22.59</v>
      </c>
      <c r="E1722" s="1626" t="n">
        <v>21.19794824399261</v>
      </c>
      <c r="F1722" s="1647" t="n">
        <v>23.4</v>
      </c>
      <c r="G1722" s="1628" t="n">
        <v>23.19</v>
      </c>
      <c r="H1722" s="1626" t="n">
        <v>21.44230896014384</v>
      </c>
      <c r="I1722" s="1647" t="n">
        <v>23.04</v>
      </c>
      <c r="J1722" s="1628" t="n">
        <v>23.2</v>
      </c>
      <c r="K1722" s="1648">
        <f>K1719/K1721</f>
        <v/>
      </c>
      <c r="L1722" s="1647" t="n">
        <v>22.87</v>
      </c>
      <c r="M1722" s="1649" t="n">
        <v>23.2</v>
      </c>
      <c r="N1722" s="1648">
        <f>N1719/N1721</f>
        <v/>
      </c>
      <c r="O1722" s="1635" t="n">
        <v>22.85</v>
      </c>
      <c r="P1722" s="1628" t="n">
        <v>22.92</v>
      </c>
    </row>
    <row r="1723" ht="15.75" customHeight="1" s="2">
      <c r="A1723" s="462" t="inlineStr">
        <is>
          <t>Wage % to Total Receipts</t>
        </is>
      </c>
      <c r="B1723" s="487" t="n">
        <v>0.349</v>
      </c>
      <c r="C1723" s="567" t="n">
        <v>0.3939</v>
      </c>
      <c r="D1723" s="470" t="n">
        <v>0.4701</v>
      </c>
      <c r="E1723" s="487" t="n">
        <v>0.3275</v>
      </c>
      <c r="F1723" s="860" t="n">
        <v>0.3542</v>
      </c>
      <c r="G1723" s="470" t="n">
        <v>0.4107</v>
      </c>
      <c r="H1723" s="487" t="n">
        <v>0.3292</v>
      </c>
      <c r="I1723" s="860" t="n">
        <v>0.36754</v>
      </c>
      <c r="J1723" s="470" t="n">
        <v>0.3932</v>
      </c>
      <c r="K1723" s="868" t="n">
        <v>0.3171</v>
      </c>
      <c r="L1723" s="860" t="n">
        <v>0.3809</v>
      </c>
      <c r="M1723" s="863" t="n">
        <v>0.3685</v>
      </c>
      <c r="N1723" s="868" t="n">
        <v>0.3192</v>
      </c>
      <c r="O1723" s="567" t="n">
        <v>0.4015</v>
      </c>
      <c r="P1723" s="470" t="n">
        <v>0.4001</v>
      </c>
    </row>
    <row r="1724" ht="15.75" customHeight="1" s="2">
      <c r="A1724" s="462" t="inlineStr">
        <is>
          <t>Wage % to Nett Sales</t>
        </is>
      </c>
      <c r="B1724" s="487" t="n">
        <v>0.3839</v>
      </c>
      <c r="C1724" s="567" t="n">
        <v>0.4333</v>
      </c>
      <c r="D1724" s="470" t="n">
        <v>0.5171</v>
      </c>
      <c r="E1724" s="487" t="n">
        <v>0.3602</v>
      </c>
      <c r="F1724" s="860" t="n">
        <v>0.3897</v>
      </c>
      <c r="G1724" s="470" t="n">
        <v>0.4517</v>
      </c>
      <c r="H1724" s="487" t="n">
        <v>0.3621</v>
      </c>
      <c r="I1724" s="860" t="n">
        <v>0.4041</v>
      </c>
      <c r="J1724" s="470" t="n">
        <v>0.4325</v>
      </c>
      <c r="K1724" s="868" t="n">
        <v>0.3489</v>
      </c>
      <c r="L1724" s="860" t="n">
        <v>0.419</v>
      </c>
      <c r="M1724" s="863" t="n">
        <v>0.4053</v>
      </c>
      <c r="N1724" s="868" t="n">
        <v>0.3511</v>
      </c>
      <c r="O1724" s="567" t="n">
        <v>0.4416</v>
      </c>
      <c r="P1724" s="470" t="n">
        <v>0.4401</v>
      </c>
    </row>
    <row r="1725" ht="15.75" customHeight="1" s="2">
      <c r="A1725" s="462" t="inlineStr">
        <is>
          <t>Productivity</t>
        </is>
      </c>
      <c r="B1725" s="488" t="n">
        <v>4.63</v>
      </c>
      <c r="C1725" s="568" t="n">
        <v>3.74</v>
      </c>
      <c r="D1725" s="472" t="n">
        <v>3.4</v>
      </c>
      <c r="E1725" s="488" t="n">
        <v>4.85</v>
      </c>
      <c r="F1725" s="568" t="n">
        <v>4.29</v>
      </c>
      <c r="G1725" s="472" t="n">
        <v>3.8</v>
      </c>
      <c r="H1725" s="488" t="n">
        <v>4.79</v>
      </c>
      <c r="I1725" s="568" t="n">
        <v>4.46</v>
      </c>
      <c r="J1725" s="472" t="n">
        <v>4</v>
      </c>
      <c r="K1725" s="869" t="n">
        <v>5.17</v>
      </c>
      <c r="L1725" s="568" t="n">
        <v>4.19</v>
      </c>
      <c r="M1725" s="472" t="n">
        <v>4.2</v>
      </c>
      <c r="N1725" s="869" t="n">
        <v>4.99</v>
      </c>
      <c r="O1725" s="568" t="n">
        <v>3.95</v>
      </c>
      <c r="P1725" s="472" t="n">
        <v>3.9</v>
      </c>
    </row>
    <row r="1726" ht="15.75" customHeight="1" s="2">
      <c r="A1726" s="462" t="inlineStr">
        <is>
          <t>Average Hourly Rate</t>
        </is>
      </c>
      <c r="B1726" s="1629" t="n">
        <v>34.16</v>
      </c>
      <c r="C1726" s="568" t="n">
        <v>34.94</v>
      </c>
      <c r="D1726" s="1628" t="n">
        <v>36.25</v>
      </c>
      <c r="E1726" s="1629" t="n">
        <v>33.66</v>
      </c>
      <c r="F1726" s="568" t="n">
        <v>35.57</v>
      </c>
      <c r="G1726" s="1628" t="n">
        <v>36.25</v>
      </c>
      <c r="H1726" s="1629" t="n">
        <v>33.79</v>
      </c>
      <c r="I1726" s="568" t="n">
        <v>37.76</v>
      </c>
      <c r="J1726" s="1628" t="n">
        <v>36.25</v>
      </c>
      <c r="K1726" s="869" t="n">
        <v>33.99</v>
      </c>
      <c r="L1726" s="568" t="n">
        <v>36.47</v>
      </c>
      <c r="M1726" s="1649" t="n">
        <v>36.25</v>
      </c>
      <c r="N1726" s="869" t="n">
        <v>33.47</v>
      </c>
      <c r="O1726" s="568" t="n">
        <v>36.2</v>
      </c>
      <c r="P1726" s="1628" t="n">
        <v>36.25</v>
      </c>
    </row>
    <row r="1727" ht="15.75" customHeight="1" s="2">
      <c r="A1727" s="462" t="inlineStr">
        <is>
          <t>Total hours for productivity</t>
        </is>
      </c>
      <c r="B1727" s="485" t="n">
        <v>1346.75</v>
      </c>
      <c r="C1727" s="568" t="n">
        <v>779.25</v>
      </c>
      <c r="D1727" s="466" t="n">
        <v>783.5</v>
      </c>
      <c r="E1727" s="485" t="n">
        <v>1338.75</v>
      </c>
      <c r="F1727" s="568" t="n">
        <v>768</v>
      </c>
      <c r="G1727" s="466" t="n">
        <v>784</v>
      </c>
      <c r="H1727" s="485" t="n">
        <v>1394</v>
      </c>
      <c r="I1727" s="568" t="n">
        <v>751.25</v>
      </c>
      <c r="J1727" s="472" t="n">
        <v>736.5</v>
      </c>
      <c r="K1727" s="869" t="n">
        <v>1392</v>
      </c>
      <c r="L1727" s="568" t="n">
        <v>791.5</v>
      </c>
      <c r="M1727" s="466" t="n">
        <v>740.25</v>
      </c>
      <c r="N1727" s="869" t="n">
        <v>1404.5</v>
      </c>
      <c r="O1727" s="568" t="n">
        <v>796</v>
      </c>
      <c r="P1727" s="466" t="n">
        <v>830</v>
      </c>
    </row>
    <row r="1728" ht="15.75" customHeight="1" s="2">
      <c r="A1728" s="462" t="inlineStr">
        <is>
          <t>Training Hours used</t>
        </is>
      </c>
      <c r="B1728" s="485" t="n">
        <v>35</v>
      </c>
      <c r="C1728" s="569" t="n">
        <v>28.5</v>
      </c>
      <c r="D1728" s="466" t="n">
        <v>33.5</v>
      </c>
      <c r="E1728" s="485" t="n">
        <v>28</v>
      </c>
      <c r="F1728" s="569" t="n">
        <v>13</v>
      </c>
      <c r="G1728" s="466" t="n">
        <v>25</v>
      </c>
      <c r="H1728" s="485" t="n">
        <v>46</v>
      </c>
      <c r="I1728" s="569" t="n"/>
      <c r="J1728" s="466" t="n"/>
      <c r="K1728" s="870" t="n">
        <v>20</v>
      </c>
      <c r="L1728" s="569" t="n">
        <v>37</v>
      </c>
      <c r="M1728" s="466" t="n"/>
      <c r="N1728" s="870" t="n">
        <v>0</v>
      </c>
      <c r="O1728" s="569" t="n">
        <v>30</v>
      </c>
      <c r="P1728" s="466" t="n"/>
    </row>
    <row r="1729" ht="15.75" customHeight="1" s="2" thickBot="1">
      <c r="A1729" s="474" t="inlineStr">
        <is>
          <t>Number of hours used to cover sick leave</t>
        </is>
      </c>
      <c r="B1729" s="490" t="n"/>
      <c r="C1729" s="570" t="n"/>
      <c r="D1729" s="476" t="n"/>
      <c r="E1729" s="490" t="n">
        <v>27</v>
      </c>
      <c r="F1729" s="570" t="n"/>
      <c r="G1729" s="476" t="n"/>
      <c r="H1729" s="490" t="n">
        <v>24</v>
      </c>
      <c r="I1729" s="475" t="n">
        <v>59.5</v>
      </c>
      <c r="J1729" s="476" t="n"/>
      <c r="K1729" s="490" t="n"/>
      <c r="L1729" s="570" t="n"/>
      <c r="M1729" s="476" t="n"/>
      <c r="N1729" s="490" t="n"/>
      <c r="O1729" s="570" t="n">
        <v>24.5</v>
      </c>
      <c r="P1729" s="476" t="n"/>
    </row>
    <row r="1730" ht="15.75" customHeight="1" s="2" thickBot="1">
      <c r="A1730" s="477" t="inlineStr">
        <is>
          <t xml:space="preserve">Minimum Hours </t>
        </is>
      </c>
      <c r="B1730" s="836" t="inlineStr">
        <is>
          <t>60% Hours</t>
        </is>
      </c>
      <c r="C1730" s="816" t="inlineStr">
        <is>
          <t>Projected</t>
        </is>
      </c>
      <c r="D1730" s="817" t="inlineStr">
        <is>
          <t>Rostered</t>
        </is>
      </c>
      <c r="E1730" s="836" t="inlineStr">
        <is>
          <t>60% Hours</t>
        </is>
      </c>
      <c r="F1730" s="816" t="inlineStr">
        <is>
          <t>Projected</t>
        </is>
      </c>
      <c r="G1730" s="817" t="inlineStr">
        <is>
          <t>Rostered</t>
        </is>
      </c>
      <c r="H1730" s="836" t="inlineStr">
        <is>
          <t>60% Hours</t>
        </is>
      </c>
      <c r="I1730" s="816" t="inlineStr">
        <is>
          <t>Projected</t>
        </is>
      </c>
      <c r="J1730" s="817" t="inlineStr">
        <is>
          <t>Rostered</t>
        </is>
      </c>
      <c r="K1730" s="836" t="inlineStr">
        <is>
          <t>60% Hours</t>
        </is>
      </c>
      <c r="L1730" s="816" t="inlineStr">
        <is>
          <t>Projected</t>
        </is>
      </c>
      <c r="M1730" s="817" t="inlineStr">
        <is>
          <t>Rostered</t>
        </is>
      </c>
      <c r="N1730" s="836" t="inlineStr">
        <is>
          <t>60% Hours</t>
        </is>
      </c>
      <c r="O1730" s="816" t="inlineStr">
        <is>
          <t>Projected</t>
        </is>
      </c>
      <c r="P1730" s="817" t="inlineStr">
        <is>
          <t>Rostered</t>
        </is>
      </c>
    </row>
    <row r="1731" ht="15.75" customHeight="1" s="2">
      <c r="A1731" s="479" t="inlineStr">
        <is>
          <t>Floor</t>
        </is>
      </c>
      <c r="B1731" s="855" t="n"/>
      <c r="C1731" s="810" t="n">
        <v>280</v>
      </c>
      <c r="D1731" s="811" t="n">
        <v>418</v>
      </c>
      <c r="E1731" s="855" t="n"/>
      <c r="F1731" s="810" t="n">
        <v>298</v>
      </c>
      <c r="G1731" s="811" t="n">
        <v>416</v>
      </c>
      <c r="H1731" s="855" t="n"/>
      <c r="I1731" s="810" t="n">
        <v>371</v>
      </c>
      <c r="J1731" s="811" t="n">
        <v>396</v>
      </c>
      <c r="K1731" s="855" t="n"/>
      <c r="L1731" s="810" t="n"/>
      <c r="M1731" s="811" t="n"/>
      <c r="N1731" s="855" t="n"/>
      <c r="O1731" s="810" t="n"/>
      <c r="P1731" s="811" t="n"/>
    </row>
    <row r="1732" ht="15.75" customHeight="1" s="2" thickBot="1">
      <c r="A1732" s="481" t="inlineStr">
        <is>
          <t>Kitchen</t>
        </is>
      </c>
      <c r="B1732" s="856" t="n"/>
      <c r="C1732" s="813" t="n">
        <v>229</v>
      </c>
      <c r="D1732" s="814" t="n">
        <v>366</v>
      </c>
      <c r="E1732" s="856" t="n"/>
      <c r="F1732" s="840" t="n">
        <v>244</v>
      </c>
      <c r="G1732" s="814" t="n">
        <v>368</v>
      </c>
      <c r="H1732" s="856" t="n"/>
      <c r="I1732" s="813" t="n">
        <v>304</v>
      </c>
      <c r="J1732" s="814" t="n">
        <v>372</v>
      </c>
      <c r="K1732" s="856" t="n"/>
      <c r="L1732" s="813" t="n"/>
      <c r="M1732" s="814" t="n"/>
      <c r="N1732" s="856" t="n"/>
      <c r="O1732" s="813" t="n"/>
      <c r="P1732" s="814" t="n"/>
    </row>
    <row r="1733" ht="15.75" customHeight="1" s="2" thickBot="1">
      <c r="A1733" s="834" t="n"/>
      <c r="B1733" s="836" t="inlineStr">
        <is>
          <t xml:space="preserve">Minimum </t>
        </is>
      </c>
      <c r="C1733" s="841" t="n"/>
      <c r="D1733" s="841" t="n"/>
      <c r="E1733" s="839" t="inlineStr">
        <is>
          <t>Minimum</t>
        </is>
      </c>
      <c r="F1733" s="841" t="n"/>
      <c r="G1733" s="841" t="n"/>
      <c r="H1733" s="839" t="inlineStr">
        <is>
          <t>Minimum</t>
        </is>
      </c>
      <c r="I1733" s="841" t="n"/>
      <c r="J1733" s="841" t="n"/>
      <c r="K1733" s="839" t="inlineStr">
        <is>
          <t>Minimum</t>
        </is>
      </c>
      <c r="L1733" s="841" t="n"/>
      <c r="M1733" s="841" t="n"/>
      <c r="N1733" s="839" t="n"/>
      <c r="O1733" s="835" t="n"/>
      <c r="P1733" s="835" t="n"/>
    </row>
    <row r="1734" ht="15.75" customHeight="1" s="2">
      <c r="A1734" s="834" t="n"/>
      <c r="B1734" s="837" t="n"/>
      <c r="C1734" s="841" t="n"/>
      <c r="D1734" s="841" t="n"/>
      <c r="E1734" s="837" t="n"/>
      <c r="F1734" s="841" t="n"/>
      <c r="G1734" s="841" t="n"/>
      <c r="H1734" s="837" t="n"/>
      <c r="I1734" s="841" t="n"/>
      <c r="J1734" s="841" t="n"/>
      <c r="K1734" s="837" t="n"/>
      <c r="L1734" s="841" t="n"/>
      <c r="M1734" s="841" t="n"/>
      <c r="N1734" s="837" t="n"/>
      <c r="O1734" s="835" t="n"/>
      <c r="P1734" s="835" t="n"/>
    </row>
    <row r="1735" ht="15.75" customHeight="1" s="2" thickBot="1">
      <c r="B1735" s="838" t="n"/>
      <c r="C1735" s="842" t="n"/>
      <c r="D1735" s="842" t="n"/>
      <c r="E1735" s="838" t="n"/>
      <c r="F1735" s="842" t="n"/>
      <c r="G1735" s="842" t="n"/>
      <c r="H1735" s="838" t="n"/>
      <c r="I1735" s="842" t="n"/>
      <c r="J1735" s="842" t="n"/>
      <c r="K1735" s="838" t="n"/>
      <c r="L1735" s="842" t="n"/>
      <c r="M1735" s="842" t="n"/>
      <c r="N1735" s="838" t="n"/>
    </row>
    <row r="1736" ht="15.75" customHeight="1" s="2" thickBot="1">
      <c r="A1736" s="506" t="inlineStr">
        <is>
          <t>Training explanation</t>
        </is>
      </c>
      <c r="C1736" s="523" t="inlineStr">
        <is>
          <t>Floor</t>
        </is>
      </c>
      <c r="D1736" s="524" t="inlineStr">
        <is>
          <t>Kitchen</t>
        </is>
      </c>
      <c r="E1736" s="509" t="n"/>
      <c r="F1736" s="507" t="inlineStr">
        <is>
          <t>Floor</t>
        </is>
      </c>
      <c r="G1736" s="508" t="inlineStr">
        <is>
          <t>Kitchen</t>
        </is>
      </c>
      <c r="H1736" s="510" t="n"/>
      <c r="I1736" s="535" t="n"/>
      <c r="J1736" s="511" t="n"/>
      <c r="K1736" s="512" t="n"/>
      <c r="L1736" s="535" t="inlineStr">
        <is>
          <t>kitchen</t>
        </is>
      </c>
      <c r="M1736" s="513" t="n"/>
      <c r="N1736" s="512" t="n"/>
      <c r="O1736" s="535" t="n"/>
      <c r="P1736" s="513" t="n"/>
    </row>
    <row r="1737" ht="15.75" customHeight="1" s="2">
      <c r="A1737" s="506" t="inlineStr">
        <is>
          <t>Who is being Trained</t>
        </is>
      </c>
      <c r="C1737" s="525" t="inlineStr">
        <is>
          <t>bishalT1-T2 b'fast</t>
        </is>
      </c>
      <c r="D1737" s="527" t="n">
        <v>13</v>
      </c>
      <c r="E1737" s="514" t="n"/>
      <c r="F1737" s="525" t="inlineStr">
        <is>
          <t>bishalT3-t4 b'fast</t>
        </is>
      </c>
      <c r="G1737" s="527" t="n">
        <v>13</v>
      </c>
      <c r="H1737" s="515" t="n"/>
      <c r="I1737" s="531" t="n"/>
      <c r="J1737" s="824" t="n"/>
      <c r="K1737" s="515" t="n"/>
      <c r="L1737" s="536" t="n"/>
      <c r="M1737" s="532" t="n"/>
      <c r="N1737" s="515" t="n"/>
      <c r="O1737" s="536" t="inlineStr">
        <is>
          <t>James(T4-T5</t>
        </is>
      </c>
      <c r="P1737" s="532" t="n">
        <v>10</v>
      </c>
    </row>
    <row r="1738" ht="15.75" customHeight="1" s="2">
      <c r="C1738" s="550" t="inlineStr">
        <is>
          <t>nirajT1-T3 Grill</t>
        </is>
      </c>
      <c r="D1738" s="526" t="n">
        <v>15.5</v>
      </c>
      <c r="E1738" s="514" t="n"/>
      <c r="F1738" s="550" t="inlineStr">
        <is>
          <t>niraj grill follow up</t>
        </is>
      </c>
      <c r="G1738" s="526" t="n">
        <v>12</v>
      </c>
      <c r="H1738" s="516" t="n"/>
      <c r="I1738" s="537" t="n"/>
      <c r="J1738" s="530" t="n"/>
      <c r="K1738" s="516" t="n"/>
      <c r="L1738" s="542" t="n"/>
      <c r="M1738" s="530" t="n"/>
      <c r="N1738" s="516" t="n"/>
      <c r="O1738" s="542" t="inlineStr">
        <is>
          <t>Ashrauf (new starter</t>
        </is>
      </c>
      <c r="P1738" s="530" t="n">
        <v>20</v>
      </c>
    </row>
    <row r="1739" ht="15.75" customHeight="1" s="2">
      <c r="C1739" s="550" t="n"/>
      <c r="D1739" s="527" t="n"/>
      <c r="E1739" s="514" t="n"/>
      <c r="F1739" s="531" t="n"/>
      <c r="G1739" s="530" t="n"/>
      <c r="H1739" s="516" t="n"/>
      <c r="I1739" s="537" t="n"/>
      <c r="J1739" s="530" t="n"/>
      <c r="K1739" s="516" t="n"/>
      <c r="L1739" s="542" t="n"/>
      <c r="M1739" s="539" t="n"/>
      <c r="N1739" s="516" t="n"/>
      <c r="O1739" s="542" t="n"/>
      <c r="P1739" s="539" t="n"/>
    </row>
    <row r="1740" ht="15.75" customHeight="1" s="2">
      <c r="C1740" s="551" t="n"/>
      <c r="D1740" s="561" t="n"/>
      <c r="E1740" s="519" t="n"/>
      <c r="F1740" s="517" t="n"/>
      <c r="G1740" s="518" t="n"/>
      <c r="H1740" s="516" t="n"/>
      <c r="I1740" s="537" t="n"/>
      <c r="J1740" s="530" t="n"/>
      <c r="K1740" s="516" t="n"/>
      <c r="L1740" s="537" t="n"/>
      <c r="M1740" s="539" t="n"/>
      <c r="N1740" s="516" t="n"/>
      <c r="O1740" s="537" t="n"/>
      <c r="P1740" s="539" t="n"/>
    </row>
    <row r="1741" ht="15.75" customHeight="1" s="2">
      <c r="C1741" s="551" t="n"/>
      <c r="D1741" s="528" t="n"/>
      <c r="E1741" s="519" t="n"/>
      <c r="F1741" s="517" t="n"/>
      <c r="G1741" s="518" t="n"/>
      <c r="H1741" s="516" t="n"/>
      <c r="I1741" s="537" t="n"/>
      <c r="J1741" s="533" t="n"/>
      <c r="K1741" s="516" t="n"/>
      <c r="L1741" s="537" t="n"/>
      <c r="M1741" s="540" t="n"/>
      <c r="N1741" s="516" t="n"/>
      <c r="O1741" s="537" t="n"/>
      <c r="P1741" s="540" t="n"/>
    </row>
    <row r="1742" ht="15.75" customHeight="1" s="2" thickBot="1">
      <c r="C1742" s="562" t="n"/>
      <c r="D1742" s="529" t="n"/>
      <c r="E1742" s="519" t="n"/>
      <c r="F1742" s="520" t="n"/>
      <c r="G1742" s="521" t="n"/>
      <c r="H1742" s="516" t="n"/>
      <c r="I1742" s="538" t="n"/>
      <c r="J1742" s="534" t="n"/>
      <c r="K1742" s="522" t="n"/>
      <c r="L1742" s="538" t="n"/>
      <c r="M1742" s="541" t="n"/>
      <c r="N1742" s="522" t="n"/>
      <c r="O1742" s="538" t="n"/>
      <c r="P1742" s="541" t="n"/>
    </row>
    <row r="1745" ht="15.75" customHeight="1" s="2" thickBot="1"/>
    <row r="1746" ht="15.75" customHeight="1" s="2" thickBot="1">
      <c r="B1746" s="1640" t="inlineStr">
        <is>
          <t>07.12.2020</t>
        </is>
      </c>
      <c r="C1746" s="1641" t="n"/>
      <c r="D1746" s="1502" t="n"/>
      <c r="E1746" s="1640" t="inlineStr">
        <is>
          <t>14.12.20</t>
        </is>
      </c>
      <c r="F1746" s="1641" t="n"/>
      <c r="G1746" s="1502" t="n"/>
      <c r="H1746" s="1640" t="inlineStr">
        <is>
          <t>21.12.2020</t>
        </is>
      </c>
      <c r="I1746" s="1641" t="n"/>
      <c r="J1746" s="1502" t="n"/>
      <c r="K1746" s="1640" t="inlineStr">
        <is>
          <t>28.12.2020</t>
        </is>
      </c>
      <c r="L1746" s="1641" t="n"/>
      <c r="M1746" s="1502" t="n"/>
      <c r="N1746" s="1640" t="inlineStr">
        <is>
          <t>04.01.2021</t>
        </is>
      </c>
      <c r="O1746" s="1641" t="n"/>
      <c r="P1746" s="1502" t="n"/>
    </row>
    <row r="1747" ht="15.75" customHeight="1" s="2" thickBot="1">
      <c r="A1747" s="455" t="n"/>
      <c r="B1747" s="825" t="inlineStr">
        <is>
          <t>LAST YEAR</t>
        </is>
      </c>
      <c r="C1747" s="826" t="inlineStr">
        <is>
          <t>Actual</t>
        </is>
      </c>
      <c r="D1747" s="827" t="inlineStr">
        <is>
          <t>Projected</t>
        </is>
      </c>
      <c r="E1747" s="825" t="inlineStr">
        <is>
          <t>LAST YEAR</t>
        </is>
      </c>
      <c r="F1747" s="826" t="inlineStr">
        <is>
          <t>Actual</t>
        </is>
      </c>
      <c r="G1747" s="827" t="inlineStr">
        <is>
          <t>Projected</t>
        </is>
      </c>
      <c r="H1747" s="825" t="inlineStr">
        <is>
          <t>LAST YEAR</t>
        </is>
      </c>
      <c r="I1747" s="826" t="inlineStr">
        <is>
          <t>Actual</t>
        </is>
      </c>
      <c r="J1747" s="827" t="inlineStr">
        <is>
          <t>Projected</t>
        </is>
      </c>
      <c r="K1747" s="825" t="inlineStr">
        <is>
          <t>LAST YEAR</t>
        </is>
      </c>
      <c r="L1747" s="826" t="inlineStr">
        <is>
          <t>Actual</t>
        </is>
      </c>
      <c r="M1747" s="827" t="inlineStr">
        <is>
          <t>Projected</t>
        </is>
      </c>
      <c r="N1747" s="825" t="inlineStr">
        <is>
          <t>LAST YEAR</t>
        </is>
      </c>
      <c r="O1747" s="826" t="inlineStr">
        <is>
          <t>Actual</t>
        </is>
      </c>
      <c r="P1747" s="827" t="inlineStr">
        <is>
          <t>Projected</t>
        </is>
      </c>
    </row>
    <row r="1748" ht="15.75" customHeight="1" s="2">
      <c r="A1748" s="459" t="inlineStr">
        <is>
          <t>Total Receipts</t>
        </is>
      </c>
      <c r="B1748" s="1620" t="n">
        <v>152350.96</v>
      </c>
      <c r="C1748" s="1643" t="n">
        <v>103108.17</v>
      </c>
      <c r="D1748" s="1622" t="n">
        <v>75285</v>
      </c>
      <c r="E1748" s="1620" t="n">
        <v>155667.79</v>
      </c>
      <c r="F1748" s="1631" t="n">
        <v>116120.9</v>
      </c>
      <c r="G1748" s="1645" t="n">
        <v>103831</v>
      </c>
      <c r="H1748" s="1643" t="n">
        <v>180141</v>
      </c>
      <c r="I1748" s="1631" t="n">
        <v>91569.58</v>
      </c>
      <c r="J1748" s="1622" t="n">
        <v>106720</v>
      </c>
      <c r="K1748" s="1643" t="n">
        <v>278983.84</v>
      </c>
      <c r="L1748" s="1631" t="n">
        <v>85977.53999999999</v>
      </c>
      <c r="M1748" s="1622" t="n">
        <v>122725</v>
      </c>
      <c r="N1748" s="1631" t="n">
        <v>244434.49</v>
      </c>
      <c r="O1748" s="1631" t="n">
        <v>71295.81</v>
      </c>
      <c r="P1748" s="1622" t="n">
        <v>156870</v>
      </c>
    </row>
    <row r="1749" ht="15.75" customHeight="1" s="2">
      <c r="A1749" s="462" t="inlineStr">
        <is>
          <t>Nett Sales</t>
        </is>
      </c>
      <c r="B1749" s="1636" t="n">
        <v>138500.8727272727</v>
      </c>
      <c r="C1749" s="1632" t="n">
        <v>93734.7</v>
      </c>
      <c r="D1749" s="1625" t="n">
        <v>68440.89999999999</v>
      </c>
      <c r="E1749" s="1636" t="n">
        <v>141516.17</v>
      </c>
      <c r="F1749" s="1632" t="n">
        <v>105564.45</v>
      </c>
      <c r="G1749" s="1637" t="n">
        <v>94394.8</v>
      </c>
      <c r="H1749" s="1632" t="n">
        <v>163764.55</v>
      </c>
      <c r="I1749" s="1632" t="n">
        <v>83245</v>
      </c>
      <c r="J1749" s="1625" t="n">
        <v>97018.2</v>
      </c>
      <c r="K1749" s="1632" t="n">
        <v>253621.67</v>
      </c>
      <c r="L1749" s="1632" t="n">
        <v>78161.39999999999</v>
      </c>
      <c r="M1749" s="1625">
        <f>M1748/1.1</f>
        <v/>
      </c>
      <c r="N1749" s="1632" t="n">
        <v>222213.17</v>
      </c>
      <c r="O1749" s="1632" t="n">
        <v>64814.37</v>
      </c>
      <c r="P1749" s="1625" t="n">
        <v>142609.1</v>
      </c>
    </row>
    <row r="1750" ht="15.75" customHeight="1" s="2">
      <c r="A1750" s="462" t="inlineStr">
        <is>
          <t>Customers</t>
        </is>
      </c>
      <c r="B1750" s="1642" t="n">
        <v>7197</v>
      </c>
      <c r="C1750" s="565" t="n">
        <v>4458</v>
      </c>
      <c r="D1750" s="466" t="n">
        <v>3285</v>
      </c>
      <c r="E1750" s="1642" t="n">
        <v>7352</v>
      </c>
      <c r="F1750" s="565" t="n">
        <v>4663</v>
      </c>
      <c r="G1750" s="466" t="n">
        <v>4430</v>
      </c>
      <c r="H1750" s="565" t="n">
        <v>8547</v>
      </c>
      <c r="I1750" s="565" t="n">
        <v>4040</v>
      </c>
      <c r="J1750" s="466" t="n">
        <v>4930</v>
      </c>
      <c r="K1750" s="565" t="n">
        <v>12576</v>
      </c>
      <c r="L1750" s="565" t="n">
        <v>3670</v>
      </c>
      <c r="M1750" s="466" t="n">
        <v>5580</v>
      </c>
      <c r="N1750" s="565" t="n">
        <v>11443</v>
      </c>
      <c r="O1750" s="565" t="n">
        <v>3261</v>
      </c>
      <c r="P1750" s="466" t="n">
        <v>7200</v>
      </c>
    </row>
    <row r="1751" ht="15.75" customHeight="1" s="2">
      <c r="A1751" s="462" t="inlineStr">
        <is>
          <t>Average Customer Spend</t>
        </is>
      </c>
      <c r="B1751" s="1626" t="n">
        <v>21.16867583715437</v>
      </c>
      <c r="C1751" s="1650" t="n">
        <v>23.13</v>
      </c>
      <c r="D1751" s="1628" t="n">
        <v>22.92</v>
      </c>
      <c r="E1751" s="1626">
        <f>E1748/7352</f>
        <v/>
      </c>
      <c r="F1751" s="1635" t="n">
        <v>23.4</v>
      </c>
      <c r="G1751" s="1649" t="n">
        <v>23.44</v>
      </c>
      <c r="H1751" s="1647" t="n">
        <v>21.08</v>
      </c>
      <c r="I1751" s="1635" t="n">
        <v>22.67</v>
      </c>
      <c r="J1751" s="1628" t="n">
        <v>21.65</v>
      </c>
      <c r="K1751" s="1647">
        <f>K1748/K1750</f>
        <v/>
      </c>
      <c r="L1751" s="1635" t="n">
        <v>23.43</v>
      </c>
      <c r="M1751" s="1628" t="n">
        <v>21.99</v>
      </c>
      <c r="N1751" s="1635">
        <f>N1748/N1750</f>
        <v/>
      </c>
      <c r="O1751" s="1635" t="n">
        <v>21.86</v>
      </c>
      <c r="P1751" s="1628" t="n">
        <v>21.79</v>
      </c>
    </row>
    <row r="1752" ht="15.75" customHeight="1" s="2">
      <c r="A1752" s="462" t="inlineStr">
        <is>
          <t>Wage % to Total Receipts</t>
        </is>
      </c>
      <c r="B1752" s="487" t="n">
        <v>0.3262</v>
      </c>
      <c r="C1752" s="860" t="n">
        <v>0.3082</v>
      </c>
      <c r="D1752" s="470" t="n">
        <v>0.4254</v>
      </c>
      <c r="E1752" s="487" t="n">
        <v>0.3475</v>
      </c>
      <c r="F1752" s="567" t="n">
        <v>0.3048</v>
      </c>
      <c r="G1752" s="863" t="n">
        <v>0.3033</v>
      </c>
      <c r="H1752" s="860" t="n">
        <v>0.3198</v>
      </c>
      <c r="I1752" s="567" t="n">
        <v>0.3943</v>
      </c>
      <c r="J1752" s="470" t="n">
        <v>0.3682</v>
      </c>
      <c r="K1752" s="860" t="n">
        <v>0.3154</v>
      </c>
      <c r="L1752" s="567" t="n">
        <v>0.6099</v>
      </c>
      <c r="M1752" s="470" t="n">
        <v>0.4541</v>
      </c>
      <c r="N1752" s="567" t="n">
        <v>0.3249</v>
      </c>
      <c r="O1752" s="567" t="n">
        <v>0.5651</v>
      </c>
      <c r="P1752" s="470" t="n">
        <v>0.3667</v>
      </c>
    </row>
    <row r="1753" ht="15.75" customHeight="1" s="2">
      <c r="A1753" s="462" t="inlineStr">
        <is>
          <t>Wage % to Nett Sales</t>
        </is>
      </c>
      <c r="B1753" s="487" t="n">
        <v>0.3588</v>
      </c>
      <c r="C1753" s="860" t="n">
        <v>0.339</v>
      </c>
      <c r="D1753" s="470" t="n">
        <v>0.4679</v>
      </c>
      <c r="E1753" s="487" t="n">
        <v>0.3823</v>
      </c>
      <c r="F1753" s="567" t="n">
        <v>0.3353</v>
      </c>
      <c r="G1753" s="863" t="n">
        <v>0.3336</v>
      </c>
      <c r="H1753" s="860" t="n">
        <v>0.3518</v>
      </c>
      <c r="I1753" s="567" t="n">
        <v>0.431</v>
      </c>
      <c r="J1753" s="470" t="n">
        <v>0.405</v>
      </c>
      <c r="K1753" s="860" t="n">
        <v>0.347</v>
      </c>
      <c r="L1753" s="567" t="n">
        <v>0.6709000000000001</v>
      </c>
      <c r="M1753" s="470" t="n">
        <v>0.4995</v>
      </c>
      <c r="N1753" s="1651" t="n">
        <v>0.3573</v>
      </c>
      <c r="O1753" s="567" t="n">
        <v>0.6216</v>
      </c>
      <c r="P1753" s="470" t="n">
        <v>0.4033</v>
      </c>
    </row>
    <row r="1754" ht="15.75" customHeight="1" s="2">
      <c r="A1754" s="462" t="inlineStr">
        <is>
          <t>Productivity</t>
        </is>
      </c>
      <c r="B1754" s="488" t="n">
        <v>4.91</v>
      </c>
      <c r="C1754" s="568" t="n">
        <v>5.13</v>
      </c>
      <c r="D1754" s="472" t="n">
        <v>4.5</v>
      </c>
      <c r="E1754" s="488" t="n">
        <v>4.59</v>
      </c>
      <c r="F1754" s="568" t="n">
        <v>4.9</v>
      </c>
      <c r="G1754" s="472" t="n">
        <v>5.2</v>
      </c>
      <c r="H1754" s="568" t="n">
        <v>4.88</v>
      </c>
      <c r="I1754" s="568" t="n">
        <v>3.81</v>
      </c>
      <c r="J1754" s="472" t="n">
        <v>4.6</v>
      </c>
      <c r="K1754" s="568" t="n">
        <v>5.54</v>
      </c>
      <c r="L1754" s="568" t="n">
        <v>3.25</v>
      </c>
      <c r="M1754" s="472" t="n">
        <v>4.5</v>
      </c>
      <c r="N1754" s="568" t="n">
        <v>5.35</v>
      </c>
      <c r="O1754" s="568" t="n">
        <v>3.13</v>
      </c>
      <c r="P1754" s="472" t="n">
        <v>5</v>
      </c>
    </row>
    <row r="1755" ht="15.75" customHeight="1" s="2">
      <c r="A1755" s="462" t="inlineStr">
        <is>
          <t>Average Hourly Rate</t>
        </is>
      </c>
      <c r="B1755" s="1629" t="n">
        <v>33.91</v>
      </c>
      <c r="C1755" s="568" t="n">
        <v>36.56</v>
      </c>
      <c r="D1755" s="1628" t="n">
        <v>37</v>
      </c>
      <c r="E1755" s="1629" t="n">
        <v>33.74</v>
      </c>
      <c r="F1755" s="568" t="n">
        <v>34.96</v>
      </c>
      <c r="G1755" s="1628" t="n">
        <v>37</v>
      </c>
      <c r="H1755" s="568" t="n">
        <v>32.89</v>
      </c>
      <c r="I1755" s="568" t="n">
        <v>33.89</v>
      </c>
      <c r="J1755" s="1628" t="n">
        <v>36.25</v>
      </c>
      <c r="K1755" s="568" t="n">
        <v>38.79</v>
      </c>
      <c r="L1755" s="568" t="n">
        <v>46.39</v>
      </c>
      <c r="M1755" s="1628" t="n">
        <v>46.5</v>
      </c>
      <c r="N1755" s="568" t="n">
        <v>37.13</v>
      </c>
      <c r="O1755" s="568" t="n">
        <v>38.7</v>
      </c>
      <c r="P1755" s="1628" t="n">
        <v>40</v>
      </c>
    </row>
    <row r="1756" ht="15.75" customHeight="1" s="2">
      <c r="A1756" s="462" t="inlineStr">
        <is>
          <t>Total hours for productivity</t>
        </is>
      </c>
      <c r="B1756" s="485" t="n">
        <v>1465.5</v>
      </c>
      <c r="C1756" s="568" t="n">
        <v>869.25</v>
      </c>
      <c r="D1756" s="466" t="n">
        <v>866</v>
      </c>
      <c r="E1756" s="485" t="n">
        <v>1603</v>
      </c>
      <c r="F1756" s="568" t="n">
        <v>1012.25</v>
      </c>
      <c r="G1756" s="466" t="n">
        <v>945.5</v>
      </c>
      <c r="H1756" s="568" t="n">
        <v>1751.25</v>
      </c>
      <c r="I1756" s="568" t="n">
        <v>1060</v>
      </c>
      <c r="J1756" s="472" t="n">
        <v>1062</v>
      </c>
      <c r="K1756" s="568" t="n">
        <v>2268.5</v>
      </c>
      <c r="L1756" s="568" t="n">
        <v>1130.25</v>
      </c>
      <c r="M1756" s="466" t="n">
        <v>1560.5</v>
      </c>
      <c r="N1756" s="568" t="n">
        <v>2138.25</v>
      </c>
      <c r="O1756" s="568" t="n">
        <v>1041</v>
      </c>
      <c r="P1756" s="466" t="n">
        <v>1445.5</v>
      </c>
    </row>
    <row r="1757" ht="15.75" customHeight="1" s="2">
      <c r="A1757" s="462" t="inlineStr">
        <is>
          <t>Training Hours used</t>
        </is>
      </c>
      <c r="B1757" s="485" t="n">
        <v>23</v>
      </c>
      <c r="C1757" s="569" t="n">
        <v>5</v>
      </c>
      <c r="D1757" s="466" t="n"/>
      <c r="E1757" s="485" t="n">
        <v>71.75</v>
      </c>
      <c r="F1757" s="569" t="n">
        <v>0</v>
      </c>
      <c r="G1757" s="466" t="n"/>
      <c r="H1757" s="569" t="n">
        <v>26</v>
      </c>
      <c r="I1757" s="569" t="n"/>
      <c r="J1757" s="466" t="n"/>
      <c r="K1757" s="569" t="n">
        <v>0</v>
      </c>
      <c r="L1757" s="569" t="n">
        <v>0</v>
      </c>
      <c r="M1757" s="466" t="n">
        <v>0</v>
      </c>
      <c r="N1757" s="569" t="n">
        <v>0</v>
      </c>
      <c r="O1757" s="569" t="n"/>
      <c r="P1757" s="466" t="n"/>
    </row>
    <row r="1758" ht="15.75" customHeight="1" s="2" thickBot="1">
      <c r="A1758" s="474" t="inlineStr">
        <is>
          <t>Number of hours used to cover sick leave</t>
        </is>
      </c>
      <c r="B1758" s="485" t="n">
        <v>32</v>
      </c>
      <c r="C1758" s="570" t="n">
        <v>30</v>
      </c>
      <c r="D1758" s="476" t="n"/>
      <c r="E1758" s="485" t="n">
        <v>41</v>
      </c>
      <c r="F1758" s="570" t="n">
        <v>0</v>
      </c>
      <c r="G1758" s="476" t="n"/>
      <c r="H1758" s="570" t="n">
        <v>22</v>
      </c>
      <c r="I1758" s="475" t="n"/>
      <c r="J1758" s="476" t="n"/>
      <c r="K1758" s="475" t="n">
        <v>14</v>
      </c>
      <c r="L1758" s="570" t="n"/>
      <c r="M1758" s="476" t="n">
        <v>0</v>
      </c>
      <c r="N1758" s="570" t="n"/>
      <c r="O1758" s="570" t="n"/>
      <c r="P1758" s="476" t="n"/>
    </row>
    <row r="1759" ht="15.75" customHeight="1" s="2" thickBot="1">
      <c r="A1759" s="477" t="inlineStr">
        <is>
          <t xml:space="preserve">Minimum Hours </t>
        </is>
      </c>
      <c r="B1759" s="836" t="inlineStr">
        <is>
          <t>60% Hours</t>
        </is>
      </c>
      <c r="C1759" s="816" t="inlineStr">
        <is>
          <t>Projected</t>
        </is>
      </c>
      <c r="D1759" s="817" t="inlineStr">
        <is>
          <t>Rostered</t>
        </is>
      </c>
      <c r="E1759" s="836" t="inlineStr">
        <is>
          <t>60% Hours</t>
        </is>
      </c>
      <c r="F1759" s="816" t="inlineStr">
        <is>
          <t>Projected</t>
        </is>
      </c>
      <c r="G1759" s="817" t="inlineStr">
        <is>
          <t>Rostered</t>
        </is>
      </c>
      <c r="H1759" s="836" t="inlineStr">
        <is>
          <t>60% Hours</t>
        </is>
      </c>
      <c r="I1759" s="816" t="inlineStr">
        <is>
          <t>Projected</t>
        </is>
      </c>
      <c r="J1759" s="817" t="inlineStr">
        <is>
          <t>Rostered</t>
        </is>
      </c>
      <c r="K1759" s="836" t="inlineStr">
        <is>
          <t>60% Hours</t>
        </is>
      </c>
      <c r="L1759" s="816" t="inlineStr">
        <is>
          <t>Projected</t>
        </is>
      </c>
      <c r="M1759" s="817" t="inlineStr">
        <is>
          <t>Rostered</t>
        </is>
      </c>
      <c r="N1759" s="836" t="inlineStr">
        <is>
          <t>60% Hours</t>
        </is>
      </c>
      <c r="O1759" s="816" t="inlineStr">
        <is>
          <t>Projected</t>
        </is>
      </c>
      <c r="P1759" s="817" t="inlineStr">
        <is>
          <t>Rostered</t>
        </is>
      </c>
    </row>
    <row r="1760" ht="15.75" customHeight="1" s="2">
      <c r="A1760" s="479" t="inlineStr">
        <is>
          <t>Floor</t>
        </is>
      </c>
      <c r="B1760" s="855" t="n"/>
      <c r="C1760" s="810" t="n"/>
      <c r="D1760" s="811" t="n"/>
      <c r="E1760" s="855" t="n"/>
      <c r="F1760" s="810" t="n"/>
      <c r="G1760" s="811" t="n"/>
      <c r="H1760" s="855" t="n"/>
      <c r="I1760" s="810" t="n"/>
      <c r="J1760" s="811" t="n"/>
      <c r="K1760" s="855" t="n"/>
      <c r="L1760" s="810" t="n"/>
      <c r="M1760" s="811" t="n"/>
      <c r="N1760" s="855" t="n"/>
      <c r="O1760" s="810" t="n"/>
      <c r="P1760" s="811" t="n"/>
    </row>
    <row r="1761" ht="15.75" customHeight="1" s="2" thickBot="1">
      <c r="A1761" s="481" t="inlineStr">
        <is>
          <t>Kitchen</t>
        </is>
      </c>
      <c r="B1761" s="856" t="n"/>
      <c r="C1761" s="813" t="n"/>
      <c r="D1761" s="814" t="n"/>
      <c r="E1761" s="856" t="n"/>
      <c r="F1761" s="840" t="n"/>
      <c r="G1761" s="814" t="n"/>
      <c r="H1761" s="856" t="n"/>
      <c r="I1761" s="813" t="n"/>
      <c r="J1761" s="814" t="n"/>
      <c r="K1761" s="856" t="n"/>
      <c r="L1761" s="813" t="n"/>
      <c r="M1761" s="814" t="n"/>
      <c r="N1761" s="856" t="n"/>
      <c r="O1761" s="813" t="n"/>
      <c r="P1761" s="814" t="n"/>
    </row>
    <row r="1762" ht="15.75" customHeight="1" s="2" thickBot="1">
      <c r="A1762" s="834" t="n"/>
      <c r="B1762" s="836" t="inlineStr">
        <is>
          <t xml:space="preserve">Minimum </t>
        </is>
      </c>
      <c r="C1762" s="841" t="n"/>
      <c r="D1762" s="841" t="n"/>
      <c r="E1762" s="839" t="inlineStr">
        <is>
          <t>Minimum</t>
        </is>
      </c>
      <c r="F1762" s="841" t="n"/>
      <c r="G1762" s="841" t="n"/>
      <c r="H1762" s="839" t="inlineStr">
        <is>
          <t>Minimum</t>
        </is>
      </c>
      <c r="I1762" s="841" t="n"/>
      <c r="J1762" s="841" t="n"/>
      <c r="K1762" s="839" t="inlineStr">
        <is>
          <t>Minimum</t>
        </is>
      </c>
      <c r="L1762" s="841" t="n"/>
      <c r="M1762" s="841" t="n"/>
      <c r="N1762" s="839" t="n"/>
      <c r="O1762" s="841" t="n"/>
      <c r="P1762" s="841" t="n"/>
    </row>
    <row r="1763" ht="15.75" customHeight="1" s="2">
      <c r="A1763" s="834" t="n"/>
      <c r="B1763" s="837" t="n"/>
      <c r="C1763" s="841" t="n"/>
      <c r="D1763" s="841" t="n"/>
      <c r="E1763" s="837" t="n"/>
      <c r="F1763" s="841" t="n"/>
      <c r="G1763" s="841" t="n"/>
      <c r="H1763" s="837" t="n"/>
      <c r="I1763" s="841" t="n"/>
      <c r="J1763" s="841" t="n"/>
      <c r="K1763" s="837" t="n"/>
      <c r="L1763" s="841" t="n"/>
      <c r="M1763" s="841" t="n"/>
      <c r="N1763" s="837" t="n"/>
      <c r="O1763" s="841" t="n"/>
      <c r="P1763" s="841" t="n"/>
    </row>
    <row r="1764" ht="15.75" customHeight="1" s="2" thickBot="1">
      <c r="B1764" s="838" t="n"/>
      <c r="C1764" s="842" t="n"/>
      <c r="D1764" s="842" t="n"/>
      <c r="E1764" s="838" t="n"/>
      <c r="F1764" s="842" t="n"/>
      <c r="G1764" s="842" t="n"/>
      <c r="H1764" s="838" t="n"/>
      <c r="I1764" s="842" t="n"/>
      <c r="J1764" s="842" t="n"/>
      <c r="K1764" s="838" t="n"/>
      <c r="L1764" s="842" t="n"/>
      <c r="M1764" s="842" t="n"/>
      <c r="N1764" s="838" t="n"/>
      <c r="O1764" s="842" t="n"/>
      <c r="P1764" s="842" t="n"/>
    </row>
    <row r="1765" ht="15.75" customHeight="1" s="2" thickBot="1">
      <c r="A1765" s="506" t="inlineStr">
        <is>
          <t>Training explanation</t>
        </is>
      </c>
      <c r="C1765" s="523" t="inlineStr">
        <is>
          <t>Floor</t>
        </is>
      </c>
      <c r="D1765" s="524" t="inlineStr">
        <is>
          <t>Kitchen</t>
        </is>
      </c>
      <c r="E1765" s="509" t="n"/>
      <c r="F1765" s="507" t="inlineStr">
        <is>
          <t>Floor</t>
        </is>
      </c>
      <c r="G1765" s="508" t="inlineStr">
        <is>
          <t>Kitchen</t>
        </is>
      </c>
      <c r="H1765" s="510" t="n"/>
      <c r="I1765" s="535" t="n"/>
      <c r="J1765" s="511" t="n"/>
      <c r="K1765" s="512" t="n"/>
      <c r="L1765" s="535" t="inlineStr">
        <is>
          <t>kitchen</t>
        </is>
      </c>
      <c r="M1765" s="513" t="n"/>
      <c r="N1765" s="512" t="n"/>
      <c r="O1765" s="535" t="inlineStr">
        <is>
          <t>kitchen</t>
        </is>
      </c>
      <c r="P1765" s="513" t="n"/>
    </row>
    <row r="1766" ht="15.75" customHeight="1" s="2">
      <c r="A1766" s="506" t="inlineStr">
        <is>
          <t>Who is being Trained</t>
        </is>
      </c>
      <c r="C1766" s="525" t="n"/>
      <c r="D1766" s="527" t="n"/>
      <c r="E1766" s="514" t="n"/>
      <c r="F1766" s="525" t="n"/>
      <c r="G1766" s="527" t="n"/>
      <c r="H1766" s="515" t="n"/>
      <c r="I1766" s="531" t="n"/>
      <c r="J1766" s="824" t="n"/>
      <c r="K1766" s="515" t="n"/>
      <c r="L1766" s="536" t="n"/>
      <c r="M1766" s="532" t="n"/>
      <c r="N1766" s="515" t="n"/>
      <c r="O1766" s="536" t="n"/>
      <c r="P1766" s="532" t="n"/>
    </row>
    <row r="1767" ht="15.75" customHeight="1" s="2">
      <c r="C1767" s="550" t="n"/>
      <c r="D1767" s="526" t="n"/>
      <c r="E1767" s="514" t="n"/>
      <c r="F1767" s="550" t="n"/>
      <c r="G1767" s="526" t="n"/>
      <c r="H1767" s="516" t="n"/>
      <c r="I1767" s="537" t="n"/>
      <c r="J1767" s="530" t="n"/>
      <c r="K1767" s="516" t="n"/>
      <c r="L1767" s="542" t="n"/>
      <c r="M1767" s="530" t="n"/>
      <c r="N1767" s="516" t="n"/>
      <c r="O1767" s="542" t="n"/>
      <c r="P1767" s="530" t="n"/>
    </row>
    <row r="1768" ht="15.75" customHeight="1" s="2">
      <c r="C1768" s="550" t="n"/>
      <c r="D1768" s="527" t="n"/>
      <c r="E1768" s="514" t="n"/>
      <c r="F1768" s="531" t="n"/>
      <c r="G1768" s="530" t="n"/>
      <c r="H1768" s="516" t="n"/>
      <c r="I1768" s="537" t="n"/>
      <c r="J1768" s="530" t="n"/>
      <c r="K1768" s="516" t="n"/>
      <c r="L1768" s="542" t="n"/>
      <c r="M1768" s="539" t="n"/>
      <c r="N1768" s="516" t="n"/>
      <c r="O1768" s="542" t="n"/>
      <c r="P1768" s="539" t="n"/>
    </row>
    <row r="1769" ht="15.75" customHeight="1" s="2">
      <c r="C1769" s="551" t="n"/>
      <c r="D1769" s="561" t="n"/>
      <c r="E1769" s="519" t="n"/>
      <c r="F1769" s="517" t="n"/>
      <c r="G1769" s="518" t="n"/>
      <c r="H1769" s="516" t="n"/>
      <c r="I1769" s="537" t="n"/>
      <c r="J1769" s="530" t="n"/>
      <c r="K1769" s="516" t="n"/>
      <c r="L1769" s="537" t="n"/>
      <c r="M1769" s="539" t="n"/>
      <c r="N1769" s="516" t="n"/>
      <c r="O1769" s="537" t="n"/>
      <c r="P1769" s="539" t="n"/>
    </row>
    <row r="1770" ht="15.75" customHeight="1" s="2">
      <c r="C1770" s="551" t="n"/>
      <c r="D1770" s="528" t="n"/>
      <c r="E1770" s="519" t="n"/>
      <c r="F1770" s="517" t="n"/>
      <c r="G1770" s="518" t="n"/>
      <c r="H1770" s="516" t="n"/>
      <c r="I1770" s="537" t="n"/>
      <c r="J1770" s="533" t="n"/>
      <c r="K1770" s="516" t="n"/>
      <c r="L1770" s="537" t="n"/>
      <c r="M1770" s="540" t="n"/>
      <c r="N1770" s="516" t="n"/>
      <c r="O1770" s="537" t="n"/>
      <c r="P1770" s="540" t="n"/>
    </row>
    <row r="1771" ht="15.75" customHeight="1" s="2" thickBot="1">
      <c r="C1771" s="562" t="n"/>
      <c r="D1771" s="529" t="n"/>
      <c r="E1771" s="519" t="n"/>
      <c r="F1771" s="520" t="n"/>
      <c r="G1771" s="521" t="n"/>
      <c r="H1771" s="516" t="n"/>
      <c r="I1771" s="538" t="n"/>
      <c r="J1771" s="534" t="n"/>
      <c r="K1771" s="522" t="n"/>
      <c r="L1771" s="538" t="n"/>
      <c r="M1771" s="541" t="n"/>
      <c r="N1771" s="522" t="n"/>
      <c r="O1771" s="538" t="n"/>
      <c r="P1771" s="541" t="n"/>
    </row>
    <row r="1773" ht="15.75" customHeight="1" s="2" thickBot="1">
      <c r="K1773" s="454" t="inlineStr">
        <is>
          <t>AUS DAY (TUES) WEEK</t>
        </is>
      </c>
    </row>
    <row r="1774" ht="15.75" customHeight="1" s="2" thickBot="1">
      <c r="B1774" s="1640" t="inlineStr">
        <is>
          <t>11.1.2021</t>
        </is>
      </c>
      <c r="C1774" s="1641" t="n"/>
      <c r="D1774" s="1502" t="n"/>
      <c r="E1774" s="1640" t="inlineStr">
        <is>
          <t>18.11.2021</t>
        </is>
      </c>
      <c r="F1774" s="1641" t="n"/>
      <c r="G1774" s="1502" t="n"/>
      <c r="H1774" s="1640" t="inlineStr">
        <is>
          <t>25.1.2021</t>
        </is>
      </c>
      <c r="I1774" s="1641" t="n"/>
      <c r="J1774" s="1502" t="n"/>
      <c r="K1774" s="1640" t="inlineStr">
        <is>
          <t>1.02.2021</t>
        </is>
      </c>
      <c r="L1774" s="1641" t="n"/>
      <c r="M1774" s="1502" t="n"/>
      <c r="N1774" s="1640" t="inlineStr">
        <is>
          <t>8.02.2021</t>
        </is>
      </c>
      <c r="O1774" s="1641" t="n"/>
      <c r="P1774" s="1502" t="n"/>
    </row>
    <row r="1775" ht="15.75" customHeight="1" s="2" thickBot="1">
      <c r="A1775" s="455" t="n"/>
      <c r="B1775" s="872" t="inlineStr">
        <is>
          <t>LAST YEAR</t>
        </is>
      </c>
      <c r="C1775" s="873" t="inlineStr">
        <is>
          <t>Actual</t>
        </is>
      </c>
      <c r="D1775" s="874" t="inlineStr">
        <is>
          <t>Projected</t>
        </is>
      </c>
      <c r="E1775" s="872" t="inlineStr">
        <is>
          <t>LAST YEAR</t>
        </is>
      </c>
      <c r="F1775" s="873" t="inlineStr">
        <is>
          <t>Actual</t>
        </is>
      </c>
      <c r="G1775" s="874" t="inlineStr">
        <is>
          <t>Projected</t>
        </is>
      </c>
      <c r="H1775" s="872" t="inlineStr">
        <is>
          <t>LAST YEAR</t>
        </is>
      </c>
      <c r="I1775" s="873" t="inlineStr">
        <is>
          <t>Actual</t>
        </is>
      </c>
      <c r="J1775" s="874" t="inlineStr">
        <is>
          <t>Projected</t>
        </is>
      </c>
      <c r="K1775" s="872" t="inlineStr">
        <is>
          <t>LAST YEAR</t>
        </is>
      </c>
      <c r="L1775" s="873" t="inlineStr">
        <is>
          <t>Actual</t>
        </is>
      </c>
      <c r="M1775" s="874" t="inlineStr">
        <is>
          <t>Projected</t>
        </is>
      </c>
      <c r="N1775" s="872" t="inlineStr">
        <is>
          <t>LAST YEAR</t>
        </is>
      </c>
      <c r="O1775" s="873" t="inlineStr">
        <is>
          <t>Actual</t>
        </is>
      </c>
      <c r="P1775" s="874" t="inlineStr">
        <is>
          <t>Projected</t>
        </is>
      </c>
    </row>
    <row r="1776" ht="15.75" customHeight="1" s="2">
      <c r="A1776" s="459" t="inlineStr">
        <is>
          <t>Total Receipts</t>
        </is>
      </c>
      <c r="B1776" s="1622" t="n">
        <v>155584.64</v>
      </c>
      <c r="C1776" s="1631" t="n">
        <v>73054.31</v>
      </c>
      <c r="D1776" s="1622" t="n">
        <v>67860</v>
      </c>
      <c r="E1776" s="1622" t="n">
        <v>156338.09</v>
      </c>
      <c r="F1776" s="1631" t="n">
        <v>81785</v>
      </c>
      <c r="G1776" s="1645" t="n">
        <v>63678</v>
      </c>
      <c r="H1776" s="1644" t="n">
        <v>156338.09</v>
      </c>
      <c r="I1776" s="1631" t="n">
        <v>90222</v>
      </c>
      <c r="J1776" s="1622" t="n">
        <v>72520</v>
      </c>
      <c r="K1776" s="1644" t="n">
        <v>195937.94</v>
      </c>
      <c r="L1776" s="1643" t="n">
        <v>83454</v>
      </c>
      <c r="M1776" s="1645" t="n">
        <v>77380</v>
      </c>
      <c r="N1776" s="1620" t="n">
        <v>121999.16</v>
      </c>
      <c r="O1776" s="1631" t="n">
        <v>64028.82</v>
      </c>
      <c r="P1776" s="1622" t="n">
        <v>72867</v>
      </c>
    </row>
    <row r="1777" ht="15.75" customHeight="1" s="2">
      <c r="A1777" s="462" t="inlineStr">
        <is>
          <t>Nett Sales</t>
        </is>
      </c>
      <c r="B1777" s="1625" t="n">
        <v>141440.58</v>
      </c>
      <c r="C1777" s="1632" t="n">
        <v>66413.00999999999</v>
      </c>
      <c r="D1777" s="1625" t="n">
        <v>61690.6</v>
      </c>
      <c r="E1777" s="1625" t="n">
        <v>142125.54</v>
      </c>
      <c r="F1777" s="1632" t="n">
        <v>74350</v>
      </c>
      <c r="G1777" s="1637" t="n">
        <v>57943.2</v>
      </c>
      <c r="H1777" s="1646" t="n">
        <v>142125.54</v>
      </c>
      <c r="I1777" s="1632" t="n">
        <v>82020</v>
      </c>
      <c r="J1777" s="1625" t="n">
        <v>65927</v>
      </c>
      <c r="K1777" s="1646" t="n">
        <v>178125.4</v>
      </c>
      <c r="L1777" s="1632" t="n">
        <v>75867</v>
      </c>
      <c r="M1777" s="1625" t="n">
        <v>70345</v>
      </c>
      <c r="N1777" s="1623" t="n">
        <v>110908</v>
      </c>
      <c r="O1777" s="1632" t="n">
        <v>58208</v>
      </c>
      <c r="P1777" s="1625" t="n">
        <v>66242.3</v>
      </c>
    </row>
    <row r="1778" ht="15.75" customHeight="1" s="2">
      <c r="A1778" s="462" t="inlineStr">
        <is>
          <t>Customers</t>
        </is>
      </c>
      <c r="B1778" s="466" t="n">
        <v>7815</v>
      </c>
      <c r="C1778" s="565" t="n">
        <v>3310</v>
      </c>
      <c r="D1778" s="466" t="n">
        <v>3080</v>
      </c>
      <c r="E1778" s="466" t="n">
        <v>7585</v>
      </c>
      <c r="F1778" s="565" t="n">
        <v>3669</v>
      </c>
      <c r="G1778" s="466" t="n">
        <v>3005</v>
      </c>
      <c r="H1778" s="866" t="n">
        <v>7585</v>
      </c>
      <c r="I1778" s="565" t="n">
        <v>4138</v>
      </c>
      <c r="J1778" s="466" t="n">
        <v>3400</v>
      </c>
      <c r="K1778" s="866" t="n">
        <v>9085</v>
      </c>
      <c r="L1778" s="565" t="n">
        <v>3670</v>
      </c>
      <c r="M1778" s="466" t="n">
        <v>3630</v>
      </c>
      <c r="N1778" s="485" t="n">
        <v>5729</v>
      </c>
      <c r="O1778" s="565" t="n">
        <v>2867</v>
      </c>
      <c r="P1778" s="466" t="n">
        <v>3395</v>
      </c>
    </row>
    <row r="1779" ht="15.75" customHeight="1" s="2">
      <c r="A1779" s="462" t="inlineStr">
        <is>
          <t>Average Customer Spend</t>
        </is>
      </c>
      <c r="B1779" s="1628">
        <f>B1776/7815</f>
        <v/>
      </c>
      <c r="C1779" s="1635">
        <f>C1776/3310</f>
        <v/>
      </c>
      <c r="D1779" s="1628" t="n">
        <v>22.03</v>
      </c>
      <c r="E1779" s="1628" t="n">
        <v>20.61</v>
      </c>
      <c r="F1779" s="1635">
        <f>F1776/3669</f>
        <v/>
      </c>
      <c r="G1779" s="1649" t="n">
        <v>21.21</v>
      </c>
      <c r="H1779" s="1648" t="n">
        <v>20.61</v>
      </c>
      <c r="I1779" s="1635">
        <f>I1776/4138</f>
        <v/>
      </c>
      <c r="J1779" s="1628" t="n">
        <v>21.33</v>
      </c>
      <c r="K1779" s="1648" t="n">
        <v>21.57</v>
      </c>
      <c r="L1779" s="1647" t="n">
        <v>22.74</v>
      </c>
      <c r="M1779" s="1649" t="n">
        <v>21.32</v>
      </c>
      <c r="N1779" s="1626" t="n">
        <v>21.3</v>
      </c>
      <c r="O1779" s="1635" t="n">
        <v>22.33</v>
      </c>
      <c r="P1779" s="1628" t="n">
        <v>21.46</v>
      </c>
    </row>
    <row r="1780" ht="15.75" customHeight="1" s="2">
      <c r="A1780" s="462" t="inlineStr">
        <is>
          <t>Wage % to Total Receipts</t>
        </is>
      </c>
      <c r="B1780" s="470" t="n">
        <v>0.3653</v>
      </c>
      <c r="C1780" s="567" t="n">
        <v>0.3927</v>
      </c>
      <c r="D1780" s="470" t="n">
        <v>0.5115</v>
      </c>
      <c r="E1780" s="470" t="n">
        <v>0.3549</v>
      </c>
      <c r="F1780" s="567" t="n">
        <v>0.3436</v>
      </c>
      <c r="G1780" s="863" t="n">
        <v>0.4411</v>
      </c>
      <c r="H1780" s="868" t="n">
        <v>0.3549</v>
      </c>
      <c r="I1780" s="567" t="n">
        <v>0.355</v>
      </c>
      <c r="J1780" s="470" t="n">
        <v>0.4326</v>
      </c>
      <c r="K1780" s="868" t="n">
        <v>0.3347</v>
      </c>
      <c r="L1780" s="860" t="n">
        <v>0.4065</v>
      </c>
      <c r="M1780" s="863" t="n">
        <v>0.4425</v>
      </c>
      <c r="N1780" s="487" t="n">
        <v>0.4155</v>
      </c>
      <c r="O1780" s="567" t="n">
        <v>0.4064</v>
      </c>
      <c r="P1780" s="470" t="n">
        <v>0.3848</v>
      </c>
    </row>
    <row r="1781" ht="15.75" customHeight="1" s="2">
      <c r="A1781" s="462" t="inlineStr">
        <is>
          <t>Wage % to Nett Sales</t>
        </is>
      </c>
      <c r="B1781" s="470" t="n">
        <v>0.4019</v>
      </c>
      <c r="C1781" s="567" t="n">
        <v>0.432</v>
      </c>
      <c r="D1781" s="470" t="n">
        <v>0.5626</v>
      </c>
      <c r="E1781" s="470" t="n">
        <v>0.3904</v>
      </c>
      <c r="F1781" s="567" t="n">
        <v>0.378</v>
      </c>
      <c r="G1781" s="863" t="n">
        <v>0.4825</v>
      </c>
      <c r="H1781" s="868" t="n">
        <v>0.3904</v>
      </c>
      <c r="I1781" s="567" t="n">
        <v>0.3905</v>
      </c>
      <c r="J1781" s="470" t="n">
        <v>0.4758</v>
      </c>
      <c r="K1781" s="868" t="n">
        <v>0.3682</v>
      </c>
      <c r="L1781" s="860" t="n">
        <v>0.4447</v>
      </c>
      <c r="M1781" s="863" t="n">
        <v>0.4867</v>
      </c>
      <c r="N1781" s="487" t="n">
        <v>0.4571</v>
      </c>
      <c r="O1781" s="567" t="n">
        <v>0.4474</v>
      </c>
      <c r="P1781" s="470" t="n">
        <v>0.4233</v>
      </c>
    </row>
    <row r="1782" ht="15.75" customHeight="1" s="2">
      <c r="A1782" s="462" t="inlineStr">
        <is>
          <t>Productivity</t>
        </is>
      </c>
      <c r="B1782" s="472" t="n">
        <v>4.51</v>
      </c>
      <c r="C1782" s="568" t="n">
        <v>4.13</v>
      </c>
      <c r="D1782" s="472" t="n">
        <v>3.2</v>
      </c>
      <c r="E1782" s="472" t="n">
        <v>4.5</v>
      </c>
      <c r="F1782" s="568" t="n">
        <v>4.55</v>
      </c>
      <c r="G1782" s="472" t="n">
        <v>3.9</v>
      </c>
      <c r="H1782" s="869" t="n">
        <v>4.5</v>
      </c>
      <c r="I1782" s="568" t="n">
        <v>4.76</v>
      </c>
      <c r="J1782" s="472" t="n">
        <v>4.1</v>
      </c>
      <c r="K1782" s="869" t="n">
        <v>4.94</v>
      </c>
      <c r="L1782" s="568" t="n">
        <v>4.26</v>
      </c>
      <c r="M1782" s="472" t="n">
        <v>4.2</v>
      </c>
      <c r="N1782" s="488" t="n">
        <v>3.74</v>
      </c>
      <c r="O1782" s="568" t="n">
        <v>3.92</v>
      </c>
      <c r="P1782" s="472" t="n">
        <v>4.4</v>
      </c>
    </row>
    <row r="1783" ht="15.75" customHeight="1" s="2">
      <c r="A1783" s="462" t="inlineStr">
        <is>
          <t>Average Hourly Rate</t>
        </is>
      </c>
      <c r="B1783" s="1628" t="n">
        <v>32.72</v>
      </c>
      <c r="C1783" s="568" t="n">
        <v>35.83</v>
      </c>
      <c r="D1783" s="1628" t="n">
        <v>36.25</v>
      </c>
      <c r="E1783" s="1628" t="n">
        <v>32.93</v>
      </c>
      <c r="F1783" s="568" t="n">
        <v>34.89</v>
      </c>
      <c r="G1783" s="1628" t="n">
        <v>36.25</v>
      </c>
      <c r="H1783" s="869" t="n">
        <v>32.93</v>
      </c>
      <c r="I1783" s="568" t="n">
        <v>36.87</v>
      </c>
      <c r="J1783" s="1628" t="n">
        <v>37.5</v>
      </c>
      <c r="K1783" s="869" t="n">
        <v>35.68</v>
      </c>
      <c r="L1783" s="568" t="n">
        <v>39.12</v>
      </c>
      <c r="M1783" s="1649" t="n">
        <v>40</v>
      </c>
      <c r="N1783" s="1629" t="n">
        <v>33.04</v>
      </c>
      <c r="O1783" s="568" t="n">
        <v>35.61</v>
      </c>
      <c r="P1783" s="1628" t="n">
        <v>36.25</v>
      </c>
    </row>
    <row r="1784" ht="15.75" customHeight="1" s="2">
      <c r="A1784" s="462" t="inlineStr">
        <is>
          <t>Total hours for productivity</t>
        </is>
      </c>
      <c r="B1784" s="466" t="n">
        <v>1732.75</v>
      </c>
      <c r="C1784" s="568" t="n">
        <v>800.75</v>
      </c>
      <c r="D1784" s="466" t="n">
        <v>958</v>
      </c>
      <c r="E1784" s="466" t="n">
        <v>1685</v>
      </c>
      <c r="F1784" s="568" t="n">
        <v>805.5</v>
      </c>
      <c r="G1784" s="466" t="n">
        <v>775</v>
      </c>
      <c r="H1784" s="869" t="n">
        <v>1685</v>
      </c>
      <c r="I1784" s="568" t="n">
        <v>868.75</v>
      </c>
      <c r="J1784" s="472" t="n">
        <v>836.5</v>
      </c>
      <c r="K1784" s="869" t="n">
        <v>1838</v>
      </c>
      <c r="L1784" s="568" t="n">
        <v>862.5</v>
      </c>
      <c r="M1784" s="466" t="n">
        <v>856</v>
      </c>
      <c r="N1784" s="485" t="n">
        <v>1531</v>
      </c>
      <c r="O1784" s="568" t="n">
        <v>730.75</v>
      </c>
      <c r="P1784" s="466" t="n">
        <v>773.5</v>
      </c>
    </row>
    <row r="1785" ht="15.75" customHeight="1" s="2">
      <c r="A1785" s="462" t="inlineStr">
        <is>
          <t>Training Hours used</t>
        </is>
      </c>
      <c r="B1785" s="466" t="n">
        <v>74.5</v>
      </c>
      <c r="C1785" s="569" t="n"/>
      <c r="D1785" s="466" t="n"/>
      <c r="E1785" s="466" t="n">
        <v>25.5</v>
      </c>
      <c r="F1785" s="569" t="n"/>
      <c r="G1785" s="466" t="n"/>
      <c r="H1785" s="870" t="n">
        <v>25.5</v>
      </c>
      <c r="I1785" s="569" t="n"/>
      <c r="J1785" s="466" t="n"/>
      <c r="K1785" s="870" t="n">
        <v>7.5</v>
      </c>
      <c r="L1785" s="569" t="n">
        <v>0</v>
      </c>
      <c r="M1785" s="466" t="n"/>
      <c r="N1785" s="485" t="n">
        <v>67.5</v>
      </c>
      <c r="O1785" s="569" t="n">
        <v>0</v>
      </c>
      <c r="P1785" s="466" t="n"/>
    </row>
    <row r="1786" ht="15.75" customHeight="1" s="2" thickBot="1">
      <c r="A1786" s="474" t="inlineStr">
        <is>
          <t>Number of hours used to cover sick leave</t>
        </is>
      </c>
      <c r="B1786" s="476" t="n">
        <v>24.5</v>
      </c>
      <c r="C1786" s="570" t="n"/>
      <c r="D1786" s="476" t="n"/>
      <c r="E1786" s="476" t="n"/>
      <c r="F1786" s="570" t="n">
        <v>4</v>
      </c>
      <c r="G1786" s="476" t="n"/>
      <c r="H1786" s="813" t="n"/>
      <c r="I1786" s="570" t="n"/>
      <c r="J1786" s="476" t="n"/>
      <c r="K1786" s="813" t="n"/>
      <c r="L1786" s="570" t="n"/>
      <c r="M1786" s="476" t="n"/>
      <c r="N1786" s="490" t="n">
        <v>16.5</v>
      </c>
      <c r="O1786" s="570" t="n">
        <v>0</v>
      </c>
      <c r="P1786" s="476" t="n"/>
    </row>
    <row r="1787" ht="15.75" customHeight="1" s="2" thickBot="1">
      <c r="A1787" s="477" t="inlineStr">
        <is>
          <t xml:space="preserve">Minimum Hours </t>
        </is>
      </c>
      <c r="B1787" s="836" t="inlineStr">
        <is>
          <t>60% Hours</t>
        </is>
      </c>
      <c r="C1787" s="816" t="inlineStr">
        <is>
          <t>Projected</t>
        </is>
      </c>
      <c r="D1787" s="817" t="inlineStr">
        <is>
          <t>Rostered</t>
        </is>
      </c>
      <c r="E1787" s="836" t="inlineStr">
        <is>
          <t>60% Hours</t>
        </is>
      </c>
      <c r="F1787" s="816" t="inlineStr">
        <is>
          <t>Projected</t>
        </is>
      </c>
      <c r="G1787" s="817" t="inlineStr">
        <is>
          <t>Rostered</t>
        </is>
      </c>
      <c r="H1787" s="836" t="inlineStr">
        <is>
          <t>60% Hours</t>
        </is>
      </c>
      <c r="I1787" s="816" t="inlineStr">
        <is>
          <t>Projected</t>
        </is>
      </c>
      <c r="J1787" s="817" t="inlineStr">
        <is>
          <t>Rostered</t>
        </is>
      </c>
      <c r="K1787" s="836" t="inlineStr">
        <is>
          <t>60% Hours</t>
        </is>
      </c>
      <c r="L1787" s="816" t="inlineStr">
        <is>
          <t>Projected</t>
        </is>
      </c>
      <c r="M1787" s="817" t="inlineStr">
        <is>
          <t>Rostered</t>
        </is>
      </c>
      <c r="N1787" s="836" t="inlineStr">
        <is>
          <t>60% Hours</t>
        </is>
      </c>
      <c r="O1787" s="816" t="inlineStr">
        <is>
          <t>Projected</t>
        </is>
      </c>
      <c r="P1787" s="817" t="inlineStr">
        <is>
          <t>Rostered</t>
        </is>
      </c>
    </row>
    <row r="1788" ht="15.75" customHeight="1" s="2">
      <c r="A1788" s="479" t="inlineStr">
        <is>
          <t>Floor</t>
        </is>
      </c>
      <c r="B1788" s="855" t="n"/>
      <c r="C1788" s="810" t="n">
        <v>376</v>
      </c>
      <c r="D1788" s="811" t="n">
        <v>543.5</v>
      </c>
      <c r="E1788" s="855" t="n"/>
      <c r="F1788" s="810" t="n">
        <v>367</v>
      </c>
      <c r="G1788" s="811" t="n">
        <v>406</v>
      </c>
      <c r="H1788" s="855" t="n"/>
      <c r="I1788" s="810" t="n">
        <v>416</v>
      </c>
      <c r="J1788" s="811" t="n">
        <v>437</v>
      </c>
      <c r="K1788" s="855" t="n"/>
      <c r="L1788" s="810" t="n">
        <v>444</v>
      </c>
      <c r="M1788" s="811" t="n">
        <v>457</v>
      </c>
      <c r="N1788" s="855" t="n"/>
      <c r="O1788" s="810" t="n">
        <v>415</v>
      </c>
      <c r="P1788" s="811" t="n">
        <v>426</v>
      </c>
    </row>
    <row r="1789" ht="15.75" customHeight="1" s="2" thickBot="1">
      <c r="A1789" s="481" t="inlineStr">
        <is>
          <t>Kitchen</t>
        </is>
      </c>
      <c r="B1789" s="856" t="n"/>
      <c r="C1789" s="813" t="n">
        <v>308</v>
      </c>
      <c r="D1789" s="814" t="n">
        <v>414.5</v>
      </c>
      <c r="E1789" s="856" t="n"/>
      <c r="F1789" s="840" t="n">
        <v>301</v>
      </c>
      <c r="G1789" s="814" t="n">
        <v>370</v>
      </c>
      <c r="H1789" s="856" t="n"/>
      <c r="I1789" s="813" t="n">
        <v>340</v>
      </c>
      <c r="J1789" s="814" t="n">
        <v>400</v>
      </c>
      <c r="K1789" s="856" t="n"/>
      <c r="L1789" s="813" t="n">
        <v>363</v>
      </c>
      <c r="M1789" s="814" t="n">
        <v>400</v>
      </c>
      <c r="N1789" s="856" t="n"/>
      <c r="O1789" s="813" t="n">
        <v>340</v>
      </c>
      <c r="P1789" s="814" t="n">
        <v>348</v>
      </c>
    </row>
    <row r="1790" ht="15.75" customHeight="1" s="2" thickBot="1">
      <c r="A1790" s="834" t="n"/>
      <c r="B1790" s="836" t="inlineStr">
        <is>
          <t xml:space="preserve">Minimum </t>
        </is>
      </c>
      <c r="C1790" s="875" t="n"/>
      <c r="D1790" s="875" t="n"/>
      <c r="E1790" s="839" t="inlineStr">
        <is>
          <t>Minimum</t>
        </is>
      </c>
      <c r="F1790" s="875" t="n"/>
      <c r="G1790" s="875" t="n"/>
      <c r="H1790" s="839" t="inlineStr">
        <is>
          <t>Minimum</t>
        </is>
      </c>
      <c r="I1790" s="875" t="n"/>
      <c r="J1790" s="875" t="n"/>
      <c r="K1790" s="839" t="inlineStr">
        <is>
          <t>Minimum</t>
        </is>
      </c>
      <c r="L1790" s="875" t="n"/>
      <c r="M1790" s="875" t="n"/>
      <c r="N1790" s="839" t="n"/>
      <c r="O1790" s="835" t="n"/>
      <c r="P1790" s="835" t="n"/>
    </row>
    <row r="1791" ht="15.75" customHeight="1" s="2">
      <c r="A1791" s="834" t="n"/>
      <c r="B1791" s="837" t="n"/>
      <c r="C1791" s="875" t="n"/>
      <c r="D1791" s="875" t="n"/>
      <c r="E1791" s="837" t="n"/>
      <c r="F1791" s="875" t="n"/>
      <c r="G1791" s="875" t="n"/>
      <c r="H1791" s="837" t="n"/>
      <c r="I1791" s="875" t="n"/>
      <c r="J1791" s="875" t="n"/>
      <c r="K1791" s="837" t="n"/>
      <c r="L1791" s="875" t="n"/>
      <c r="M1791" s="875" t="n"/>
      <c r="N1791" s="837" t="n"/>
      <c r="O1791" s="835" t="n"/>
      <c r="P1791" s="835" t="n"/>
    </row>
    <row r="1792" ht="15.75" customHeight="1" s="2" thickBot="1">
      <c r="B1792" s="838" t="n"/>
      <c r="C1792" s="876" t="n"/>
      <c r="D1792" s="876" t="n"/>
      <c r="E1792" s="838" t="n"/>
      <c r="F1792" s="876" t="n"/>
      <c r="G1792" s="876" t="n"/>
      <c r="H1792" s="838" t="n"/>
      <c r="I1792" s="876" t="n"/>
      <c r="J1792" s="876" t="n"/>
      <c r="K1792" s="838" t="n"/>
      <c r="L1792" s="876" t="n"/>
      <c r="M1792" s="876" t="n"/>
      <c r="N1792" s="838" t="n"/>
    </row>
    <row r="1793" ht="15.75" customHeight="1" s="2" thickBot="1">
      <c r="A1793" s="506" t="inlineStr">
        <is>
          <t>Training explanation</t>
        </is>
      </c>
      <c r="C1793" s="523" t="inlineStr">
        <is>
          <t>Floor</t>
        </is>
      </c>
      <c r="D1793" s="524" t="inlineStr">
        <is>
          <t>Kitchen</t>
        </is>
      </c>
      <c r="E1793" s="509" t="n"/>
      <c r="F1793" s="507" t="inlineStr">
        <is>
          <t>Floor</t>
        </is>
      </c>
      <c r="G1793" s="508" t="inlineStr">
        <is>
          <t>Kitchen</t>
        </is>
      </c>
      <c r="H1793" s="510" t="n"/>
      <c r="I1793" s="535" t="n"/>
      <c r="J1793" s="511" t="n"/>
      <c r="K1793" s="512" t="n"/>
      <c r="L1793" s="535" t="inlineStr">
        <is>
          <t>kitchen</t>
        </is>
      </c>
      <c r="M1793" s="513" t="n"/>
      <c r="N1793" s="512" t="n"/>
      <c r="O1793" s="535" t="inlineStr">
        <is>
          <t>kitchen</t>
        </is>
      </c>
      <c r="P1793" s="513" t="n"/>
    </row>
    <row r="1794" ht="15.75" customHeight="1" s="2">
      <c r="A1794" s="506" t="inlineStr">
        <is>
          <t>Who is being Trained</t>
        </is>
      </c>
      <c r="C1794" s="525" t="n"/>
      <c r="D1794" s="527" t="n"/>
      <c r="E1794" s="514" t="n"/>
      <c r="F1794" s="525" t="n"/>
      <c r="G1794" s="527" t="n"/>
      <c r="H1794" s="515" t="n"/>
      <c r="I1794" s="531" t="n"/>
      <c r="J1794" s="824" t="n"/>
      <c r="K1794" s="515" t="n"/>
      <c r="L1794" s="536" t="n"/>
      <c r="M1794" s="532" t="n"/>
      <c r="N1794" s="515" t="n"/>
      <c r="O1794" s="536" t="n"/>
      <c r="P1794" s="532" t="n"/>
    </row>
    <row r="1795" ht="15.75" customHeight="1" s="2">
      <c r="C1795" s="550" t="n"/>
      <c r="D1795" s="526" t="n"/>
      <c r="E1795" s="514" t="n"/>
      <c r="F1795" s="550" t="n"/>
      <c r="G1795" s="526" t="n"/>
      <c r="H1795" s="516" t="n"/>
      <c r="I1795" s="537" t="n"/>
      <c r="J1795" s="530" t="n"/>
      <c r="K1795" s="516" t="n"/>
      <c r="L1795" s="542" t="n"/>
      <c r="M1795" s="530" t="n"/>
      <c r="N1795" s="516" t="n"/>
      <c r="O1795" s="542" t="n"/>
      <c r="P1795" s="530" t="n"/>
    </row>
    <row r="1796" ht="15.75" customHeight="1" s="2">
      <c r="C1796" s="550" t="n"/>
      <c r="D1796" s="527" t="n"/>
      <c r="E1796" s="514" t="n"/>
      <c r="F1796" s="531" t="n"/>
      <c r="G1796" s="530" t="n"/>
      <c r="H1796" s="516" t="n"/>
      <c r="I1796" s="537" t="n"/>
      <c r="J1796" s="530" t="n"/>
      <c r="K1796" s="516" t="n"/>
      <c r="L1796" s="542" t="n"/>
      <c r="M1796" s="539" t="n"/>
      <c r="N1796" s="516" t="n"/>
      <c r="O1796" s="542" t="n"/>
      <c r="P1796" s="539" t="n"/>
    </row>
    <row r="1797" ht="15.75" customHeight="1" s="2">
      <c r="C1797" s="551" t="n"/>
      <c r="D1797" s="561" t="n"/>
      <c r="E1797" s="519" t="n"/>
      <c r="F1797" s="517" t="n"/>
      <c r="G1797" s="518" t="n"/>
      <c r="H1797" s="516" t="n"/>
      <c r="I1797" s="537" t="n"/>
      <c r="J1797" s="530" t="n"/>
      <c r="K1797" s="516" t="n"/>
      <c r="L1797" s="537" t="n"/>
      <c r="M1797" s="539" t="n"/>
      <c r="N1797" s="516" t="n"/>
      <c r="O1797" s="537" t="n"/>
      <c r="P1797" s="539" t="n"/>
    </row>
    <row r="1798" ht="15.75" customHeight="1" s="2">
      <c r="C1798" s="551" t="n"/>
      <c r="D1798" s="528" t="n"/>
      <c r="E1798" s="519" t="n"/>
      <c r="F1798" s="517" t="n"/>
      <c r="G1798" s="518" t="n"/>
      <c r="H1798" s="516" t="n"/>
      <c r="I1798" s="537" t="n"/>
      <c r="J1798" s="533" t="n"/>
      <c r="K1798" s="516" t="n"/>
      <c r="L1798" s="537" t="n"/>
      <c r="M1798" s="540" t="n"/>
      <c r="N1798" s="516" t="n"/>
      <c r="O1798" s="537" t="n"/>
      <c r="P1798" s="540" t="n"/>
      <c r="T1798" s="454">
        <f>22.33-21.46</f>
        <v/>
      </c>
    </row>
    <row r="1799" ht="15.75" customHeight="1" s="2" thickBot="1">
      <c r="C1799" s="562" t="n"/>
      <c r="D1799" s="529" t="n"/>
      <c r="E1799" s="519" t="n"/>
      <c r="F1799" s="520" t="n"/>
      <c r="G1799" s="521" t="n"/>
      <c r="H1799" s="516" t="n"/>
      <c r="I1799" s="538" t="n"/>
      <c r="J1799" s="534" t="n"/>
      <c r="K1799" s="522" t="n"/>
      <c r="L1799" s="538" t="n"/>
      <c r="M1799" s="541" t="n"/>
      <c r="N1799" s="522" t="n"/>
      <c r="O1799" s="538" t="n"/>
      <c r="P1799" s="541" t="n"/>
    </row>
    <row r="1800" ht="15.75" customHeight="1" s="2" thickBot="1"/>
    <row r="1801" ht="15.75" customHeight="1" s="2" thickBot="1">
      <c r="B1801" s="1652" t="inlineStr">
        <is>
          <t>15.02.2021(v-day and Chinese NY)</t>
        </is>
      </c>
      <c r="C1801" s="1641" t="n"/>
      <c r="D1801" s="1502" t="n"/>
      <c r="E1801" s="1640" t="inlineStr">
        <is>
          <t>22.02.21</t>
        </is>
      </c>
      <c r="F1801" s="1641" t="n"/>
      <c r="G1801" s="1502" t="n"/>
      <c r="H1801" s="1640" t="inlineStr">
        <is>
          <t>1.3.2021</t>
        </is>
      </c>
      <c r="I1801" s="1641" t="n"/>
      <c r="J1801" s="1502" t="n"/>
      <c r="K1801" s="1640" t="inlineStr">
        <is>
          <t>8.03.21</t>
        </is>
      </c>
      <c r="L1801" s="1641" t="n"/>
      <c r="M1801" s="1502" t="n"/>
      <c r="N1801" s="1640" t="inlineStr">
        <is>
          <t>15.3.2021</t>
        </is>
      </c>
      <c r="O1801" s="1641" t="n"/>
      <c r="P1801" s="1502" t="n"/>
    </row>
    <row r="1802" ht="15.75" customHeight="1" s="2" thickBot="1">
      <c r="A1802" s="455" t="n"/>
      <c r="B1802" s="872" t="inlineStr">
        <is>
          <t>LAST YEAR</t>
        </is>
      </c>
      <c r="C1802" s="873" t="inlineStr">
        <is>
          <t>Actual</t>
        </is>
      </c>
      <c r="D1802" s="874" t="inlineStr">
        <is>
          <t>Projected</t>
        </is>
      </c>
      <c r="E1802" s="872" t="inlineStr">
        <is>
          <t>LAST YEAR</t>
        </is>
      </c>
      <c r="F1802" s="873" t="inlineStr">
        <is>
          <t>Actual</t>
        </is>
      </c>
      <c r="G1802" s="874" t="inlineStr">
        <is>
          <t>Projected</t>
        </is>
      </c>
      <c r="H1802" s="872" t="inlineStr">
        <is>
          <t>LAST YEAR</t>
        </is>
      </c>
      <c r="I1802" s="873" t="inlineStr">
        <is>
          <t>Actual</t>
        </is>
      </c>
      <c r="J1802" s="874" t="inlineStr">
        <is>
          <t>Projected</t>
        </is>
      </c>
      <c r="K1802" s="872" t="inlineStr">
        <is>
          <t>LAST YEAR</t>
        </is>
      </c>
      <c r="L1802" s="873" t="inlineStr">
        <is>
          <t>Actual</t>
        </is>
      </c>
      <c r="M1802" s="874" t="inlineStr">
        <is>
          <t>Projected</t>
        </is>
      </c>
      <c r="N1802" s="872" t="inlineStr">
        <is>
          <t>LAST YEAR</t>
        </is>
      </c>
      <c r="O1802" s="873" t="inlineStr">
        <is>
          <t>Actual</t>
        </is>
      </c>
      <c r="P1802" s="874" t="inlineStr">
        <is>
          <t>Projected</t>
        </is>
      </c>
    </row>
    <row r="1803" ht="15.75" customHeight="1" s="2">
      <c r="A1803" s="459" t="inlineStr">
        <is>
          <t>Total Receipts</t>
        </is>
      </c>
      <c r="B1803" s="1622" t="n">
        <v>92505.44</v>
      </c>
      <c r="C1803" s="1631" t="n">
        <v>98220.48</v>
      </c>
      <c r="D1803" s="1622" t="n">
        <v>81424</v>
      </c>
      <c r="E1803" s="1644" t="n">
        <v>126975.3</v>
      </c>
      <c r="F1803" s="1631" t="n">
        <v>84155.05</v>
      </c>
      <c r="G1803" s="1645" t="n">
        <v>71418</v>
      </c>
      <c r="H1803" s="1631" t="n">
        <v>129756</v>
      </c>
      <c r="I1803" s="1631" t="n">
        <v>85545.83</v>
      </c>
      <c r="J1803" s="1622" t="n">
        <v>66143</v>
      </c>
      <c r="K1803" s="1644" t="n">
        <v>93562.99000000001</v>
      </c>
      <c r="L1803" s="1643" t="n">
        <v>88141</v>
      </c>
      <c r="M1803" s="1645" t="n">
        <v>74910</v>
      </c>
      <c r="N1803" s="1631" t="n">
        <v>93562.99000000001</v>
      </c>
      <c r="O1803" s="1631" t="n">
        <v>76044.53</v>
      </c>
      <c r="P1803" s="1622" t="n">
        <v>73133</v>
      </c>
    </row>
    <row r="1804" ht="15.75" customHeight="1" s="2">
      <c r="A1804" s="462" t="inlineStr">
        <is>
          <t>Nett Sales</t>
        </is>
      </c>
      <c r="B1804" s="1625" t="n">
        <v>84095.85000000001</v>
      </c>
      <c r="C1804" s="1632" t="n">
        <v>89306.31</v>
      </c>
      <c r="D1804" s="1625" t="n">
        <v>74021.8</v>
      </c>
      <c r="E1804" s="1646" t="n">
        <v>115432.09</v>
      </c>
      <c r="F1804" s="1632" t="n">
        <v>76504</v>
      </c>
      <c r="G1804" s="1637" t="n">
        <v>64925</v>
      </c>
      <c r="H1804" s="1632" t="n">
        <v>117960</v>
      </c>
      <c r="I1804" s="1632" t="n">
        <v>77768.94</v>
      </c>
      <c r="J1804" s="1625" t="n">
        <v>60129</v>
      </c>
      <c r="K1804" s="1646" t="n">
        <v>85057.25999999999</v>
      </c>
      <c r="L1804" s="1632" t="n">
        <v>80128.72</v>
      </c>
      <c r="M1804" s="1625" t="n">
        <v>68100</v>
      </c>
      <c r="N1804" s="1632" t="n">
        <v>85057.25999999999</v>
      </c>
      <c r="O1804" s="1632" t="n">
        <v>69131.39</v>
      </c>
      <c r="P1804" s="1625" t="n">
        <v>66484</v>
      </c>
    </row>
    <row r="1805" ht="15.75" customHeight="1" s="2">
      <c r="A1805" s="462" t="inlineStr">
        <is>
          <t>Customers</t>
        </is>
      </c>
      <c r="B1805" s="466" t="n">
        <v>4272</v>
      </c>
      <c r="C1805" s="565" t="n">
        <v>4330</v>
      </c>
      <c r="D1805" s="466" t="n">
        <v>3770</v>
      </c>
      <c r="E1805" s="866" t="n">
        <v>6309</v>
      </c>
      <c r="F1805" s="565" t="n">
        <v>3749</v>
      </c>
      <c r="G1805" s="466" t="n">
        <v>3335</v>
      </c>
      <c r="H1805" s="565" t="n">
        <v>5997</v>
      </c>
      <c r="I1805" s="565" t="n">
        <v>3785</v>
      </c>
      <c r="J1805" s="466" t="n">
        <v>3085</v>
      </c>
      <c r="K1805" s="866" t="n">
        <v>4607</v>
      </c>
      <c r="L1805" s="565" t="n">
        <v>3909</v>
      </c>
      <c r="M1805" s="466" t="n">
        <v>3500</v>
      </c>
      <c r="N1805" s="565" t="n">
        <v>4607</v>
      </c>
      <c r="O1805" s="565" t="n">
        <v>3312</v>
      </c>
      <c r="P1805" s="466" t="n">
        <v>3415</v>
      </c>
    </row>
    <row r="1806" ht="15.75" customHeight="1" s="2">
      <c r="A1806" s="462" t="inlineStr">
        <is>
          <t>Average Customer Spend</t>
        </is>
      </c>
      <c r="B1806" s="1628" t="n">
        <v>21.65389513108614</v>
      </c>
      <c r="C1806" s="1635" t="n">
        <v>22.68360277136259</v>
      </c>
      <c r="D1806" s="1628" t="n">
        <v>21.6</v>
      </c>
      <c r="E1806" s="1648">
        <f>E1803/6309</f>
        <v/>
      </c>
      <c r="F1806" s="1635" t="n">
        <v>22.45</v>
      </c>
      <c r="G1806" s="1649" t="n">
        <v>21.41</v>
      </c>
      <c r="H1806" s="1638" t="n">
        <v>21.64</v>
      </c>
      <c r="I1806" s="1635" t="n">
        <v>22.6</v>
      </c>
      <c r="J1806" s="1628" t="n">
        <v>21.44</v>
      </c>
      <c r="K1806" s="1648" t="n">
        <v>20.30887562405036</v>
      </c>
      <c r="L1806" s="1647" t="n">
        <v>22.55</v>
      </c>
      <c r="M1806" s="1649" t="n">
        <v>21.4</v>
      </c>
      <c r="N1806" s="1635">
        <f>N1803/4607</f>
        <v/>
      </c>
      <c r="O1806" s="1635" t="n">
        <v>22.96</v>
      </c>
      <c r="P1806" s="1628" t="n">
        <v>21.42</v>
      </c>
    </row>
    <row r="1807" ht="15.75" customHeight="1" s="2">
      <c r="A1807" s="462" t="inlineStr">
        <is>
          <t>Wage % to Total Receipts</t>
        </is>
      </c>
      <c r="B1807" s="470" t="n">
        <v>0.4876</v>
      </c>
      <c r="C1807" s="567" t="n">
        <v>0.3356</v>
      </c>
      <c r="D1807" s="470" t="n">
        <v>0.3686</v>
      </c>
      <c r="E1807" s="868" t="n">
        <v>0.3561</v>
      </c>
      <c r="F1807" s="567" t="n">
        <v>0.3766</v>
      </c>
      <c r="G1807" s="863" t="n">
        <v>0.3888</v>
      </c>
      <c r="H1807" s="567" t="n">
        <v>0.3637</v>
      </c>
      <c r="I1807" s="567" t="n">
        <v>0.3482</v>
      </c>
      <c r="J1807" s="470" t="n">
        <v>0.3757</v>
      </c>
      <c r="K1807" s="868" t="n">
        <v>0.4707</v>
      </c>
      <c r="L1807" s="860" t="n">
        <v>0.351</v>
      </c>
      <c r="M1807" s="863" t="n">
        <v>0.375</v>
      </c>
      <c r="N1807" s="567" t="n">
        <v>0.4707</v>
      </c>
      <c r="O1807" s="567" t="n">
        <v>0.4142</v>
      </c>
      <c r="P1807" s="470" t="n">
        <v>0.401</v>
      </c>
      <c r="Q1807" s="454">
        <f>3312-2947</f>
        <v/>
      </c>
    </row>
    <row r="1808" ht="15.75" customHeight="1" s="2">
      <c r="A1808" s="462" t="inlineStr">
        <is>
          <t>Wage % to Nett Sales</t>
        </is>
      </c>
      <c r="B1808" s="470" t="n">
        <v>0.5364</v>
      </c>
      <c r="C1808" s="567" t="n">
        <v>0.3692</v>
      </c>
      <c r="D1808" s="470" t="n">
        <v>0.4055</v>
      </c>
      <c r="E1808" s="868" t="n">
        <v>0.3917</v>
      </c>
      <c r="F1808" s="567" t="n">
        <v>0.4143</v>
      </c>
      <c r="G1808" s="863" t="n">
        <v>0.4277</v>
      </c>
      <c r="H1808" s="567" t="n">
        <v>0.4001</v>
      </c>
      <c r="I1808" s="567" t="n">
        <v>0.383</v>
      </c>
      <c r="J1808" s="470" t="n">
        <v>0.4133</v>
      </c>
      <c r="K1808" s="868" t="n">
        <v>0.5178</v>
      </c>
      <c r="L1808" s="860" t="n">
        <v>0.3861</v>
      </c>
      <c r="M1808" s="863" t="n">
        <v>0.4125</v>
      </c>
      <c r="N1808" s="567" t="n">
        <v>0.5178</v>
      </c>
      <c r="O1808" s="567" t="n">
        <v>0.4556</v>
      </c>
      <c r="P1808" s="470" t="n">
        <v>0.4411</v>
      </c>
    </row>
    <row r="1809" ht="15.75" customHeight="1" s="2">
      <c r="A1809" s="462" t="inlineStr">
        <is>
          <t>Productivity</t>
        </is>
      </c>
      <c r="B1809" s="472" t="n">
        <v>3.15</v>
      </c>
      <c r="C1809" s="568" t="n">
        <v>4.8</v>
      </c>
      <c r="D1809" s="472" t="n">
        <v>4.6</v>
      </c>
      <c r="E1809" s="869" t="n">
        <v>4.66</v>
      </c>
      <c r="F1809" s="568" t="n">
        <v>4.7</v>
      </c>
      <c r="G1809" s="472" t="n">
        <v>4.4</v>
      </c>
      <c r="H1809" s="568" t="n">
        <v>4.22</v>
      </c>
      <c r="I1809" s="568" t="n">
        <v>4.69</v>
      </c>
      <c r="J1809" s="472" t="n">
        <v>4.5</v>
      </c>
      <c r="K1809" s="869" t="n">
        <v>3.67</v>
      </c>
      <c r="L1809" s="568" t="n">
        <v>4.81</v>
      </c>
      <c r="M1809" s="472" t="n">
        <v>4.5</v>
      </c>
      <c r="N1809" s="568" t="n">
        <v>3.67</v>
      </c>
      <c r="O1809" s="568" t="n">
        <v>4.14</v>
      </c>
      <c r="P1809" s="472" t="n">
        <v>4.2</v>
      </c>
    </row>
    <row r="1810" ht="15.75" customHeight="1" s="2">
      <c r="A1810" s="462" t="inlineStr">
        <is>
          <t>Average Hourly Rate</t>
        </is>
      </c>
      <c r="B1810" s="1628" t="n">
        <v>33.28</v>
      </c>
      <c r="C1810" s="568" t="n">
        <v>36.5</v>
      </c>
      <c r="D1810" s="1628" t="n">
        <v>36.25</v>
      </c>
      <c r="E1810" s="869" t="n">
        <v>33.4</v>
      </c>
      <c r="F1810" s="568" t="n">
        <v>39.69</v>
      </c>
      <c r="G1810" s="1628" t="n">
        <v>36.25</v>
      </c>
      <c r="H1810" s="568" t="n">
        <v>33.11</v>
      </c>
      <c r="I1810" s="568" t="n">
        <v>36.92</v>
      </c>
      <c r="J1810" s="1628" t="n">
        <v>36.25</v>
      </c>
      <c r="K1810" s="869" t="n">
        <v>35.05</v>
      </c>
      <c r="L1810" s="568" t="n">
        <v>38.09</v>
      </c>
      <c r="M1810" s="1649" t="n">
        <v>36.25</v>
      </c>
      <c r="N1810" s="568" t="n">
        <v>35.05</v>
      </c>
      <c r="O1810" s="568" t="n">
        <v>39.36</v>
      </c>
      <c r="P1810" s="1628" t="n">
        <v>36.25</v>
      </c>
    </row>
    <row r="1811" ht="15.75" customHeight="1" s="2">
      <c r="A1811" s="462" t="inlineStr">
        <is>
          <t>Total hours for productivity</t>
        </is>
      </c>
      <c r="B1811" s="466" t="n">
        <v>1355.5</v>
      </c>
      <c r="C1811" s="568" t="n">
        <v>895.5</v>
      </c>
      <c r="D1811" s="466" t="n">
        <v>828</v>
      </c>
      <c r="E1811" s="869" t="n">
        <v>1353.75</v>
      </c>
      <c r="F1811" s="568" t="n">
        <v>798.5</v>
      </c>
      <c r="G1811" s="466" t="n">
        <v>783</v>
      </c>
      <c r="H1811" s="568" t="n">
        <v>1425.5</v>
      </c>
      <c r="I1811" s="568" t="n">
        <v>806.75</v>
      </c>
      <c r="J1811" s="472" t="n">
        <v>774</v>
      </c>
      <c r="K1811" s="869" t="n">
        <v>1256</v>
      </c>
      <c r="L1811" s="568" t="n">
        <v>812.25</v>
      </c>
      <c r="M1811" s="466" t="n">
        <v>775</v>
      </c>
      <c r="N1811" s="568" t="n">
        <v>1256</v>
      </c>
      <c r="O1811" s="568" t="n">
        <v>800.25</v>
      </c>
      <c r="P1811" s="466" t="n">
        <v>809</v>
      </c>
    </row>
    <row r="1812" ht="15.75" customHeight="1" s="2">
      <c r="A1812" s="462" t="inlineStr">
        <is>
          <t>Training Hours used</t>
        </is>
      </c>
      <c r="B1812" s="466" t="n"/>
      <c r="C1812" s="569" t="n"/>
      <c r="D1812" s="466" t="n"/>
      <c r="E1812" s="466" t="n"/>
      <c r="F1812" s="569" t="n"/>
      <c r="G1812" s="466" t="n"/>
      <c r="H1812" s="569" t="n">
        <v>63.75</v>
      </c>
      <c r="I1812" s="569" t="n">
        <v>5</v>
      </c>
      <c r="J1812" s="466" t="n"/>
      <c r="K1812" s="870" t="n">
        <v>16</v>
      </c>
      <c r="L1812" s="569" t="n"/>
      <c r="M1812" s="466" t="n"/>
      <c r="N1812" s="569" t="n">
        <v>16</v>
      </c>
      <c r="O1812" s="569" t="n">
        <v>10</v>
      </c>
      <c r="P1812" s="466" t="n">
        <v>10</v>
      </c>
    </row>
    <row r="1813" ht="15.75" customHeight="1" s="2" thickBot="1">
      <c r="A1813" s="474" t="inlineStr">
        <is>
          <t>Number of hours used to cover sick leave</t>
        </is>
      </c>
      <c r="B1813" s="476" t="n"/>
      <c r="C1813" s="570" t="n"/>
      <c r="D1813" s="476" t="n"/>
      <c r="E1813" s="476" t="n"/>
      <c r="F1813" s="570" t="n"/>
      <c r="G1813" s="476" t="n"/>
      <c r="H1813" s="570" t="n"/>
      <c r="I1813" s="570" t="n"/>
      <c r="J1813" s="476" t="n"/>
      <c r="K1813" s="813" t="n">
        <v>17.5</v>
      </c>
      <c r="L1813" s="570" t="n"/>
      <c r="M1813" s="476" t="n"/>
      <c r="N1813" s="475" t="n">
        <v>17.5</v>
      </c>
      <c r="O1813" s="570" t="n"/>
      <c r="P1813" s="476" t="n"/>
    </row>
    <row r="1814" ht="15.75" customHeight="1" s="2" thickBot="1">
      <c r="A1814" s="477" t="inlineStr">
        <is>
          <t xml:space="preserve">Minimum Hours </t>
        </is>
      </c>
      <c r="B1814" s="836" t="inlineStr">
        <is>
          <t>60% Hours</t>
        </is>
      </c>
      <c r="C1814" s="816" t="inlineStr">
        <is>
          <t>Projected</t>
        </is>
      </c>
      <c r="D1814" s="817" t="inlineStr">
        <is>
          <t>Rostered</t>
        </is>
      </c>
      <c r="E1814" s="836" t="inlineStr">
        <is>
          <t>60% Hours</t>
        </is>
      </c>
      <c r="F1814" s="816" t="inlineStr">
        <is>
          <t>Projected</t>
        </is>
      </c>
      <c r="G1814" s="817" t="inlineStr">
        <is>
          <t>Rostered</t>
        </is>
      </c>
      <c r="H1814" s="836" t="inlineStr">
        <is>
          <t>60% Hours</t>
        </is>
      </c>
      <c r="I1814" s="816" t="inlineStr">
        <is>
          <t>Projected</t>
        </is>
      </c>
      <c r="J1814" s="817" t="inlineStr">
        <is>
          <t>Rostered</t>
        </is>
      </c>
      <c r="K1814" s="836" t="inlineStr">
        <is>
          <t>60% Hours</t>
        </is>
      </c>
      <c r="L1814" s="816" t="inlineStr">
        <is>
          <t>Projected</t>
        </is>
      </c>
      <c r="M1814" s="817" t="inlineStr">
        <is>
          <t>Rostered</t>
        </is>
      </c>
      <c r="N1814" s="836" t="inlineStr">
        <is>
          <t>60% Hours</t>
        </is>
      </c>
      <c r="O1814" s="816" t="inlineStr">
        <is>
          <t>Projected</t>
        </is>
      </c>
      <c r="P1814" s="817" t="inlineStr">
        <is>
          <t>Rostered</t>
        </is>
      </c>
    </row>
    <row r="1815" ht="15.75" customHeight="1" s="2">
      <c r="A1815" s="479" t="inlineStr">
        <is>
          <t>Floor</t>
        </is>
      </c>
      <c r="B1815" s="855" t="n"/>
      <c r="C1815" s="810" t="n">
        <v>461</v>
      </c>
      <c r="D1815" s="811" t="n">
        <v>452</v>
      </c>
      <c r="E1815" s="855" t="n"/>
      <c r="F1815" s="810" t="n">
        <v>408</v>
      </c>
      <c r="G1815" s="811" t="n">
        <v>419</v>
      </c>
      <c r="H1815" s="855" t="n"/>
      <c r="I1815" s="810" t="n"/>
      <c r="J1815" s="811" t="n">
        <v>421</v>
      </c>
      <c r="K1815" s="855" t="n"/>
      <c r="L1815" s="810" t="n">
        <v>396</v>
      </c>
      <c r="M1815" s="811" t="n">
        <v>412</v>
      </c>
      <c r="N1815" s="855" t="n"/>
      <c r="O1815" s="810" t="n"/>
      <c r="P1815" s="811" t="n"/>
    </row>
    <row r="1816" ht="15.75" customHeight="1" s="2" thickBot="1">
      <c r="A1816" s="481" t="inlineStr">
        <is>
          <t>Kitchen</t>
        </is>
      </c>
      <c r="B1816" s="856" t="n"/>
      <c r="C1816" s="813" t="n">
        <v>377</v>
      </c>
      <c r="D1816" s="814" t="n">
        <v>377</v>
      </c>
      <c r="E1816" s="856" t="n"/>
      <c r="F1816" s="840" t="n">
        <v>334</v>
      </c>
      <c r="G1816" s="814" t="n">
        <v>364</v>
      </c>
      <c r="H1816" s="856" t="n"/>
      <c r="I1816" s="813" t="n"/>
      <c r="J1816" s="814" t="n">
        <v>353</v>
      </c>
      <c r="K1816" s="856" t="n"/>
      <c r="L1816" s="813" t="n">
        <v>324</v>
      </c>
      <c r="M1816" s="814" t="n">
        <v>363</v>
      </c>
      <c r="N1816" s="856" t="n"/>
      <c r="O1816" s="813" t="n"/>
      <c r="P1816" s="814" t="n"/>
    </row>
    <row r="1817" ht="15.75" customHeight="1" s="2" thickBot="1">
      <c r="A1817" s="834" t="n"/>
      <c r="B1817" s="836" t="inlineStr">
        <is>
          <t xml:space="preserve">Minimum </t>
        </is>
      </c>
      <c r="C1817" s="875" t="n"/>
      <c r="D1817" s="875" t="n"/>
      <c r="E1817" s="839" t="inlineStr">
        <is>
          <t>Minimum</t>
        </is>
      </c>
      <c r="F1817" s="875" t="n"/>
      <c r="G1817" s="875" t="n"/>
      <c r="H1817" s="839" t="inlineStr">
        <is>
          <t>Minimum</t>
        </is>
      </c>
      <c r="I1817" s="875" t="n"/>
      <c r="J1817" s="875" t="n"/>
      <c r="K1817" s="839" t="inlineStr">
        <is>
          <t>Minimum</t>
        </is>
      </c>
      <c r="L1817" s="875" t="n"/>
      <c r="M1817" s="875" t="n"/>
      <c r="N1817" s="839" t="n"/>
      <c r="O1817" s="835" t="n"/>
      <c r="P1817" s="835" t="n"/>
    </row>
    <row r="1818" ht="15.75" customHeight="1" s="2">
      <c r="A1818" s="834" t="n"/>
      <c r="B1818" s="837" t="n"/>
      <c r="C1818" s="875" t="n"/>
      <c r="D1818" s="875" t="n"/>
      <c r="E1818" s="837" t="n"/>
      <c r="F1818" s="875" t="n"/>
      <c r="G1818" s="875" t="n"/>
      <c r="H1818" s="837" t="n"/>
      <c r="I1818" s="875" t="n"/>
      <c r="J1818" s="875" t="n"/>
      <c r="K1818" s="837" t="n"/>
      <c r="L1818" s="875" t="n"/>
      <c r="M1818" s="875" t="n"/>
      <c r="N1818" s="837" t="n"/>
      <c r="O1818" s="835" t="n"/>
      <c r="P1818" s="835" t="n"/>
    </row>
    <row r="1819" ht="15.75" customHeight="1" s="2" thickBot="1">
      <c r="B1819" s="838" t="n"/>
      <c r="C1819" s="876" t="n"/>
      <c r="D1819" s="876" t="n"/>
      <c r="E1819" s="838" t="n"/>
      <c r="F1819" s="876" t="n"/>
      <c r="G1819" s="876" t="n"/>
      <c r="H1819" s="838" t="n"/>
      <c r="I1819" s="876" t="n"/>
      <c r="J1819" s="876" t="n"/>
      <c r="K1819" s="838" t="n"/>
      <c r="L1819" s="876" t="n"/>
      <c r="M1819" s="876" t="n"/>
      <c r="N1819" s="838" t="n"/>
    </row>
    <row r="1820" ht="15.75" customHeight="1" s="2" thickBot="1">
      <c r="A1820" s="506" t="inlineStr">
        <is>
          <t>Training explanation</t>
        </is>
      </c>
      <c r="C1820" s="523" t="inlineStr">
        <is>
          <t>Floor</t>
        </is>
      </c>
      <c r="D1820" s="524" t="inlineStr">
        <is>
          <t>Kitchen</t>
        </is>
      </c>
      <c r="E1820" s="509" t="n"/>
      <c r="F1820" s="507" t="inlineStr">
        <is>
          <t>Floor</t>
        </is>
      </c>
      <c r="G1820" s="508" t="inlineStr">
        <is>
          <t>Kitchen</t>
        </is>
      </c>
      <c r="H1820" s="510" t="n"/>
      <c r="I1820" s="535" t="inlineStr">
        <is>
          <t>FLOOR</t>
        </is>
      </c>
      <c r="J1820" s="511" t="n"/>
      <c r="K1820" s="512" t="n"/>
      <c r="L1820" s="535" t="inlineStr">
        <is>
          <t>kitchen</t>
        </is>
      </c>
      <c r="M1820" s="513" t="n"/>
      <c r="N1820" s="512" t="n"/>
      <c r="O1820" s="535" t="inlineStr">
        <is>
          <t>kitchen</t>
        </is>
      </c>
      <c r="P1820" s="513" t="n"/>
    </row>
    <row r="1821" ht="15.75" customHeight="1" s="2">
      <c r="A1821" s="506" t="inlineStr">
        <is>
          <t>Who is being Trained</t>
        </is>
      </c>
      <c r="C1821" s="525" t="n"/>
      <c r="D1821" s="527" t="n"/>
      <c r="E1821" s="514" t="n"/>
      <c r="F1821" s="525" t="n"/>
      <c r="G1821" s="527" t="n"/>
      <c r="H1821" s="515" t="n"/>
      <c r="I1821" s="531" t="inlineStr">
        <is>
          <t xml:space="preserve">Dikshya  host training </t>
        </is>
      </c>
      <c r="J1821" s="824" t="n"/>
      <c r="K1821" s="515" t="n"/>
      <c r="L1821" s="536" t="n"/>
      <c r="M1821" s="532" t="n"/>
      <c r="N1821" s="515" t="n"/>
      <c r="O1821" s="536" t="n"/>
      <c r="P1821" s="532" t="n"/>
    </row>
    <row r="1822" ht="15.75" customHeight="1" s="2">
      <c r="C1822" s="550" t="n"/>
      <c r="D1822" s="526" t="n"/>
      <c r="E1822" s="514" t="n"/>
      <c r="F1822" s="550" t="n"/>
      <c r="G1822" s="526" t="n"/>
      <c r="H1822" s="516" t="n"/>
      <c r="I1822" s="537" t="n"/>
      <c r="J1822" s="530" t="n"/>
      <c r="K1822" s="516" t="n"/>
      <c r="L1822" s="542" t="n"/>
      <c r="M1822" s="530" t="n"/>
      <c r="N1822" s="516" t="n"/>
      <c r="O1822" s="542" t="n"/>
      <c r="P1822" s="530" t="n"/>
    </row>
    <row r="1823" ht="15.75" customHeight="1" s="2">
      <c r="C1823" s="550" t="n"/>
      <c r="D1823" s="527" t="n"/>
      <c r="E1823" s="514" t="n"/>
      <c r="F1823" s="531" t="n"/>
      <c r="G1823" s="530" t="n"/>
      <c r="H1823" s="516" t="n"/>
      <c r="I1823" s="537" t="n"/>
      <c r="J1823" s="530" t="n"/>
      <c r="K1823" s="516" t="n"/>
      <c r="L1823" s="542" t="n"/>
      <c r="M1823" s="539" t="n"/>
      <c r="N1823" s="516" t="n"/>
      <c r="O1823" s="542" t="n"/>
      <c r="P1823" s="539" t="n"/>
    </row>
    <row r="1824" ht="15.75" customHeight="1" s="2">
      <c r="C1824" s="551" t="n"/>
      <c r="D1824" s="561" t="n"/>
      <c r="E1824" s="519" t="n"/>
      <c r="F1824" s="517" t="n"/>
      <c r="G1824" s="518" t="n"/>
      <c r="H1824" s="516" t="n"/>
      <c r="I1824" s="537" t="n"/>
      <c r="J1824" s="530" t="n"/>
      <c r="K1824" s="516" t="n"/>
      <c r="L1824" s="537" t="n"/>
      <c r="M1824" s="539" t="n"/>
      <c r="N1824" s="516" t="n"/>
      <c r="O1824" s="537" t="n"/>
      <c r="P1824" s="539" t="n"/>
    </row>
    <row r="1825" ht="15.75" customHeight="1" s="2">
      <c r="C1825" s="551" t="n"/>
      <c r="D1825" s="528" t="n"/>
      <c r="E1825" s="519" t="n"/>
      <c r="F1825" s="517" t="n"/>
      <c r="G1825" s="518" t="n"/>
      <c r="H1825" s="516" t="n"/>
      <c r="I1825" s="537" t="n"/>
      <c r="J1825" s="533" t="n"/>
      <c r="K1825" s="516" t="n"/>
      <c r="L1825" s="537" t="n"/>
      <c r="M1825" s="540" t="n"/>
      <c r="N1825" s="516" t="n"/>
      <c r="O1825" s="537" t="n"/>
      <c r="P1825" s="540" t="n"/>
    </row>
    <row r="1826" ht="15.75" customHeight="1" s="2" thickBot="1">
      <c r="A1826">
        <f>23.29-21.38</f>
        <v/>
      </c>
      <c r="C1826" s="562" t="n"/>
      <c r="D1826" s="529" t="n"/>
      <c r="E1826" s="519" t="n"/>
      <c r="F1826" s="520" t="n"/>
      <c r="G1826" s="521" t="n"/>
      <c r="H1826" s="516" t="n"/>
      <c r="I1826" s="538" t="n"/>
      <c r="J1826" s="534" t="n"/>
      <c r="K1826" s="522" t="n"/>
      <c r="L1826" s="538" t="n"/>
      <c r="M1826" s="541" t="n"/>
      <c r="N1826" s="522" t="n"/>
      <c r="O1826" s="538" t="n"/>
      <c r="P1826" s="541" t="n"/>
    </row>
    <row r="1827" ht="15.75" customHeight="1" s="2" thickBot="1"/>
    <row r="1828" ht="15.75" customHeight="1" s="2" thickBot="1">
      <c r="B1828" s="1652" t="inlineStr">
        <is>
          <t>22.03.2021</t>
        </is>
      </c>
      <c r="C1828" s="1641" t="n"/>
      <c r="D1828" s="1502" t="n"/>
      <c r="E1828" s="1640" t="inlineStr">
        <is>
          <t>29.03.2021</t>
        </is>
      </c>
      <c r="F1828" s="1641" t="n"/>
      <c r="G1828" s="1502" t="n"/>
      <c r="H1828" s="1640" t="inlineStr">
        <is>
          <t>05.04.2021</t>
        </is>
      </c>
      <c r="I1828" s="1641" t="n"/>
      <c r="J1828" s="1502" t="n"/>
      <c r="K1828" s="1640" t="inlineStr">
        <is>
          <t>12.04.2021</t>
        </is>
      </c>
      <c r="L1828" s="1641" t="n"/>
      <c r="M1828" s="1502" t="n"/>
      <c r="N1828" s="1640" t="inlineStr">
        <is>
          <t>19.04.2021</t>
        </is>
      </c>
      <c r="O1828" s="1641" t="n"/>
      <c r="P1828" s="1502" t="n"/>
    </row>
    <row r="1829" ht="15.75" customHeight="1" s="2" thickBot="1">
      <c r="A1829" s="455" t="n"/>
      <c r="B1829" s="872" t="inlineStr">
        <is>
          <t>LAST YEAR</t>
        </is>
      </c>
      <c r="C1829" s="873" t="inlineStr">
        <is>
          <t>Actual</t>
        </is>
      </c>
      <c r="D1829" s="874" t="inlineStr">
        <is>
          <t>Projected</t>
        </is>
      </c>
      <c r="E1829" s="872" t="inlineStr">
        <is>
          <t>LAST YEAR</t>
        </is>
      </c>
      <c r="F1829" s="873" t="inlineStr">
        <is>
          <t>Actual</t>
        </is>
      </c>
      <c r="G1829" s="874" t="inlineStr">
        <is>
          <t>Projected</t>
        </is>
      </c>
      <c r="H1829" s="872" t="inlineStr">
        <is>
          <t>LAST YEAR</t>
        </is>
      </c>
      <c r="I1829" s="873" t="inlineStr">
        <is>
          <t>Actual</t>
        </is>
      </c>
      <c r="J1829" s="874" t="inlineStr">
        <is>
          <t>Projected</t>
        </is>
      </c>
      <c r="K1829" s="872" t="inlineStr">
        <is>
          <t>LAST YEAR</t>
        </is>
      </c>
      <c r="L1829" s="873" t="inlineStr">
        <is>
          <t>Actual</t>
        </is>
      </c>
      <c r="M1829" s="874" t="inlineStr">
        <is>
          <t>Projected</t>
        </is>
      </c>
      <c r="N1829" s="872" t="inlineStr">
        <is>
          <t>LAST YEAR</t>
        </is>
      </c>
      <c r="O1829" s="873" t="inlineStr">
        <is>
          <t>Actual</t>
        </is>
      </c>
      <c r="P1829" s="874" t="inlineStr">
        <is>
          <t>Projected</t>
        </is>
      </c>
    </row>
    <row r="1830" ht="15.75" customHeight="1" s="2">
      <c r="A1830" s="459" t="inlineStr">
        <is>
          <t>Total Receipts</t>
        </is>
      </c>
      <c r="B1830" s="1622" t="inlineStr">
        <is>
          <t>NA</t>
        </is>
      </c>
      <c r="C1830" s="1631" t="n">
        <v>68645.72</v>
      </c>
      <c r="D1830" s="1622" t="n">
        <v>78875</v>
      </c>
      <c r="E1830" s="1644" t="inlineStr">
        <is>
          <t>NA</t>
        </is>
      </c>
      <c r="F1830" s="1631" t="n">
        <v>84149.37</v>
      </c>
      <c r="G1830" s="1645" t="n">
        <v>82460</v>
      </c>
      <c r="H1830" s="1644" t="inlineStr">
        <is>
          <t>NA</t>
        </is>
      </c>
      <c r="I1830" s="1631" t="n">
        <v>154726.5</v>
      </c>
      <c r="J1830" s="1622" t="n">
        <v>126788</v>
      </c>
      <c r="K1830" s="1644" t="inlineStr">
        <is>
          <t>NA</t>
        </is>
      </c>
      <c r="L1830" s="1643" t="n">
        <v>121958.08</v>
      </c>
      <c r="M1830" s="1645" t="n">
        <v>101628</v>
      </c>
      <c r="N1830" s="1620" t="inlineStr">
        <is>
          <t>NA</t>
        </is>
      </c>
      <c r="O1830" s="1631" t="n">
        <v>121424.53</v>
      </c>
      <c r="P1830" s="1622" t="n">
        <v>112784</v>
      </c>
      <c r="R1830" s="454">
        <f>O1830-P1830</f>
        <v/>
      </c>
    </row>
    <row r="1831" ht="15.75" customHeight="1" s="2">
      <c r="A1831" s="462" t="inlineStr">
        <is>
          <t>Nett Sales</t>
        </is>
      </c>
      <c r="B1831" s="1622" t="inlineStr">
        <is>
          <t>NA</t>
        </is>
      </c>
      <c r="C1831" s="1632" t="n">
        <v>62405.2</v>
      </c>
      <c r="D1831" s="1625" t="n">
        <v>71704.5</v>
      </c>
      <c r="E1831" s="1646" t="inlineStr">
        <is>
          <t>NA</t>
        </is>
      </c>
      <c r="F1831" s="1632" t="n">
        <v>76499</v>
      </c>
      <c r="G1831" s="1637" t="n">
        <v>74963</v>
      </c>
      <c r="H1831" s="1646" t="inlineStr">
        <is>
          <t>NA</t>
        </is>
      </c>
      <c r="I1831" s="1632" t="n">
        <v>140660.45</v>
      </c>
      <c r="J1831" s="1625" t="n">
        <v>115261</v>
      </c>
      <c r="K1831" s="1646" t="inlineStr">
        <is>
          <t>NA</t>
        </is>
      </c>
      <c r="L1831" s="1632" t="n">
        <v>110870.98</v>
      </c>
      <c r="M1831" s="1625" t="n">
        <v>92388.60000000001</v>
      </c>
      <c r="N1831" s="1623" t="inlineStr">
        <is>
          <t>NA</t>
        </is>
      </c>
      <c r="O1831" s="1632">
        <f>O1830/1.1</f>
        <v/>
      </c>
      <c r="P1831" s="1625" t="n">
        <v>102530</v>
      </c>
    </row>
    <row r="1832" ht="15.75" customHeight="1" s="2">
      <c r="A1832" s="462" t="inlineStr">
        <is>
          <t>Customers</t>
        </is>
      </c>
      <c r="B1832" s="1622" t="inlineStr">
        <is>
          <t>NA</t>
        </is>
      </c>
      <c r="C1832" s="565" t="n">
        <v>2947</v>
      </c>
      <c r="D1832" s="466" t="n">
        <v>3690</v>
      </c>
      <c r="E1832" s="866" t="inlineStr">
        <is>
          <t>NA</t>
        </is>
      </c>
      <c r="F1832" s="565" t="n">
        <v>3824</v>
      </c>
      <c r="G1832" s="466" t="n">
        <v>3745</v>
      </c>
      <c r="H1832" s="866" t="inlineStr">
        <is>
          <t>NA</t>
        </is>
      </c>
      <c r="I1832" s="565" t="n">
        <v>6606</v>
      </c>
      <c r="J1832" s="466" t="n">
        <v>5440</v>
      </c>
      <c r="K1832" s="866" t="inlineStr">
        <is>
          <t>NA</t>
        </is>
      </c>
      <c r="L1832" s="565" t="n">
        <v>5849</v>
      </c>
      <c r="M1832" s="466" t="n">
        <v>4695</v>
      </c>
      <c r="N1832" s="485" t="inlineStr">
        <is>
          <t>NA</t>
        </is>
      </c>
      <c r="O1832" s="565" t="n">
        <v>5658</v>
      </c>
      <c r="P1832" s="466" t="n">
        <v>5425</v>
      </c>
    </row>
    <row r="1833" ht="15.75" customHeight="1" s="2">
      <c r="A1833" s="462" t="inlineStr">
        <is>
          <t>Average Customer Spend</t>
        </is>
      </c>
      <c r="B1833" s="1622" t="inlineStr">
        <is>
          <t>NA</t>
        </is>
      </c>
      <c r="C1833" s="1635">
        <f>C1830/C1832</f>
        <v/>
      </c>
      <c r="D1833" s="1628" t="n">
        <v>21.38</v>
      </c>
      <c r="E1833" s="1648" t="inlineStr">
        <is>
          <t>NA</t>
        </is>
      </c>
      <c r="F1833" s="1635">
        <f>F1830/3824</f>
        <v/>
      </c>
      <c r="G1833" s="1649" t="n">
        <v>22.02</v>
      </c>
      <c r="H1833" s="1648" t="inlineStr">
        <is>
          <t>NA</t>
        </is>
      </c>
      <c r="I1833" s="1635">
        <f>I1830/6606</f>
        <v/>
      </c>
      <c r="J1833" s="1628" t="n">
        <v>23.31</v>
      </c>
      <c r="K1833" s="1648" t="inlineStr">
        <is>
          <t>NA</t>
        </is>
      </c>
      <c r="L1833" s="1647" t="n">
        <v>20.85</v>
      </c>
      <c r="M1833" s="1649" t="n">
        <v>21.65</v>
      </c>
      <c r="N1833" s="1626" t="inlineStr">
        <is>
          <t>NA</t>
        </is>
      </c>
      <c r="O1833" s="1635">
        <f>O1830/5658</f>
        <v/>
      </c>
      <c r="P1833" s="1628" t="n">
        <v>20.79</v>
      </c>
    </row>
    <row r="1834" ht="15.75" customHeight="1" s="2">
      <c r="A1834" s="462" t="inlineStr">
        <is>
          <t>Wage % to Total Receipts</t>
        </is>
      </c>
      <c r="B1834" s="1622" t="inlineStr">
        <is>
          <t>NA</t>
        </is>
      </c>
      <c r="C1834" s="567" t="n">
        <v>0.4848</v>
      </c>
      <c r="D1834" s="470" t="n">
        <v>0.3769</v>
      </c>
      <c r="E1834" s="868" t="inlineStr">
        <is>
          <t>NA</t>
        </is>
      </c>
      <c r="F1834" s="567" t="n">
        <v>0.4004</v>
      </c>
      <c r="G1834" s="863" t="n">
        <v>0.3691</v>
      </c>
      <c r="H1834" s="868" t="inlineStr">
        <is>
          <t>NA</t>
        </is>
      </c>
      <c r="I1834" s="567" t="n">
        <v>0.3724</v>
      </c>
      <c r="J1834" s="470" t="n">
        <v>0.4316</v>
      </c>
      <c r="K1834" s="868" t="inlineStr">
        <is>
          <t>NA</t>
        </is>
      </c>
      <c r="L1834" s="860" t="n">
        <v>0.3329</v>
      </c>
      <c r="M1834" s="863" t="n">
        <v>0.4024</v>
      </c>
      <c r="N1834" s="487" t="inlineStr">
        <is>
          <t>NA</t>
        </is>
      </c>
      <c r="O1834" s="567" t="n">
        <v>0.3348</v>
      </c>
      <c r="P1834" s="470" t="n">
        <v>0.3791</v>
      </c>
    </row>
    <row r="1835" ht="15.75" customHeight="1" s="2">
      <c r="A1835" s="462" t="inlineStr">
        <is>
          <t>Wage % to Nett Sales</t>
        </is>
      </c>
      <c r="B1835" s="1622" t="inlineStr">
        <is>
          <t>NA</t>
        </is>
      </c>
      <c r="C1835" s="567" t="n">
        <v>0.5333</v>
      </c>
      <c r="D1835" s="470" t="n">
        <v>0.4145</v>
      </c>
      <c r="E1835" s="868" t="inlineStr">
        <is>
          <t>NA</t>
        </is>
      </c>
      <c r="F1835" s="567" t="n">
        <v>0.4404</v>
      </c>
      <c r="G1835" s="863" t="n">
        <v>0.406</v>
      </c>
      <c r="H1835" s="868" t="inlineStr">
        <is>
          <t>NA</t>
        </is>
      </c>
      <c r="I1835" s="567" t="n">
        <v>0.4096</v>
      </c>
      <c r="J1835" s="470" t="n">
        <v>0.4747</v>
      </c>
      <c r="K1835" s="868" t="inlineStr">
        <is>
          <t>NA</t>
        </is>
      </c>
      <c r="L1835" s="860" t="n">
        <v>0.3662</v>
      </c>
      <c r="M1835" s="863" t="n">
        <v>0.4427</v>
      </c>
      <c r="N1835" s="487" t="inlineStr">
        <is>
          <t>NA</t>
        </is>
      </c>
      <c r="O1835" s="567" t="n">
        <v>0.3682</v>
      </c>
      <c r="P1835" s="470" t="n">
        <v>0.417</v>
      </c>
    </row>
    <row r="1836" ht="15.75" customHeight="1" s="2">
      <c r="A1836" s="462" t="inlineStr">
        <is>
          <t>Productivity</t>
        </is>
      </c>
      <c r="B1836" s="1622" t="inlineStr">
        <is>
          <t>NA</t>
        </is>
      </c>
      <c r="C1836" s="568" t="n">
        <v>3.56</v>
      </c>
      <c r="D1836" s="472" t="n">
        <v>4.2</v>
      </c>
      <c r="E1836" s="869" t="inlineStr">
        <is>
          <t>NA</t>
        </is>
      </c>
      <c r="F1836" s="568" t="n">
        <v>4.35</v>
      </c>
      <c r="G1836" s="472" t="n">
        <v>4.5</v>
      </c>
      <c r="H1836" s="869" t="inlineStr">
        <is>
          <t>NA</t>
        </is>
      </c>
      <c r="I1836" s="568" t="n">
        <v>5.46</v>
      </c>
      <c r="J1836" s="472" t="n">
        <v>4.7</v>
      </c>
      <c r="K1836" s="869" t="inlineStr">
        <is>
          <t>NA</t>
        </is>
      </c>
      <c r="L1836" s="568" t="n">
        <v>5.12</v>
      </c>
      <c r="M1836" s="472" t="n">
        <v>4.2</v>
      </c>
      <c r="N1836" s="488" t="inlineStr">
        <is>
          <t>NA</t>
        </is>
      </c>
      <c r="O1836" s="568" t="n">
        <v>4.98</v>
      </c>
      <c r="P1836" s="472" t="n">
        <v>4.6</v>
      </c>
    </row>
    <row r="1837" ht="15.75" customHeight="1" s="2">
      <c r="A1837" s="462" t="inlineStr">
        <is>
          <t>Average Hourly Rate</t>
        </is>
      </c>
      <c r="B1837" s="1622" t="inlineStr">
        <is>
          <t>NA</t>
        </is>
      </c>
      <c r="C1837" s="568" t="n">
        <v>40.26</v>
      </c>
      <c r="D1837" s="1628" t="n">
        <v>36.25</v>
      </c>
      <c r="E1837" s="869" t="inlineStr">
        <is>
          <t>NA</t>
        </is>
      </c>
      <c r="F1837" s="568" t="n">
        <v>38.33</v>
      </c>
      <c r="G1837" s="1628" t="n">
        <v>36.25</v>
      </c>
      <c r="H1837" s="869" t="inlineStr">
        <is>
          <t>NA</t>
        </is>
      </c>
      <c r="I1837" s="568" t="n">
        <v>47.59</v>
      </c>
      <c r="J1837" s="1628" t="n">
        <v>47.5</v>
      </c>
      <c r="K1837" s="869" t="inlineStr">
        <is>
          <t>NA</t>
        </is>
      </c>
      <c r="L1837" s="568" t="n">
        <v>35.51</v>
      </c>
      <c r="M1837" s="1649" t="n">
        <v>36.5</v>
      </c>
      <c r="N1837" s="1629" t="inlineStr">
        <is>
          <t>NA</t>
        </is>
      </c>
      <c r="O1837" s="568" t="n">
        <v>35.8</v>
      </c>
      <c r="P1837" s="1628" t="n">
        <v>36.5</v>
      </c>
    </row>
    <row r="1838" ht="15.75" customHeight="1" s="2">
      <c r="A1838" s="462" t="inlineStr">
        <is>
          <t>Total hours for productivity</t>
        </is>
      </c>
      <c r="B1838" s="1622" t="inlineStr">
        <is>
          <t>NA</t>
        </is>
      </c>
      <c r="C1838" s="568" t="n">
        <v>826.75</v>
      </c>
      <c r="D1838" s="466" t="n">
        <v>873</v>
      </c>
      <c r="E1838" s="869" t="inlineStr">
        <is>
          <t>NA</t>
        </is>
      </c>
      <c r="F1838" s="568" t="n">
        <v>879</v>
      </c>
      <c r="G1838" s="466" t="n">
        <v>832</v>
      </c>
      <c r="H1838" s="869" t="inlineStr">
        <is>
          <t>NA</t>
        </is>
      </c>
      <c r="I1838" s="568" t="n">
        <v>1210.75</v>
      </c>
      <c r="J1838" s="472" t="n">
        <v>1152</v>
      </c>
      <c r="K1838" s="869" t="inlineStr">
        <is>
          <t>NA</t>
        </is>
      </c>
      <c r="L1838" s="568" t="n">
        <v>1143.25</v>
      </c>
      <c r="M1838" s="466" t="n">
        <v>1120.5</v>
      </c>
      <c r="N1838" s="485" t="inlineStr">
        <is>
          <t>NA</t>
        </is>
      </c>
      <c r="O1838" s="568" t="n">
        <v>1135</v>
      </c>
      <c r="P1838" s="466" t="n">
        <v>1171.5</v>
      </c>
    </row>
    <row r="1839" ht="15.75" customHeight="1" s="2">
      <c r="A1839" s="462" t="inlineStr">
        <is>
          <t>Training Hours used</t>
        </is>
      </c>
      <c r="B1839" s="1622" t="inlineStr">
        <is>
          <t>NA</t>
        </is>
      </c>
      <c r="C1839" s="569" t="n">
        <v>21.5</v>
      </c>
      <c r="D1839" s="466" t="n">
        <v>41</v>
      </c>
      <c r="E1839" s="466" t="inlineStr">
        <is>
          <t>NA</t>
        </is>
      </c>
      <c r="F1839" s="569" t="n">
        <v>30</v>
      </c>
      <c r="G1839" s="466" t="n">
        <v>36.5</v>
      </c>
      <c r="H1839" s="466" t="inlineStr">
        <is>
          <t>NA</t>
        </is>
      </c>
      <c r="I1839" s="569" t="n">
        <v>16</v>
      </c>
      <c r="J1839" s="466" t="n">
        <v>56</v>
      </c>
      <c r="K1839" s="870" t="inlineStr">
        <is>
          <t>NA</t>
        </is>
      </c>
      <c r="L1839" s="569" t="n"/>
      <c r="M1839" s="466" t="n"/>
      <c r="N1839" s="485" t="inlineStr">
        <is>
          <t>NA</t>
        </is>
      </c>
      <c r="O1839" s="569" t="n"/>
      <c r="P1839" s="466" t="n">
        <v>20</v>
      </c>
    </row>
    <row r="1840" ht="15.75" customHeight="1" s="2" thickBot="1">
      <c r="A1840" s="474" t="inlineStr">
        <is>
          <t>Number of hours used to cover sick leave</t>
        </is>
      </c>
      <c r="B1840" s="1622" t="inlineStr">
        <is>
          <t>NA</t>
        </is>
      </c>
      <c r="C1840" s="570" t="n">
        <v>60</v>
      </c>
      <c r="D1840" s="476" t="n"/>
      <c r="E1840" s="476" t="inlineStr">
        <is>
          <t>NA</t>
        </is>
      </c>
      <c r="F1840" s="570" t="n">
        <v>42.75</v>
      </c>
      <c r="G1840" s="476" t="n"/>
      <c r="H1840" s="476" t="inlineStr">
        <is>
          <t>NA</t>
        </is>
      </c>
      <c r="I1840" s="570" t="n"/>
      <c r="J1840" s="476" t="n"/>
      <c r="K1840" s="813" t="inlineStr">
        <is>
          <t>NA</t>
        </is>
      </c>
      <c r="L1840" s="570" t="n">
        <v>43.5</v>
      </c>
      <c r="M1840" s="476" t="n"/>
      <c r="N1840" s="490" t="inlineStr">
        <is>
          <t>NA</t>
        </is>
      </c>
      <c r="O1840" s="570" t="n">
        <v>42.5</v>
      </c>
      <c r="P1840" s="476" t="n"/>
    </row>
    <row r="1841" ht="15.75" customHeight="1" s="2" thickBot="1">
      <c r="A1841" s="477" t="inlineStr">
        <is>
          <t xml:space="preserve">Minimum Hours </t>
        </is>
      </c>
      <c r="B1841" s="836" t="inlineStr">
        <is>
          <t>60% Hours</t>
        </is>
      </c>
      <c r="C1841" s="816" t="inlineStr">
        <is>
          <t>Projected</t>
        </is>
      </c>
      <c r="D1841" s="817" t="inlineStr">
        <is>
          <t>Rostered</t>
        </is>
      </c>
      <c r="E1841" s="836" t="inlineStr">
        <is>
          <t>60% Hours</t>
        </is>
      </c>
      <c r="F1841" s="816" t="inlineStr">
        <is>
          <t>Projected</t>
        </is>
      </c>
      <c r="G1841" s="817" t="inlineStr">
        <is>
          <t>Rostered</t>
        </is>
      </c>
      <c r="H1841" s="836" t="inlineStr">
        <is>
          <t>60% Hours</t>
        </is>
      </c>
      <c r="I1841" s="816" t="inlineStr">
        <is>
          <t>Projected</t>
        </is>
      </c>
      <c r="J1841" s="817" t="inlineStr">
        <is>
          <t>Rostered</t>
        </is>
      </c>
      <c r="K1841" s="836" t="inlineStr">
        <is>
          <t>60% Hours</t>
        </is>
      </c>
      <c r="L1841" s="816" t="inlineStr">
        <is>
          <t>Projected</t>
        </is>
      </c>
      <c r="M1841" s="817" t="inlineStr">
        <is>
          <t>Rostered</t>
        </is>
      </c>
      <c r="N1841" s="836" t="inlineStr">
        <is>
          <t>60% Hours</t>
        </is>
      </c>
      <c r="O1841" s="816" t="inlineStr">
        <is>
          <t>Projected</t>
        </is>
      </c>
      <c r="P1841" s="817" t="inlineStr">
        <is>
          <t>Rostered</t>
        </is>
      </c>
    </row>
    <row r="1842" ht="15.75" customHeight="1" s="2">
      <c r="A1842" s="479" t="inlineStr">
        <is>
          <t>Floor</t>
        </is>
      </c>
      <c r="B1842" s="855" t="n"/>
      <c r="C1842" s="810" t="n"/>
      <c r="D1842" s="811" t="n"/>
      <c r="E1842" s="855" t="n"/>
      <c r="F1842" s="810" t="n">
        <v>458</v>
      </c>
      <c r="G1842" s="811" t="n">
        <v>448</v>
      </c>
      <c r="H1842" s="855" t="n"/>
      <c r="I1842" s="810" t="n"/>
      <c r="J1842" s="811" t="n"/>
      <c r="K1842" s="855" t="n"/>
      <c r="L1842" s="810" t="n">
        <v>574</v>
      </c>
      <c r="M1842" s="811" t="n">
        <v>602</v>
      </c>
      <c r="N1842" s="855" t="n"/>
      <c r="O1842" s="810" t="n">
        <v>663</v>
      </c>
      <c r="P1842" s="811" t="n">
        <v>657</v>
      </c>
    </row>
    <row r="1843" ht="15.75" customHeight="1" s="2" thickBot="1">
      <c r="A1843" s="481" t="inlineStr">
        <is>
          <t>Kitchen</t>
        </is>
      </c>
      <c r="B1843" s="856" t="n"/>
      <c r="C1843" s="813" t="n"/>
      <c r="D1843" s="814" t="n"/>
      <c r="E1843" s="856" t="n"/>
      <c r="F1843" s="840" t="n">
        <v>375</v>
      </c>
      <c r="G1843" s="814" t="n">
        <v>392</v>
      </c>
      <c r="H1843" s="856" t="n"/>
      <c r="I1843" s="813" t="n"/>
      <c r="J1843" s="814" t="n"/>
      <c r="K1843" s="856" t="n"/>
      <c r="L1843" s="813" t="n">
        <v>470</v>
      </c>
      <c r="M1843" s="814" t="n">
        <v>519</v>
      </c>
      <c r="N1843" s="856" t="n"/>
      <c r="O1843" s="813" t="n">
        <v>543</v>
      </c>
      <c r="P1843" s="814" t="n">
        <v>515</v>
      </c>
    </row>
    <row r="1844" ht="15.75" customHeight="1" s="2" thickBot="1">
      <c r="A1844" s="834" t="n"/>
      <c r="B1844" s="836" t="inlineStr">
        <is>
          <t xml:space="preserve">Minimum </t>
        </is>
      </c>
      <c r="C1844" s="875" t="n"/>
      <c r="D1844" s="875" t="n"/>
      <c r="E1844" s="839" t="inlineStr">
        <is>
          <t>Minimum</t>
        </is>
      </c>
      <c r="F1844" s="875" t="n"/>
      <c r="G1844" s="875" t="n"/>
      <c r="H1844" s="839" t="inlineStr">
        <is>
          <t>Minimum</t>
        </is>
      </c>
      <c r="I1844" s="875" t="n"/>
      <c r="J1844" s="875" t="n"/>
      <c r="K1844" s="839" t="inlineStr">
        <is>
          <t>Minimum</t>
        </is>
      </c>
      <c r="L1844" s="875" t="n"/>
      <c r="M1844" s="875" t="n"/>
      <c r="N1844" s="839" t="n"/>
      <c r="O1844" s="835" t="n"/>
      <c r="P1844" s="835" t="n"/>
    </row>
    <row r="1845" ht="15.75" customHeight="1" s="2">
      <c r="A1845" s="834" t="n"/>
      <c r="B1845" s="837" t="n"/>
      <c r="C1845" s="875" t="n"/>
      <c r="D1845" s="875" t="n"/>
      <c r="E1845" s="837" t="n"/>
      <c r="F1845" s="875" t="n"/>
      <c r="G1845" s="875" t="n"/>
      <c r="H1845" s="837" t="n"/>
      <c r="I1845" s="875" t="n"/>
      <c r="J1845" s="875" t="n"/>
      <c r="K1845" s="837" t="n"/>
      <c r="L1845" s="875" t="n"/>
      <c r="M1845" s="875" t="n"/>
      <c r="N1845" s="837" t="n"/>
      <c r="O1845" s="835" t="n"/>
      <c r="P1845" s="835" t="n"/>
    </row>
    <row r="1846" ht="15.75" customHeight="1" s="2" thickBot="1">
      <c r="B1846" s="838" t="n"/>
      <c r="C1846" s="876" t="n"/>
      <c r="D1846" s="876" t="n"/>
      <c r="E1846" s="838" t="n"/>
      <c r="F1846" s="876" t="n"/>
      <c r="G1846" s="876" t="n"/>
      <c r="H1846" s="838" t="n"/>
      <c r="I1846" s="876" t="n"/>
      <c r="J1846" s="876" t="n"/>
      <c r="K1846" s="838" t="n"/>
      <c r="L1846" s="876" t="n"/>
      <c r="M1846" s="876" t="n"/>
      <c r="N1846" s="838" t="n"/>
    </row>
    <row r="1847" ht="15.75" customHeight="1" s="2" thickBot="1">
      <c r="A1847" s="506" t="inlineStr">
        <is>
          <t>Training explanation</t>
        </is>
      </c>
      <c r="C1847" s="523" t="inlineStr">
        <is>
          <t>Floor</t>
        </is>
      </c>
      <c r="D1847" s="524" t="inlineStr">
        <is>
          <t>Kitchen</t>
        </is>
      </c>
      <c r="E1847" s="509" t="n"/>
      <c r="F1847" s="507" t="inlineStr">
        <is>
          <t>Floor</t>
        </is>
      </c>
      <c r="G1847" s="508" t="inlineStr">
        <is>
          <t>Kitchen</t>
        </is>
      </c>
      <c r="H1847" s="510" t="n"/>
      <c r="I1847" s="535" t="n"/>
      <c r="J1847" s="511" t="n"/>
      <c r="K1847" s="512" t="n"/>
      <c r="L1847" s="535" t="inlineStr">
        <is>
          <t>kitchen</t>
        </is>
      </c>
      <c r="M1847" s="513" t="n"/>
      <c r="N1847" s="512" t="n"/>
      <c r="O1847" s="535" t="inlineStr">
        <is>
          <t>kitchen</t>
        </is>
      </c>
      <c r="P1847" s="513" t="n"/>
    </row>
    <row r="1848" ht="15.75" customHeight="1" s="2">
      <c r="A1848" s="506" t="inlineStr">
        <is>
          <t>Who is being Trained</t>
        </is>
      </c>
      <c r="C1848" s="525" t="n"/>
      <c r="D1848" s="527" t="n"/>
      <c r="E1848" s="514" t="n"/>
      <c r="F1848" s="525" t="n"/>
      <c r="G1848" s="527" t="n"/>
      <c r="H1848" s="515" t="n"/>
      <c r="I1848" s="531" t="n"/>
      <c r="J1848" s="824" t="n"/>
      <c r="K1848" s="515" t="n"/>
      <c r="L1848" s="536" t="n"/>
      <c r="M1848" s="532" t="n"/>
      <c r="N1848" s="515" t="n"/>
      <c r="O1848" s="536" t="n"/>
      <c r="P1848" s="532" t="n"/>
    </row>
    <row r="1849" ht="15.75" customHeight="1" s="2">
      <c r="C1849" s="550" t="n"/>
      <c r="D1849" s="526" t="n"/>
      <c r="E1849" s="514" t="n"/>
      <c r="F1849" s="550" t="n"/>
      <c r="G1849" s="526" t="n"/>
      <c r="H1849" s="516" t="n"/>
      <c r="I1849" s="537" t="n"/>
      <c r="J1849" s="530" t="n"/>
      <c r="K1849" s="516" t="n"/>
      <c r="L1849" s="542" t="n"/>
      <c r="M1849" s="530" t="n"/>
      <c r="N1849" s="516" t="n"/>
      <c r="O1849" s="542" t="n"/>
      <c r="P1849" s="530" t="n"/>
    </row>
    <row r="1850" ht="15.75" customHeight="1" s="2">
      <c r="C1850" s="550" t="n"/>
      <c r="D1850" s="527" t="n"/>
      <c r="E1850" s="514" t="n"/>
      <c r="F1850" s="531" t="n"/>
      <c r="G1850" s="530" t="n"/>
      <c r="H1850" s="516" t="n"/>
      <c r="I1850" s="537" t="n"/>
      <c r="J1850" s="530" t="n"/>
      <c r="K1850" s="516" t="n"/>
      <c r="L1850" s="542" t="n"/>
      <c r="M1850" s="539" t="n"/>
      <c r="N1850" s="516" t="n"/>
      <c r="O1850" s="542" t="n"/>
      <c r="P1850" s="539" t="n"/>
    </row>
    <row r="1851" ht="15.75" customHeight="1" s="2">
      <c r="C1851" s="551" t="n"/>
      <c r="D1851" s="561" t="n"/>
      <c r="E1851" s="519" t="n"/>
      <c r="F1851" s="517" t="n"/>
      <c r="G1851" s="518" t="n"/>
      <c r="H1851" s="516" t="n"/>
      <c r="I1851" s="537" t="n"/>
      <c r="J1851" s="530" t="n"/>
      <c r="K1851" s="516" t="n"/>
      <c r="L1851" s="537" t="n"/>
      <c r="M1851" s="539" t="n"/>
      <c r="N1851" s="516" t="n"/>
      <c r="O1851" s="537" t="n"/>
      <c r="P1851" s="539" t="n"/>
    </row>
    <row r="1852" ht="15.75" customHeight="1" s="2">
      <c r="C1852" s="551" t="n"/>
      <c r="D1852" s="528" t="n"/>
      <c r="E1852" s="519" t="n"/>
      <c r="F1852" s="517" t="n"/>
      <c r="G1852" s="518" t="n"/>
      <c r="H1852" s="516" t="n"/>
      <c r="I1852" s="537" t="n"/>
      <c r="J1852" s="533" t="n"/>
      <c r="K1852" s="516" t="n"/>
      <c r="L1852" s="537" t="n"/>
      <c r="M1852" s="540" t="n"/>
      <c r="N1852" s="516" t="n"/>
      <c r="O1852" s="537" t="n"/>
      <c r="P1852" s="540" t="n"/>
    </row>
    <row r="1853" ht="15.75" customHeight="1" s="2" thickBot="1">
      <c r="C1853" s="562" t="n"/>
      <c r="D1853" s="529" t="n"/>
      <c r="E1853" s="519" t="n"/>
      <c r="F1853" s="520" t="n"/>
      <c r="G1853" s="521" t="n"/>
      <c r="H1853" s="516" t="n"/>
      <c r="I1853" s="538" t="n"/>
      <c r="J1853" s="534" t="n"/>
      <c r="K1853" s="522" t="n"/>
      <c r="L1853" s="538" t="n"/>
      <c r="M1853" s="541" t="n"/>
      <c r="N1853" s="522" t="n"/>
      <c r="O1853" s="538" t="n"/>
      <c r="P1853" s="541" t="n"/>
    </row>
    <row r="1854" ht="15.75" customHeight="1" s="2" thickBot="1">
      <c r="H1854" s="454" t="inlineStr">
        <is>
          <t>MOTHERS DAY</t>
        </is>
      </c>
    </row>
    <row r="1855" ht="15.75" customHeight="1" s="2" thickBot="1">
      <c r="B1855" s="1652" t="inlineStr">
        <is>
          <t>26.04.21</t>
        </is>
      </c>
      <c r="C1855" s="1641" t="n"/>
      <c r="D1855" s="1502" t="n"/>
      <c r="E1855" s="1640" t="inlineStr">
        <is>
          <t>3.5.21</t>
        </is>
      </c>
      <c r="F1855" s="1641" t="n"/>
      <c r="G1855" s="1502" t="n"/>
      <c r="H1855" s="1640" t="inlineStr">
        <is>
          <t>10.5.21</t>
        </is>
      </c>
      <c r="I1855" s="1641" t="n"/>
      <c r="J1855" s="1502" t="n"/>
      <c r="K1855" s="1640" t="inlineStr">
        <is>
          <t>17.5.21</t>
        </is>
      </c>
      <c r="L1855" s="1641" t="n"/>
      <c r="M1855" s="1502" t="n"/>
      <c r="N1855" s="1640" t="inlineStr">
        <is>
          <t>24.5.21</t>
        </is>
      </c>
      <c r="O1855" s="1641" t="n"/>
      <c r="P1855" s="1502" t="n"/>
    </row>
    <row r="1856" ht="15.75" customHeight="1" s="2" thickBot="1">
      <c r="A1856" s="455" t="n"/>
      <c r="B1856" s="872" t="inlineStr">
        <is>
          <t>LAST YEAR</t>
        </is>
      </c>
      <c r="C1856" s="873" t="inlineStr">
        <is>
          <t>Actual</t>
        </is>
      </c>
      <c r="D1856" s="874" t="inlineStr">
        <is>
          <t>Projected</t>
        </is>
      </c>
      <c r="E1856" s="872" t="inlineStr">
        <is>
          <t>LAST YEAR</t>
        </is>
      </c>
      <c r="F1856" s="873" t="inlineStr">
        <is>
          <t>Actual</t>
        </is>
      </c>
      <c r="G1856" s="874" t="inlineStr">
        <is>
          <t>Projected</t>
        </is>
      </c>
      <c r="H1856" s="872" t="inlineStr">
        <is>
          <t>LAST YEAR</t>
        </is>
      </c>
      <c r="I1856" s="873" t="inlineStr">
        <is>
          <t>Actual</t>
        </is>
      </c>
      <c r="J1856" s="874" t="inlineStr">
        <is>
          <t>Projected</t>
        </is>
      </c>
      <c r="K1856" s="872" t="inlineStr">
        <is>
          <t>LAST YEAR</t>
        </is>
      </c>
      <c r="L1856" s="873" t="inlineStr">
        <is>
          <t>Actual</t>
        </is>
      </c>
      <c r="M1856" s="874" t="inlineStr">
        <is>
          <t>Projected</t>
        </is>
      </c>
      <c r="N1856" s="872" t="inlineStr">
        <is>
          <t>LAST YEAR</t>
        </is>
      </c>
      <c r="O1856" s="873" t="inlineStr">
        <is>
          <t>Actual</t>
        </is>
      </c>
      <c r="P1856" s="874" t="inlineStr">
        <is>
          <t>Projected</t>
        </is>
      </c>
    </row>
    <row r="1857" ht="15.75" customHeight="1" s="2">
      <c r="A1857" s="459" t="inlineStr">
        <is>
          <t>Total Receipts</t>
        </is>
      </c>
      <c r="B1857" s="1622" t="inlineStr">
        <is>
          <t>NA</t>
        </is>
      </c>
      <c r="C1857" s="1631" t="n">
        <v>90740.17</v>
      </c>
      <c r="D1857" s="1622" t="n">
        <v>97349</v>
      </c>
      <c r="E1857" s="1644" t="inlineStr">
        <is>
          <t>NA</t>
        </is>
      </c>
      <c r="F1857" s="1631" t="n">
        <v>83697</v>
      </c>
      <c r="G1857" s="1645" t="n">
        <v>82325</v>
      </c>
      <c r="H1857" s="1644" t="inlineStr">
        <is>
          <t>NA</t>
        </is>
      </c>
      <c r="I1857" s="1631" t="n">
        <v>78563</v>
      </c>
      <c r="J1857" s="1622" t="n">
        <v>92110</v>
      </c>
      <c r="K1857" s="1644" t="inlineStr">
        <is>
          <t>NA</t>
        </is>
      </c>
      <c r="L1857" s="1643" t="n">
        <v>82087</v>
      </c>
      <c r="M1857" s="1645" t="n">
        <v>81520</v>
      </c>
      <c r="N1857" s="1620" t="inlineStr">
        <is>
          <t>NA</t>
        </is>
      </c>
      <c r="O1857" s="1631" t="n">
        <v>95666.98</v>
      </c>
      <c r="P1857" s="1622" t="n">
        <v>81068</v>
      </c>
    </row>
    <row r="1858" ht="15.75" customHeight="1" s="2">
      <c r="A1858" s="462" t="inlineStr">
        <is>
          <t>Nett Sales</t>
        </is>
      </c>
      <c r="B1858" s="1622" t="inlineStr">
        <is>
          <t>NA</t>
        </is>
      </c>
      <c r="C1858" s="1632" t="n">
        <v>82491</v>
      </c>
      <c r="D1858" s="1625" t="n">
        <v>88499</v>
      </c>
      <c r="E1858" s="1646" t="inlineStr">
        <is>
          <t>NA</t>
        </is>
      </c>
      <c r="F1858" s="1632" t="n">
        <v>76088</v>
      </c>
      <c r="G1858" s="1637" t="n">
        <v>74840.89999999999</v>
      </c>
      <c r="H1858" s="1646" t="inlineStr">
        <is>
          <t>NA</t>
        </is>
      </c>
      <c r="I1858" s="1632" t="n">
        <v>71421</v>
      </c>
      <c r="J1858" s="1625" t="n">
        <v>83736</v>
      </c>
      <c r="K1858" s="1646" t="inlineStr">
        <is>
          <t>NA</t>
        </is>
      </c>
      <c r="L1858" s="1632" t="n">
        <v>74625</v>
      </c>
      <c r="M1858" s="1625" t="n">
        <v>74109.10000000001</v>
      </c>
      <c r="N1858" s="1623" t="inlineStr">
        <is>
          <t>NA</t>
        </is>
      </c>
      <c r="O1858" s="1632" t="n">
        <v>86969</v>
      </c>
      <c r="P1858" s="1625" t="n">
        <v>73697</v>
      </c>
    </row>
    <row r="1859" ht="15.75" customHeight="1" s="2">
      <c r="A1859" s="462" t="inlineStr">
        <is>
          <t>Customers</t>
        </is>
      </c>
      <c r="B1859" s="1622" t="inlineStr">
        <is>
          <t>NA</t>
        </is>
      </c>
      <c r="C1859" s="565" t="n">
        <v>3913</v>
      </c>
      <c r="D1859" s="466" t="n">
        <v>4275</v>
      </c>
      <c r="E1859" s="866" t="inlineStr">
        <is>
          <t>NA</t>
        </is>
      </c>
      <c r="F1859" s="565" t="n">
        <v>3685</v>
      </c>
      <c r="G1859" s="466" t="n">
        <v>3590</v>
      </c>
      <c r="H1859" s="866" t="inlineStr">
        <is>
          <t>NA</t>
        </is>
      </c>
      <c r="I1859" s="565" t="n">
        <v>3401</v>
      </c>
      <c r="J1859" s="466" t="n">
        <v>4045</v>
      </c>
      <c r="K1859" s="866" t="inlineStr">
        <is>
          <t>NA</t>
        </is>
      </c>
      <c r="L1859" s="565" t="n">
        <v>3739</v>
      </c>
      <c r="M1859" s="466" t="n">
        <v>3540</v>
      </c>
      <c r="N1859" s="485" t="inlineStr">
        <is>
          <t>NA</t>
        </is>
      </c>
      <c r="O1859" s="565" t="n">
        <v>4275</v>
      </c>
      <c r="P1859" s="466" t="n">
        <v>3555</v>
      </c>
    </row>
    <row r="1860" ht="15.75" customHeight="1" s="2">
      <c r="A1860" s="462" t="inlineStr">
        <is>
          <t>Average Customer Spend</t>
        </is>
      </c>
      <c r="B1860" s="1622" t="inlineStr">
        <is>
          <t>NA</t>
        </is>
      </c>
      <c r="C1860" s="1635" t="n">
        <v>23.06</v>
      </c>
      <c r="D1860" s="1628" t="n">
        <v>22.77</v>
      </c>
      <c r="E1860" s="1648" t="inlineStr">
        <is>
          <t>NA</t>
        </is>
      </c>
      <c r="F1860" s="1635" t="n">
        <v>22.75</v>
      </c>
      <c r="G1860" s="1649" t="n">
        <v>22.93</v>
      </c>
      <c r="H1860" s="1648" t="inlineStr">
        <is>
          <t>NA</t>
        </is>
      </c>
      <c r="I1860" s="1635" t="n">
        <v>23.11</v>
      </c>
      <c r="J1860" s="1628" t="n">
        <v>22.77</v>
      </c>
      <c r="K1860" s="1648" t="inlineStr">
        <is>
          <t>NA</t>
        </is>
      </c>
      <c r="L1860" s="1647" t="n">
        <v>21.95</v>
      </c>
      <c r="M1860" s="1649" t="n">
        <v>23.03</v>
      </c>
      <c r="N1860" s="1626" t="inlineStr">
        <is>
          <t>NA</t>
        </is>
      </c>
      <c r="O1860" s="1635" t="n">
        <v>22.38</v>
      </c>
      <c r="P1860" s="1628" t="n">
        <v>22.8</v>
      </c>
    </row>
    <row r="1861" ht="15.75" customHeight="1" s="2">
      <c r="A1861" s="462" t="inlineStr">
        <is>
          <t>Wage % to Total Receipts</t>
        </is>
      </c>
      <c r="B1861" s="1622" t="inlineStr">
        <is>
          <t>NA</t>
        </is>
      </c>
      <c r="C1861" s="567" t="n">
        <v>0.4263</v>
      </c>
      <c r="D1861" s="470" t="n">
        <v>0.3965</v>
      </c>
      <c r="E1861" s="868" t="inlineStr">
        <is>
          <t>NA</t>
        </is>
      </c>
      <c r="F1861" s="567" t="n">
        <v>0.3761</v>
      </c>
      <c r="G1861" s="863" t="n">
        <v>0.3972</v>
      </c>
      <c r="H1861" s="868" t="inlineStr">
        <is>
          <t>NA</t>
        </is>
      </c>
      <c r="I1861" s="567" t="n">
        <v>0.4148</v>
      </c>
      <c r="J1861" s="470" t="n">
        <v>0.3823</v>
      </c>
      <c r="K1861" s="868" t="inlineStr">
        <is>
          <t>NA</t>
        </is>
      </c>
      <c r="L1861" s="860" t="n">
        <v>0.3874</v>
      </c>
      <c r="M1861" s="863" t="n">
        <v>0.3895</v>
      </c>
      <c r="N1861" s="487" t="inlineStr">
        <is>
          <t>NA</t>
        </is>
      </c>
      <c r="O1861" s="567" t="n">
        <v>0.3287</v>
      </c>
      <c r="P1861" s="470" t="n">
        <v>0.385</v>
      </c>
    </row>
    <row r="1862" ht="15.75" customHeight="1" s="2">
      <c r="A1862" s="462" t="inlineStr">
        <is>
          <t>Wage % to Nett Sales</t>
        </is>
      </c>
      <c r="B1862" s="1622" t="inlineStr">
        <is>
          <t>NA</t>
        </is>
      </c>
      <c r="C1862" s="567" t="n">
        <v>0.4689</v>
      </c>
      <c r="D1862" s="470" t="n">
        <v>0.4362</v>
      </c>
      <c r="E1862" s="868" t="inlineStr">
        <is>
          <t>NA</t>
        </is>
      </c>
      <c r="F1862" s="567" t="n">
        <v>0.4137</v>
      </c>
      <c r="G1862" s="863" t="n">
        <v>0.4369</v>
      </c>
      <c r="H1862" s="868" t="inlineStr">
        <is>
          <t>NA</t>
        </is>
      </c>
      <c r="I1862" s="567" t="n">
        <v>0.4562</v>
      </c>
      <c r="J1862" s="470" t="n">
        <v>0.4206</v>
      </c>
      <c r="K1862" s="868" t="inlineStr">
        <is>
          <t>NA</t>
        </is>
      </c>
      <c r="L1862" s="860" t="n">
        <v>0.4261</v>
      </c>
      <c r="M1862" s="863" t="n">
        <v>0.4285</v>
      </c>
      <c r="N1862" s="487" t="inlineStr">
        <is>
          <t>NA</t>
        </is>
      </c>
      <c r="O1862" s="567" t="n">
        <v>0.3616</v>
      </c>
      <c r="P1862" s="470" t="n">
        <v>0.4235</v>
      </c>
    </row>
    <row r="1863" ht="15.75" customHeight="1" s="2">
      <c r="A1863" s="462" t="inlineStr">
        <is>
          <t>Productivity</t>
        </is>
      </c>
      <c r="B1863" s="1622" t="inlineStr">
        <is>
          <t>NA</t>
        </is>
      </c>
      <c r="C1863" s="568" t="n">
        <v>3.94</v>
      </c>
      <c r="D1863" s="472" t="n">
        <v>4.4</v>
      </c>
      <c r="E1863" s="869" t="inlineStr">
        <is>
          <t>NA</t>
        </is>
      </c>
      <c r="F1863" s="568" t="n">
        <v>4.17</v>
      </c>
      <c r="G1863" s="472" t="n">
        <v>4</v>
      </c>
      <c r="H1863" s="869" t="inlineStr">
        <is>
          <t>NA</t>
        </is>
      </c>
      <c r="I1863" s="568" t="n">
        <v>3.77</v>
      </c>
      <c r="J1863" s="472" t="n">
        <v>4.2</v>
      </c>
      <c r="K1863" s="869" t="inlineStr">
        <is>
          <t>NA</t>
        </is>
      </c>
      <c r="L1863" s="568" t="n">
        <v>4.22</v>
      </c>
      <c r="M1863" s="472" t="n">
        <v>4</v>
      </c>
      <c r="N1863" s="488" t="inlineStr">
        <is>
          <t>NA</t>
        </is>
      </c>
      <c r="O1863" s="568" t="n">
        <v>4.91</v>
      </c>
      <c r="P1863" s="472" t="n">
        <v>4.1</v>
      </c>
    </row>
    <row r="1864" ht="15.75" customHeight="1" s="2">
      <c r="A1864" s="462" t="inlineStr">
        <is>
          <t>Average Hourly Rate</t>
        </is>
      </c>
      <c r="B1864" s="1622" t="inlineStr">
        <is>
          <t>NA</t>
        </is>
      </c>
      <c r="C1864" s="568" t="n">
        <v>38.92</v>
      </c>
      <c r="D1864" s="1628" t="n">
        <v>40</v>
      </c>
      <c r="E1864" s="869" t="inlineStr">
        <is>
          <t>NA</t>
        </is>
      </c>
      <c r="F1864" s="568" t="n">
        <v>35.65</v>
      </c>
      <c r="G1864" s="1628" t="n">
        <v>36.25</v>
      </c>
      <c r="H1864" s="869" t="inlineStr">
        <is>
          <t>NA</t>
        </is>
      </c>
      <c r="I1864" s="568" t="n">
        <v>36.11</v>
      </c>
      <c r="J1864" s="1628" t="n">
        <v>36.25</v>
      </c>
      <c r="K1864" s="869" t="inlineStr">
        <is>
          <t>NA</t>
        </is>
      </c>
      <c r="L1864" s="568" t="n">
        <v>35.9</v>
      </c>
      <c r="M1864" s="1649" t="n">
        <v>36.25</v>
      </c>
      <c r="N1864" s="1629" t="inlineStr">
        <is>
          <t>NA</t>
        </is>
      </c>
      <c r="O1864" s="568" t="n">
        <v>36.1</v>
      </c>
      <c r="P1864" s="1628" t="n">
        <v>36.25</v>
      </c>
    </row>
    <row r="1865" ht="15.75" customHeight="1" s="2">
      <c r="A1865" s="462" t="inlineStr">
        <is>
          <t>Total hours for productivity</t>
        </is>
      </c>
      <c r="B1865" s="1622" t="inlineStr">
        <is>
          <t>NA</t>
        </is>
      </c>
      <c r="C1865" s="568" t="n">
        <v>993.75</v>
      </c>
      <c r="D1865" s="466" t="n">
        <v>965</v>
      </c>
      <c r="E1865" s="869" t="inlineStr">
        <is>
          <t>NA</t>
        </is>
      </c>
      <c r="F1865" s="568" t="n">
        <v>883</v>
      </c>
      <c r="G1865" s="466" t="n">
        <v>902</v>
      </c>
      <c r="H1865" s="869" t="inlineStr">
        <is>
          <t>NA</t>
        </is>
      </c>
      <c r="I1865" s="568" t="n">
        <v>902.5</v>
      </c>
      <c r="J1865" s="472" t="n">
        <v>971.5</v>
      </c>
      <c r="K1865" s="869" t="inlineStr">
        <is>
          <t>NA</t>
        </is>
      </c>
      <c r="L1865" s="568" t="n">
        <v>885.75</v>
      </c>
      <c r="M1865" s="466" t="n">
        <v>876</v>
      </c>
      <c r="N1865" s="485" t="inlineStr">
        <is>
          <t>NA</t>
        </is>
      </c>
      <c r="O1865" s="568" t="n">
        <v>871.25</v>
      </c>
      <c r="P1865" s="466" t="n">
        <v>861</v>
      </c>
    </row>
    <row r="1866" ht="15.75" customHeight="1" s="2">
      <c r="A1866" s="462" t="inlineStr">
        <is>
          <t>Training Hours used</t>
        </is>
      </c>
      <c r="B1866" s="1622" t="inlineStr">
        <is>
          <t>NA</t>
        </is>
      </c>
      <c r="C1866" s="569" t="n"/>
      <c r="D1866" s="466" t="n"/>
      <c r="E1866" s="466" t="inlineStr">
        <is>
          <t>NA</t>
        </is>
      </c>
      <c r="F1866" s="569" t="n">
        <v>15</v>
      </c>
      <c r="G1866" s="466" t="n"/>
      <c r="H1866" s="466" t="inlineStr">
        <is>
          <t>NA</t>
        </is>
      </c>
      <c r="I1866" s="569" t="n"/>
      <c r="J1866" s="466" t="n"/>
      <c r="K1866" s="870" t="inlineStr">
        <is>
          <t>NA</t>
        </is>
      </c>
      <c r="L1866" s="569" t="n">
        <v>21.5</v>
      </c>
      <c r="M1866" s="466" t="n">
        <v>18</v>
      </c>
      <c r="N1866" s="485" t="inlineStr">
        <is>
          <t>NA</t>
        </is>
      </c>
      <c r="O1866" s="569" t="n">
        <v>13</v>
      </c>
      <c r="P1866" s="466" t="n">
        <v>20</v>
      </c>
    </row>
    <row r="1867" ht="15.75" customHeight="1" s="2" thickBot="1">
      <c r="A1867" s="474" t="inlineStr">
        <is>
          <t>Number of hours used to cover sick leave</t>
        </is>
      </c>
      <c r="B1867" s="1622" t="inlineStr">
        <is>
          <t>NA</t>
        </is>
      </c>
      <c r="C1867" s="570" t="n"/>
      <c r="D1867" s="476" t="n"/>
      <c r="E1867" s="476" t="inlineStr">
        <is>
          <t>NA</t>
        </is>
      </c>
      <c r="F1867" s="570" t="n"/>
      <c r="G1867" s="476" t="n"/>
      <c r="H1867" s="476" t="inlineStr">
        <is>
          <t>NA</t>
        </is>
      </c>
      <c r="I1867" s="570" t="n"/>
      <c r="J1867" s="476" t="n"/>
      <c r="K1867" s="813" t="inlineStr">
        <is>
          <t>NA</t>
        </is>
      </c>
      <c r="L1867" s="570" t="n"/>
      <c r="M1867" s="476" t="n"/>
      <c r="N1867" s="490" t="inlineStr">
        <is>
          <t>NA</t>
        </is>
      </c>
      <c r="O1867" s="570" t="n"/>
      <c r="P1867" s="476" t="n"/>
    </row>
    <row r="1868" ht="15.75" customHeight="1" s="2" thickBot="1">
      <c r="A1868" s="477" t="inlineStr">
        <is>
          <t xml:space="preserve">Minimum Hours </t>
        </is>
      </c>
      <c r="B1868" s="836" t="inlineStr">
        <is>
          <t>60% Hours</t>
        </is>
      </c>
      <c r="C1868" s="816" t="inlineStr">
        <is>
          <t>Projected</t>
        </is>
      </c>
      <c r="D1868" s="817" t="inlineStr">
        <is>
          <t>Rostered</t>
        </is>
      </c>
      <c r="E1868" s="836" t="inlineStr">
        <is>
          <t>60% Hours</t>
        </is>
      </c>
      <c r="F1868" s="816" t="inlineStr">
        <is>
          <t>Projected</t>
        </is>
      </c>
      <c r="G1868" s="817" t="inlineStr">
        <is>
          <t>Rostered</t>
        </is>
      </c>
      <c r="H1868" s="836" t="inlineStr">
        <is>
          <t>60% Hours</t>
        </is>
      </c>
      <c r="I1868" s="816" t="inlineStr">
        <is>
          <t>Projected</t>
        </is>
      </c>
      <c r="J1868" s="817" t="inlineStr">
        <is>
          <t>Rostered</t>
        </is>
      </c>
      <c r="K1868" s="836" t="inlineStr">
        <is>
          <t>60% Hours</t>
        </is>
      </c>
      <c r="L1868" s="816" t="inlineStr">
        <is>
          <t>Projected</t>
        </is>
      </c>
      <c r="M1868" s="817" t="inlineStr">
        <is>
          <t>Rostered</t>
        </is>
      </c>
      <c r="N1868" s="836" t="inlineStr">
        <is>
          <t>60% Hours</t>
        </is>
      </c>
      <c r="O1868" s="816" t="inlineStr">
        <is>
          <t>Projected</t>
        </is>
      </c>
      <c r="P1868" s="817" t="inlineStr">
        <is>
          <t>Rostered</t>
        </is>
      </c>
    </row>
    <row r="1869" ht="15.75" customHeight="1" s="2">
      <c r="A1869" s="479" t="inlineStr">
        <is>
          <t>Floor</t>
        </is>
      </c>
      <c r="B1869" s="855" t="n"/>
      <c r="C1869" s="810" t="n">
        <v>523</v>
      </c>
      <c r="D1869" s="811" t="n">
        <v>503</v>
      </c>
      <c r="E1869" s="855" t="n"/>
      <c r="F1869" s="810" t="n"/>
      <c r="G1869" s="811" t="n"/>
      <c r="H1869" s="855" t="n"/>
      <c r="I1869" s="810" t="n">
        <v>494</v>
      </c>
      <c r="J1869" s="811" t="n">
        <v>535</v>
      </c>
      <c r="K1869" s="855" t="n"/>
      <c r="L1869" s="810" t="n">
        <v>433</v>
      </c>
      <c r="M1869" s="811" t="n">
        <v>477</v>
      </c>
      <c r="N1869" s="855" t="n"/>
      <c r="O1869" s="810" t="n">
        <v>435</v>
      </c>
      <c r="P1869" s="811" t="n">
        <v>469</v>
      </c>
    </row>
    <row r="1870" ht="15.75" customHeight="1" s="2" thickBot="1">
      <c r="A1870" s="481" t="inlineStr">
        <is>
          <t>Kitchen</t>
        </is>
      </c>
      <c r="B1870" s="856" t="n"/>
      <c r="C1870" s="813" t="n">
        <v>428</v>
      </c>
      <c r="D1870" s="814" t="n">
        <v>462</v>
      </c>
      <c r="E1870" s="856" t="n"/>
      <c r="F1870" s="840" t="n"/>
      <c r="G1870" s="814" t="n"/>
      <c r="H1870" s="856" t="n"/>
      <c r="I1870" s="813" t="n">
        <v>405</v>
      </c>
      <c r="J1870" s="814" t="n">
        <v>437</v>
      </c>
      <c r="K1870" s="856" t="n"/>
      <c r="L1870" s="813" t="n">
        <v>354</v>
      </c>
      <c r="M1870" s="814" t="n">
        <v>399</v>
      </c>
      <c r="N1870" s="856" t="n"/>
      <c r="O1870" s="813" t="n">
        <v>356</v>
      </c>
      <c r="P1870" s="814" t="n">
        <v>393</v>
      </c>
    </row>
    <row r="1871" ht="15.75" customHeight="1" s="2" thickBot="1">
      <c r="A1871" s="834" t="n"/>
      <c r="B1871" s="836" t="inlineStr">
        <is>
          <t xml:space="preserve">Minimum </t>
        </is>
      </c>
      <c r="C1871" s="875" t="n"/>
      <c r="D1871" s="875" t="n"/>
      <c r="E1871" s="839" t="inlineStr">
        <is>
          <t>Minimum</t>
        </is>
      </c>
      <c r="F1871" s="875" t="n"/>
      <c r="G1871" s="875" t="n"/>
      <c r="H1871" s="839" t="inlineStr">
        <is>
          <t>Minimum</t>
        </is>
      </c>
      <c r="I1871" s="875" t="n"/>
      <c r="J1871" s="875" t="n"/>
      <c r="K1871" s="839" t="inlineStr">
        <is>
          <t>Minimum</t>
        </is>
      </c>
      <c r="L1871" s="875" t="n"/>
      <c r="M1871" s="875" t="n"/>
      <c r="N1871" s="839" t="n"/>
      <c r="O1871" s="835" t="n"/>
      <c r="P1871" s="835" t="n"/>
    </row>
    <row r="1872" ht="15.75" customHeight="1" s="2">
      <c r="A1872" s="834" t="n"/>
      <c r="B1872" s="837" t="n"/>
      <c r="C1872" s="875" t="n"/>
      <c r="D1872" s="875" t="n"/>
      <c r="E1872" s="837" t="n"/>
      <c r="F1872" s="875" t="n"/>
      <c r="G1872" s="875" t="n"/>
      <c r="H1872" s="837" t="n"/>
      <c r="I1872" s="875" t="n"/>
      <c r="J1872" s="875" t="n"/>
      <c r="K1872" s="837" t="n"/>
      <c r="L1872" s="875" t="n"/>
      <c r="M1872" s="875" t="n"/>
      <c r="N1872" s="837" t="n"/>
      <c r="O1872" s="835" t="n"/>
      <c r="P1872" s="835" t="n"/>
    </row>
    <row r="1873" ht="15.75" customHeight="1" s="2" thickBot="1">
      <c r="B1873" s="838" t="n"/>
      <c r="C1873" s="876" t="n"/>
      <c r="D1873" s="876" t="n"/>
      <c r="E1873" s="838" t="n"/>
      <c r="F1873" s="876" t="n"/>
      <c r="G1873" s="876" t="n"/>
      <c r="H1873" s="838" t="n"/>
      <c r="I1873" s="876" t="n"/>
      <c r="J1873" s="876" t="n"/>
      <c r="K1873" s="838" t="n"/>
      <c r="L1873" s="876" t="n"/>
      <c r="M1873" s="876" t="n"/>
      <c r="N1873" s="838" t="n"/>
    </row>
    <row r="1874" ht="15.75" customHeight="1" s="2" thickBot="1">
      <c r="A1874" s="506" t="inlineStr">
        <is>
          <t>Training explanation</t>
        </is>
      </c>
      <c r="C1874" s="523" t="inlineStr">
        <is>
          <t>Floor</t>
        </is>
      </c>
      <c r="D1874" s="524" t="inlineStr">
        <is>
          <t>Kitchen</t>
        </is>
      </c>
      <c r="E1874" s="509" t="n"/>
      <c r="F1874" s="507" t="inlineStr">
        <is>
          <t>Floor</t>
        </is>
      </c>
      <c r="G1874" s="508" t="inlineStr">
        <is>
          <t>Kitchen</t>
        </is>
      </c>
      <c r="H1874" s="510" t="n"/>
      <c r="I1874" s="535" t="n"/>
      <c r="J1874" s="511" t="n"/>
      <c r="K1874" s="512" t="n"/>
      <c r="L1874" s="535" t="inlineStr">
        <is>
          <t>kitchen</t>
        </is>
      </c>
      <c r="M1874" s="513" t="n"/>
      <c r="N1874" s="512" t="n"/>
      <c r="O1874" s="535" t="inlineStr">
        <is>
          <t>kitchen</t>
        </is>
      </c>
      <c r="P1874" s="513" t="n"/>
    </row>
    <row r="1875" ht="15.75" customHeight="1" s="2">
      <c r="A1875" s="506" t="inlineStr">
        <is>
          <t>Who is being Trained</t>
        </is>
      </c>
      <c r="C1875" s="525" t="n"/>
      <c r="D1875" s="527" t="n"/>
      <c r="E1875" s="514" t="n"/>
      <c r="F1875" s="525" t="n"/>
      <c r="G1875" s="527" t="n"/>
      <c r="H1875" s="515" t="n"/>
      <c r="I1875" s="531" t="n"/>
      <c r="J1875" s="824" t="n"/>
      <c r="K1875" s="515" t="n"/>
      <c r="L1875" s="536" t="n"/>
      <c r="M1875" s="532" t="n"/>
      <c r="N1875" s="515" t="n"/>
      <c r="O1875" s="536" t="n"/>
      <c r="P1875" s="532" t="n"/>
    </row>
    <row r="1876" ht="15.75" customHeight="1" s="2">
      <c r="C1876" s="550" t="n"/>
      <c r="D1876" s="526" t="n"/>
      <c r="E1876" s="514" t="n"/>
      <c r="F1876" s="550" t="n"/>
      <c r="G1876" s="526" t="n"/>
      <c r="H1876" s="516" t="n"/>
      <c r="I1876" s="537" t="n"/>
      <c r="J1876" s="530" t="n"/>
      <c r="K1876" s="516" t="n"/>
      <c r="L1876" s="542" t="n"/>
      <c r="M1876" s="530" t="n"/>
      <c r="N1876" s="516" t="n"/>
      <c r="O1876" s="542" t="n"/>
      <c r="P1876" s="530" t="n"/>
    </row>
    <row r="1877" ht="15.75" customHeight="1" s="2">
      <c r="C1877" s="550" t="n"/>
      <c r="D1877" s="527" t="n"/>
      <c r="E1877" s="514" t="n"/>
      <c r="F1877" s="531" t="n"/>
      <c r="G1877" s="530" t="n"/>
      <c r="H1877" s="516" t="n"/>
      <c r="I1877" s="537" t="n"/>
      <c r="J1877" s="530" t="n"/>
      <c r="K1877" s="516" t="n"/>
      <c r="L1877" s="542" t="n"/>
      <c r="M1877" s="539" t="n"/>
      <c r="N1877" s="516" t="n"/>
      <c r="O1877" s="542" t="n"/>
      <c r="P1877" s="539" t="n"/>
    </row>
    <row r="1878" ht="15.75" customHeight="1" s="2">
      <c r="C1878" s="551" t="n"/>
      <c r="D1878" s="561" t="n"/>
      <c r="E1878" s="519" t="n"/>
      <c r="F1878" s="517" t="n"/>
      <c r="G1878" s="518" t="n"/>
      <c r="H1878" s="516" t="n"/>
      <c r="I1878" s="537" t="n"/>
      <c r="J1878" s="530" t="n"/>
      <c r="K1878" s="516" t="n"/>
      <c r="L1878" s="537" t="n"/>
      <c r="M1878" s="539" t="n"/>
      <c r="N1878" s="516" t="n"/>
      <c r="O1878" s="537" t="n"/>
      <c r="P1878" s="539" t="n"/>
    </row>
    <row r="1879" ht="15.75" customHeight="1" s="2">
      <c r="C1879" s="551" t="n"/>
      <c r="D1879" s="528" t="n"/>
      <c r="E1879" s="519" t="n"/>
      <c r="F1879" s="517" t="n"/>
      <c r="G1879" s="518" t="n"/>
      <c r="H1879" s="516" t="n"/>
      <c r="I1879" s="537" t="n"/>
      <c r="J1879" s="533" t="n"/>
      <c r="K1879" s="516" t="n"/>
      <c r="L1879" s="537" t="n"/>
      <c r="M1879" s="540" t="n"/>
      <c r="N1879" s="516" t="n"/>
      <c r="O1879" s="537" t="n"/>
      <c r="P1879" s="540" t="n"/>
    </row>
    <row r="1880" ht="15.75" customHeight="1" s="2" thickBot="1">
      <c r="C1880" s="562" t="n"/>
      <c r="D1880" s="529" t="n"/>
      <c r="E1880" s="519" t="n"/>
      <c r="F1880" s="520" t="n"/>
      <c r="G1880" s="521" t="n"/>
      <c r="H1880" s="516" t="n"/>
      <c r="I1880" s="538" t="n"/>
      <c r="J1880" s="534" t="n"/>
      <c r="K1880" s="522" t="n"/>
      <c r="L1880" s="538" t="n"/>
      <c r="M1880" s="541" t="n"/>
      <c r="N1880" s="522" t="n"/>
      <c r="O1880" s="538" t="n"/>
      <c r="P1880" s="541" t="n"/>
    </row>
    <row r="1882" ht="15.75" customHeight="1" s="2" thickBot="1"/>
    <row r="1883" ht="15.75" customHeight="1" s="2" thickBot="1">
      <c r="B1883" s="1652" t="inlineStr">
        <is>
          <t>31.5.21</t>
        </is>
      </c>
      <c r="C1883" s="1641" t="n"/>
      <c r="D1883" s="1502" t="n"/>
      <c r="E1883" s="1640" t="inlineStr">
        <is>
          <t>7.6.21</t>
        </is>
      </c>
      <c r="F1883" s="1641" t="n"/>
      <c r="G1883" s="1502" t="n"/>
      <c r="H1883" s="1640" t="inlineStr">
        <is>
          <t>14.6.21</t>
        </is>
      </c>
      <c r="I1883" s="1641" t="n"/>
      <c r="J1883" s="1502" t="n"/>
      <c r="K1883" s="1640" t="inlineStr">
        <is>
          <t>21.6.21</t>
        </is>
      </c>
      <c r="L1883" s="1641" t="n"/>
      <c r="M1883" s="1502" t="n"/>
      <c r="N1883" s="1640" t="inlineStr">
        <is>
          <t>28.6.21</t>
        </is>
      </c>
      <c r="O1883" s="1641" t="n"/>
      <c r="P1883" s="1502" t="n"/>
    </row>
    <row r="1884" ht="15.75" customHeight="1" s="2" thickBot="1">
      <c r="A1884" s="455" t="n"/>
      <c r="B1884" s="872" t="inlineStr">
        <is>
          <t>LAST YEAR</t>
        </is>
      </c>
      <c r="C1884" s="873" t="inlineStr">
        <is>
          <t>Actual</t>
        </is>
      </c>
      <c r="D1884" s="874" t="inlineStr">
        <is>
          <t>Projected</t>
        </is>
      </c>
      <c r="E1884" s="872" t="inlineStr">
        <is>
          <t>LAST YEAR</t>
        </is>
      </c>
      <c r="F1884" s="873" t="inlineStr">
        <is>
          <t>Actual</t>
        </is>
      </c>
      <c r="G1884" s="874" t="inlineStr">
        <is>
          <t>Projected</t>
        </is>
      </c>
      <c r="H1884" s="872" t="inlineStr">
        <is>
          <t>LAST YEAR</t>
        </is>
      </c>
      <c r="I1884" s="873" t="inlineStr">
        <is>
          <t>Actual</t>
        </is>
      </c>
      <c r="J1884" s="874" t="inlineStr">
        <is>
          <t>Projected</t>
        </is>
      </c>
      <c r="K1884" s="872" t="inlineStr">
        <is>
          <t>LAST YEAR</t>
        </is>
      </c>
      <c r="L1884" s="873" t="inlineStr">
        <is>
          <t>Actual</t>
        </is>
      </c>
      <c r="M1884" s="874" t="inlineStr">
        <is>
          <t>Projected</t>
        </is>
      </c>
      <c r="N1884" s="872" t="inlineStr">
        <is>
          <t>LAST YEAR</t>
        </is>
      </c>
      <c r="O1884" s="873" t="inlineStr">
        <is>
          <t>Actual</t>
        </is>
      </c>
      <c r="P1884" s="874" t="inlineStr">
        <is>
          <t>Projected</t>
        </is>
      </c>
    </row>
    <row r="1885" ht="15.75" customHeight="1" s="2">
      <c r="A1885" s="459" t="inlineStr">
        <is>
          <t>Total Receipts</t>
        </is>
      </c>
      <c r="B1885" s="1622" t="inlineStr">
        <is>
          <t>NA</t>
        </is>
      </c>
      <c r="C1885" s="1631" t="n">
        <v>87532</v>
      </c>
      <c r="D1885" s="1622" t="n">
        <v>80815</v>
      </c>
      <c r="E1885" s="1644" t="n">
        <v>69832</v>
      </c>
      <c r="F1885" s="1631" t="n">
        <v>80456</v>
      </c>
      <c r="G1885" s="1645" t="n">
        <v>79875</v>
      </c>
      <c r="H1885" s="1644" t="n">
        <v>61068.58</v>
      </c>
      <c r="I1885" s="1631" t="n">
        <v>130315.36</v>
      </c>
      <c r="J1885" s="1622" t="n">
        <v>112468</v>
      </c>
      <c r="K1885" s="1644" t="n">
        <v>67937.14</v>
      </c>
      <c r="L1885" s="1643" t="n">
        <v>67944.41</v>
      </c>
      <c r="M1885" s="1645" t="n">
        <v>86940</v>
      </c>
      <c r="N1885" s="1620" t="n">
        <v>76152.39</v>
      </c>
      <c r="O1885" s="1631" t="n"/>
      <c r="P1885" s="1622" t="n">
        <v>103153</v>
      </c>
    </row>
    <row r="1886" ht="15.75" customHeight="1" s="2">
      <c r="A1886" s="462" t="inlineStr">
        <is>
          <t>Nett Sales</t>
        </is>
      </c>
      <c r="B1886" s="1622" t="inlineStr">
        <is>
          <t>NA</t>
        </is>
      </c>
      <c r="C1886" s="1632" t="n">
        <v>79575</v>
      </c>
      <c r="D1886" s="1625" t="n">
        <v>73468</v>
      </c>
      <c r="E1886" s="1646" t="n">
        <v>63483.63636363636</v>
      </c>
      <c r="F1886" s="1632" t="n">
        <v>73141.87</v>
      </c>
      <c r="G1886" s="1637" t="n">
        <v>72613</v>
      </c>
      <c r="H1886" s="1646" t="n">
        <v>55516.89</v>
      </c>
      <c r="I1886" s="1632" t="n">
        <v>118468</v>
      </c>
      <c r="J1886" s="1625" t="n">
        <v>102243.6</v>
      </c>
      <c r="K1886" s="1646" t="n">
        <v>61761.04</v>
      </c>
      <c r="L1886" s="1632" t="n">
        <v>61767.65</v>
      </c>
      <c r="M1886" s="1625" t="n">
        <v>79036</v>
      </c>
      <c r="N1886" s="1623" t="n">
        <v>69229.45</v>
      </c>
      <c r="O1886" s="1632" t="n"/>
      <c r="P1886" s="1625" t="n">
        <v>93775</v>
      </c>
    </row>
    <row r="1887" ht="15.75" customHeight="1" s="2">
      <c r="A1887" s="462" t="inlineStr">
        <is>
          <t>Customers</t>
        </is>
      </c>
      <c r="B1887" s="1622" t="inlineStr">
        <is>
          <t>NA</t>
        </is>
      </c>
      <c r="C1887" s="565" t="n">
        <v>3922</v>
      </c>
      <c r="D1887" s="466" t="n">
        <v>3525</v>
      </c>
      <c r="E1887" s="866" t="n">
        <v>2801</v>
      </c>
      <c r="F1887" s="565" t="n">
        <v>3569</v>
      </c>
      <c r="G1887" s="466" t="n">
        <v>3465</v>
      </c>
      <c r="H1887" s="866" t="n">
        <v>2487</v>
      </c>
      <c r="I1887" s="565" t="n">
        <v>5771</v>
      </c>
      <c r="J1887" s="466" t="n">
        <v>5010</v>
      </c>
      <c r="K1887" s="866" t="n">
        <v>2888</v>
      </c>
      <c r="L1887" s="565" t="n">
        <v>3073</v>
      </c>
      <c r="M1887" s="466" t="n">
        <v>3780</v>
      </c>
      <c r="N1887" s="485" t="n">
        <v>3286</v>
      </c>
      <c r="O1887" s="565" t="n"/>
      <c r="P1887" s="466" t="n">
        <v>4840</v>
      </c>
    </row>
    <row r="1888" ht="15.75" customHeight="1" s="2">
      <c r="A1888" s="462" t="inlineStr">
        <is>
          <t>Average Customer Spend</t>
        </is>
      </c>
      <c r="B1888" s="1622" t="inlineStr">
        <is>
          <t>NA</t>
        </is>
      </c>
      <c r="C1888" s="1635" t="n">
        <v>22.32</v>
      </c>
      <c r="D1888" s="1628" t="n">
        <v>22.93</v>
      </c>
      <c r="E1888" s="1648" t="n">
        <v>24.9310960371296</v>
      </c>
      <c r="F1888" s="1635">
        <f>F1885/F1887</f>
        <v/>
      </c>
      <c r="G1888" s="1649" t="n">
        <v>23.05</v>
      </c>
      <c r="H1888" s="1648" t="n">
        <v>24.5551186168074</v>
      </c>
      <c r="I1888" s="1635" t="n">
        <v>22.51</v>
      </c>
      <c r="J1888" s="1628" t="n">
        <v>22.45</v>
      </c>
      <c r="K1888" s="1648" t="n">
        <v>23.52</v>
      </c>
      <c r="L1888" s="1647">
        <f>L1885/L1887</f>
        <v/>
      </c>
      <c r="M1888" s="1649" t="n">
        <v>23</v>
      </c>
      <c r="N1888" s="1626" t="n">
        <v>23.17479914790018</v>
      </c>
      <c r="O1888" s="1635" t="n"/>
      <c r="P1888" s="1628" t="n">
        <v>21.31</v>
      </c>
    </row>
    <row r="1889" ht="15.75" customHeight="1" s="2">
      <c r="A1889" s="462" t="inlineStr">
        <is>
          <t>Wage % to Total Receipts</t>
        </is>
      </c>
      <c r="B1889" s="1622" t="inlineStr">
        <is>
          <t>NA</t>
        </is>
      </c>
      <c r="C1889" s="567" t="n">
        <v>0.3609</v>
      </c>
      <c r="D1889" s="470" t="n">
        <v>0.3826</v>
      </c>
      <c r="E1889" s="868" t="n">
        <v>0.4598</v>
      </c>
      <c r="F1889" s="567" t="n">
        <v>0.3867</v>
      </c>
      <c r="G1889" s="863" t="n">
        <v>0.4066</v>
      </c>
      <c r="H1889" s="868" t="n">
        <v>0.4624</v>
      </c>
      <c r="I1889" s="567" t="n">
        <v>0.3457</v>
      </c>
      <c r="J1889" s="470" t="n">
        <v>0.3805</v>
      </c>
      <c r="K1889" s="868" t="n">
        <v>0.3956</v>
      </c>
      <c r="L1889" s="860" t="n">
        <v>0.4559</v>
      </c>
      <c r="M1889" s="863" t="n">
        <v>0.3761</v>
      </c>
      <c r="N1889" s="487" t="n">
        <v>0.372</v>
      </c>
      <c r="O1889" s="567" t="n"/>
      <c r="P1889" s="470" t="n">
        <v>0.3683</v>
      </c>
      <c r="Q1889" s="454">
        <f>I1887-L1887</f>
        <v/>
      </c>
    </row>
    <row r="1890" ht="15.75" customHeight="1" s="2">
      <c r="A1890" s="462" t="inlineStr">
        <is>
          <t>Wage % to Nett Sales</t>
        </is>
      </c>
      <c r="B1890" s="1622" t="inlineStr">
        <is>
          <t>NA</t>
        </is>
      </c>
      <c r="C1890" s="567" t="n">
        <v>0.397</v>
      </c>
      <c r="D1890" s="470" t="n">
        <v>0.4209</v>
      </c>
      <c r="E1890" s="868" t="n">
        <v>0.5058</v>
      </c>
      <c r="F1890" s="567" t="n">
        <v>0.4264</v>
      </c>
      <c r="G1890" s="863" t="n">
        <v>0.4473</v>
      </c>
      <c r="H1890" s="868" t="n">
        <v>0.5087</v>
      </c>
      <c r="I1890" s="567" t="n">
        <v>0.3803</v>
      </c>
      <c r="J1890" s="470" t="n">
        <v>0.4186</v>
      </c>
      <c r="K1890" s="868" t="n">
        <v>0.4352</v>
      </c>
      <c r="L1890" s="860" t="n">
        <v>0.5059</v>
      </c>
      <c r="M1890" s="863" t="n">
        <v>0.4137</v>
      </c>
      <c r="N1890" s="487" t="n">
        <v>0.4092</v>
      </c>
      <c r="O1890" s="567" t="n"/>
      <c r="P1890" s="470" t="n">
        <v>0.4051</v>
      </c>
    </row>
    <row r="1891" ht="15.75" customHeight="1" s="2">
      <c r="A1891" s="462" t="inlineStr">
        <is>
          <t>Productivity</t>
        </is>
      </c>
      <c r="B1891" s="1622" t="inlineStr">
        <is>
          <t>NA</t>
        </is>
      </c>
      <c r="C1891" s="568" t="n">
        <v>4.49</v>
      </c>
      <c r="D1891" s="472" t="n">
        <v>4.1</v>
      </c>
      <c r="E1891" s="869" t="n">
        <v>3.27</v>
      </c>
      <c r="F1891" s="568" t="n">
        <v>4.02</v>
      </c>
      <c r="G1891" s="472" t="n">
        <v>3.9</v>
      </c>
      <c r="H1891" s="869" t="n">
        <v>3.16</v>
      </c>
      <c r="I1891" s="568" t="n">
        <v>5.04</v>
      </c>
      <c r="J1891" s="472" t="n">
        <v>4.6</v>
      </c>
      <c r="K1891" s="869" t="n">
        <v>3.79</v>
      </c>
      <c r="L1891" s="568" t="n">
        <v>3.53</v>
      </c>
      <c r="M1891" s="472" t="n">
        <v>4.2</v>
      </c>
      <c r="N1891" s="488" t="n">
        <v>4.02</v>
      </c>
      <c r="O1891" s="568" t="n"/>
      <c r="P1891" s="472" t="n">
        <v>4.6</v>
      </c>
    </row>
    <row r="1892" ht="15.75" customHeight="1" s="2">
      <c r="A1892" s="462" t="inlineStr">
        <is>
          <t>Average Hourly Rate</t>
        </is>
      </c>
      <c r="B1892" s="1622" t="inlineStr">
        <is>
          <t>NA</t>
        </is>
      </c>
      <c r="C1892" s="568" t="n">
        <v>36.14</v>
      </c>
      <c r="D1892" s="1628" t="n">
        <v>36.25</v>
      </c>
      <c r="E1892" s="869" t="n">
        <v>37.44</v>
      </c>
      <c r="F1892" s="568" t="n">
        <v>35.05</v>
      </c>
      <c r="G1892" s="1628" t="n">
        <v>36.25</v>
      </c>
      <c r="H1892" s="869" t="n">
        <v>35.9</v>
      </c>
      <c r="I1892" s="568" t="n">
        <v>39.35</v>
      </c>
      <c r="J1892" s="1628" t="n">
        <v>39.5</v>
      </c>
      <c r="K1892" s="869" t="n">
        <v>35.31</v>
      </c>
      <c r="L1892" s="568" t="n">
        <v>35.87</v>
      </c>
      <c r="M1892" s="1649" t="n">
        <v>36.25</v>
      </c>
      <c r="N1892" s="1629" t="n">
        <v>34.64</v>
      </c>
      <c r="O1892" s="568" t="n"/>
      <c r="P1892" s="1628" t="n">
        <v>36.25</v>
      </c>
    </row>
    <row r="1893" ht="15.75" customHeight="1" s="2">
      <c r="A1893" s="462" t="inlineStr">
        <is>
          <t>Total hours for productivity</t>
        </is>
      </c>
      <c r="B1893" s="1622" t="inlineStr">
        <is>
          <t>NA</t>
        </is>
      </c>
      <c r="C1893" s="568" t="n">
        <v>874.25</v>
      </c>
      <c r="D1893" s="466" t="n">
        <v>853</v>
      </c>
      <c r="E1893" s="869" t="n">
        <v>857.75</v>
      </c>
      <c r="F1893" s="568" t="n">
        <v>887.75</v>
      </c>
      <c r="G1893" s="466" t="n">
        <v>896</v>
      </c>
      <c r="H1893" s="869" t="n">
        <v>786.5</v>
      </c>
      <c r="I1893" s="568" t="n">
        <v>1145</v>
      </c>
      <c r="J1893" s="472" t="n">
        <v>1083.5</v>
      </c>
      <c r="K1893" s="869" t="n">
        <v>761.25</v>
      </c>
      <c r="L1893" s="568" t="n">
        <v>871</v>
      </c>
      <c r="M1893" s="466" t="n">
        <v>902</v>
      </c>
      <c r="N1893" s="485" t="n">
        <v>817.75</v>
      </c>
      <c r="O1893" s="568" t="n"/>
      <c r="P1893" s="466" t="n">
        <v>1048</v>
      </c>
    </row>
    <row r="1894" ht="15.75" customHeight="1" s="2">
      <c r="A1894" s="462" t="inlineStr">
        <is>
          <t>Training Hours used</t>
        </is>
      </c>
      <c r="B1894" s="1622" t="inlineStr">
        <is>
          <t>NA</t>
        </is>
      </c>
      <c r="C1894" s="569" t="n">
        <v>21</v>
      </c>
      <c r="D1894" s="466" t="n">
        <v>21</v>
      </c>
      <c r="E1894" s="466" t="n">
        <v>0</v>
      </c>
      <c r="F1894" s="569" t="n">
        <v>17.5</v>
      </c>
      <c r="G1894" s="466" t="n">
        <v>17.5</v>
      </c>
      <c r="H1894" s="466" t="n"/>
      <c r="I1894" s="569" t="n"/>
      <c r="J1894" s="466" t="n"/>
      <c r="K1894" s="870" t="n"/>
      <c r="L1894" s="569" t="n">
        <v>27.5</v>
      </c>
      <c r="M1894" s="466" t="n"/>
      <c r="N1894" s="485" t="n">
        <v>0</v>
      </c>
      <c r="O1894" s="569" t="n"/>
      <c r="P1894" s="466" t="n">
        <v>15</v>
      </c>
    </row>
    <row r="1895" ht="15.75" customHeight="1" s="2" thickBot="1">
      <c r="A1895" s="474" t="inlineStr">
        <is>
          <t>Number of hours used to cover sick leave</t>
        </is>
      </c>
      <c r="B1895" s="1622" t="inlineStr">
        <is>
          <t>NA</t>
        </is>
      </c>
      <c r="C1895" s="570" t="n"/>
      <c r="D1895" s="476" t="n"/>
      <c r="E1895" s="476" t="n">
        <v>0</v>
      </c>
      <c r="F1895" s="570" t="n"/>
      <c r="G1895" s="476" t="n"/>
      <c r="H1895" s="476" t="n"/>
      <c r="I1895" s="570" t="n"/>
      <c r="J1895" s="476" t="n"/>
      <c r="K1895" s="813" t="n"/>
      <c r="L1895" s="570" t="n"/>
      <c r="M1895" s="476" t="n"/>
      <c r="N1895" s="490" t="n">
        <v>0</v>
      </c>
      <c r="O1895" s="570" t="n"/>
      <c r="P1895" s="476" t="n"/>
    </row>
    <row r="1896" ht="15.75" customHeight="1" s="2" thickBot="1">
      <c r="A1896" s="477" t="inlineStr">
        <is>
          <t xml:space="preserve">Minimum Hours </t>
        </is>
      </c>
      <c r="B1896" s="836" t="inlineStr">
        <is>
          <t>60% Hours</t>
        </is>
      </c>
      <c r="C1896" s="816" t="inlineStr">
        <is>
          <t>Projected</t>
        </is>
      </c>
      <c r="D1896" s="817" t="inlineStr">
        <is>
          <t>Rostered</t>
        </is>
      </c>
      <c r="E1896" s="836" t="inlineStr">
        <is>
          <t>60% Hours</t>
        </is>
      </c>
      <c r="F1896" s="816" t="inlineStr">
        <is>
          <t>Projected</t>
        </is>
      </c>
      <c r="G1896" s="817" t="inlineStr">
        <is>
          <t>Rostered</t>
        </is>
      </c>
      <c r="H1896" s="836" t="inlineStr">
        <is>
          <t>60% Hours</t>
        </is>
      </c>
      <c r="I1896" s="816" t="inlineStr">
        <is>
          <t>Projected</t>
        </is>
      </c>
      <c r="J1896" s="817" t="inlineStr">
        <is>
          <t>Rostered</t>
        </is>
      </c>
      <c r="K1896" s="836" t="inlineStr">
        <is>
          <t>60% Hours</t>
        </is>
      </c>
      <c r="L1896" s="816" t="inlineStr">
        <is>
          <t>Projected</t>
        </is>
      </c>
      <c r="M1896" s="817" t="inlineStr">
        <is>
          <t>Rostered</t>
        </is>
      </c>
      <c r="N1896" s="836" t="inlineStr">
        <is>
          <t>60% Hours</t>
        </is>
      </c>
      <c r="O1896" s="816" t="inlineStr">
        <is>
          <t>Projected</t>
        </is>
      </c>
      <c r="P1896" s="817" t="inlineStr">
        <is>
          <t>Rostered</t>
        </is>
      </c>
    </row>
    <row r="1897" ht="15.75" customHeight="1" s="2">
      <c r="A1897" s="479" t="inlineStr">
        <is>
          <t>Floor</t>
        </is>
      </c>
      <c r="B1897" s="855" t="n"/>
      <c r="C1897" s="810" t="n">
        <v>431</v>
      </c>
      <c r="D1897" s="811" t="n">
        <v>479</v>
      </c>
      <c r="E1897" s="855" t="n"/>
      <c r="F1897" s="810" t="n">
        <v>424</v>
      </c>
      <c r="G1897" s="811" t="n">
        <v>497</v>
      </c>
      <c r="H1897" s="855" t="n"/>
      <c r="I1897" s="810" t="n">
        <v>612</v>
      </c>
      <c r="J1897" s="811" t="n">
        <v>591</v>
      </c>
      <c r="K1897" s="855" t="n"/>
      <c r="L1897" s="810" t="n">
        <v>462</v>
      </c>
      <c r="M1897" s="811" t="n">
        <v>499</v>
      </c>
      <c r="N1897" s="855" t="n"/>
      <c r="O1897" s="810" t="n">
        <v>592</v>
      </c>
      <c r="P1897" s="811" t="n">
        <v>607</v>
      </c>
    </row>
    <row r="1898" ht="15.75" customHeight="1" s="2" thickBot="1">
      <c r="A1898" s="481" t="inlineStr">
        <is>
          <t>Kitchen</t>
        </is>
      </c>
      <c r="B1898" s="856" t="n"/>
      <c r="C1898" s="813" t="n">
        <v>353</v>
      </c>
      <c r="D1898" s="814" t="n">
        <v>374</v>
      </c>
      <c r="E1898" s="856" t="n"/>
      <c r="F1898" s="840" t="n">
        <v>347</v>
      </c>
      <c r="G1898" s="814" t="n">
        <v>400</v>
      </c>
      <c r="H1898" s="856" t="n"/>
      <c r="I1898" s="813" t="n">
        <v>501</v>
      </c>
      <c r="J1898" s="814" t="n">
        <v>493</v>
      </c>
      <c r="K1898" s="856" t="n"/>
      <c r="L1898" s="813" t="n">
        <v>378</v>
      </c>
      <c r="M1898" s="814" t="n">
        <v>404</v>
      </c>
      <c r="N1898" s="856" t="n"/>
      <c r="O1898" s="813" t="n">
        <v>484</v>
      </c>
      <c r="P1898" s="814" t="n">
        <v>442</v>
      </c>
    </row>
    <row r="1899" ht="15.75" customHeight="1" s="2" thickBot="1">
      <c r="A1899" s="834" t="n"/>
      <c r="B1899" s="836" t="inlineStr">
        <is>
          <t xml:space="preserve">Minimum </t>
        </is>
      </c>
      <c r="C1899" s="875" t="n"/>
      <c r="D1899" s="875" t="n"/>
      <c r="E1899" s="839" t="inlineStr">
        <is>
          <t>Minimum</t>
        </is>
      </c>
      <c r="F1899" s="875" t="n"/>
      <c r="G1899" s="875" t="n"/>
      <c r="H1899" s="839" t="inlineStr">
        <is>
          <t>Minimum</t>
        </is>
      </c>
      <c r="I1899" s="875" t="n"/>
      <c r="J1899" s="875" t="n"/>
      <c r="K1899" s="839" t="inlineStr">
        <is>
          <t>Minimum</t>
        </is>
      </c>
      <c r="L1899" s="875" t="n"/>
      <c r="M1899" s="875" t="n"/>
      <c r="N1899" s="839" t="n"/>
      <c r="O1899" s="835" t="n"/>
      <c r="P1899" s="835" t="n"/>
    </row>
    <row r="1900" ht="15.75" customHeight="1" s="2">
      <c r="A1900" s="834" t="n"/>
      <c r="B1900" s="837" t="n"/>
      <c r="C1900" s="875" t="n"/>
      <c r="D1900" s="875" t="n"/>
      <c r="E1900" s="837" t="n"/>
      <c r="F1900" s="875" t="n"/>
      <c r="G1900" s="875" t="n"/>
      <c r="H1900" s="837" t="n"/>
      <c r="I1900" s="875" t="n"/>
      <c r="J1900" s="875" t="n"/>
      <c r="K1900" s="837" t="n"/>
      <c r="L1900" s="875" t="n"/>
      <c r="M1900" s="875" t="n"/>
      <c r="N1900" s="837" t="n"/>
      <c r="O1900" s="835" t="n"/>
      <c r="P1900" s="835" t="n"/>
    </row>
    <row r="1901" ht="15.75" customHeight="1" s="2" thickBot="1">
      <c r="B1901" s="838" t="n"/>
      <c r="C1901" s="876" t="n"/>
      <c r="D1901" s="876" t="n"/>
      <c r="E1901" s="838" t="n"/>
      <c r="F1901" s="876" t="n"/>
      <c r="G1901" s="876" t="n"/>
      <c r="H1901" s="838" t="n"/>
      <c r="I1901" s="876" t="n"/>
      <c r="J1901" s="876" t="n"/>
      <c r="K1901" s="838" t="n"/>
      <c r="L1901" s="876" t="n"/>
      <c r="M1901" s="876" t="n"/>
      <c r="N1901" s="838" t="n"/>
    </row>
    <row r="1902" ht="15.75" customHeight="1" s="2" thickBot="1">
      <c r="A1902" s="506" t="inlineStr">
        <is>
          <t>Training explanation</t>
        </is>
      </c>
      <c r="C1902" s="523" t="inlineStr">
        <is>
          <t>Floor</t>
        </is>
      </c>
      <c r="D1902" s="524" t="inlineStr">
        <is>
          <t>Kitchen</t>
        </is>
      </c>
      <c r="E1902" s="509" t="n"/>
      <c r="F1902" s="507" t="inlineStr">
        <is>
          <t>Floor</t>
        </is>
      </c>
      <c r="G1902" s="508" t="inlineStr">
        <is>
          <t>Kitchen</t>
        </is>
      </c>
      <c r="H1902" s="510" t="n"/>
      <c r="I1902" s="535" t="n"/>
      <c r="J1902" s="511" t="n"/>
      <c r="K1902" s="512" t="n"/>
      <c r="L1902" s="535" t="inlineStr">
        <is>
          <t>kitchen</t>
        </is>
      </c>
      <c r="M1902" s="513" t="n"/>
      <c r="N1902" s="512" t="n"/>
      <c r="O1902" s="535" t="inlineStr">
        <is>
          <t>kitchen</t>
        </is>
      </c>
      <c r="P1902" s="513" t="n"/>
    </row>
    <row r="1903" ht="15.75" customHeight="1" s="2">
      <c r="A1903" s="506" t="inlineStr">
        <is>
          <t>Who is being Trained</t>
        </is>
      </c>
      <c r="C1903" s="525" t="n"/>
      <c r="D1903" s="527" t="n"/>
      <c r="E1903" s="514" t="n"/>
      <c r="F1903" s="525" t="n"/>
      <c r="G1903" s="527" t="n"/>
      <c r="H1903" s="515" t="n"/>
      <c r="I1903" s="531" t="n"/>
      <c r="J1903" s="824" t="n"/>
      <c r="K1903" s="515" t="n"/>
      <c r="L1903" s="536" t="n"/>
      <c r="M1903" s="532" t="n"/>
      <c r="N1903" s="515" t="n"/>
      <c r="O1903" s="536" t="n"/>
      <c r="P1903" s="532" t="n"/>
    </row>
    <row r="1904" ht="15.75" customHeight="1" s="2">
      <c r="C1904" s="550" t="n"/>
      <c r="D1904" s="526" t="n"/>
      <c r="E1904" s="514" t="n"/>
      <c r="F1904" s="550" t="n"/>
      <c r="G1904" s="526" t="n"/>
      <c r="H1904" s="516" t="n"/>
      <c r="I1904" s="537" t="n"/>
      <c r="J1904" s="530" t="n"/>
      <c r="K1904" s="516" t="n"/>
      <c r="L1904" s="542" t="n"/>
      <c r="M1904" s="530" t="n"/>
      <c r="N1904" s="516" t="n"/>
      <c r="O1904" s="542" t="n"/>
      <c r="P1904" s="530" t="n"/>
    </row>
    <row r="1905" ht="15.75" customHeight="1" s="2">
      <c r="C1905" s="550" t="n"/>
      <c r="D1905" s="527" t="n"/>
      <c r="E1905" s="514" t="n"/>
      <c r="F1905" s="531" t="n"/>
      <c r="G1905" s="530" t="n"/>
      <c r="H1905" s="516" t="n"/>
      <c r="I1905" s="537" t="n"/>
      <c r="J1905" s="530" t="n"/>
      <c r="K1905" s="516" t="n"/>
      <c r="L1905" s="542" t="n"/>
      <c r="M1905" s="539" t="n"/>
      <c r="N1905" s="516" t="n"/>
      <c r="O1905" s="542" t="n"/>
      <c r="P1905" s="539" t="n"/>
    </row>
    <row r="1906" ht="15.75" customHeight="1" s="2">
      <c r="C1906" s="551" t="n"/>
      <c r="D1906" s="561" t="n"/>
      <c r="E1906" s="519" t="n"/>
      <c r="F1906" s="517" t="n"/>
      <c r="G1906" s="518" t="n"/>
      <c r="H1906" s="516" t="n"/>
      <c r="I1906" s="537" t="n"/>
      <c r="J1906" s="530" t="n"/>
      <c r="K1906" s="516" t="n"/>
      <c r="L1906" s="537" t="n"/>
      <c r="M1906" s="539" t="n"/>
      <c r="N1906" s="516" t="n"/>
      <c r="O1906" s="537" t="n"/>
      <c r="P1906" s="539" t="n"/>
    </row>
    <row r="1907" ht="15.75" customHeight="1" s="2">
      <c r="C1907" s="551" t="n"/>
      <c r="D1907" s="528" t="n"/>
      <c r="E1907" s="519" t="n"/>
      <c r="F1907" s="517" t="n"/>
      <c r="G1907" s="518" t="n"/>
      <c r="H1907" s="516" t="n"/>
      <c r="I1907" s="537" t="n"/>
      <c r="J1907" s="533" t="n"/>
      <c r="K1907" s="516" t="n"/>
      <c r="L1907" s="537" t="n"/>
      <c r="M1907" s="540" t="n"/>
      <c r="N1907" s="516" t="n"/>
      <c r="O1907" s="537" t="n"/>
      <c r="P1907" s="540" t="n"/>
    </row>
    <row r="1908" ht="15.75" customHeight="1" s="2" thickBot="1">
      <c r="C1908" s="562" t="n"/>
      <c r="D1908" s="529" t="n"/>
      <c r="E1908" s="519" t="n"/>
      <c r="F1908" s="520" t="n"/>
      <c r="G1908" s="521" t="n"/>
      <c r="H1908" s="516" t="n"/>
      <c r="I1908" s="538" t="n"/>
      <c r="J1908" s="534" t="n"/>
      <c r="K1908" s="522" t="n"/>
      <c r="L1908" s="538" t="n"/>
      <c r="M1908" s="541" t="n"/>
      <c r="N1908" s="522" t="n"/>
      <c r="O1908" s="538" t="n"/>
      <c r="P1908" s="541" t="n"/>
    </row>
    <row r="1909" ht="15.75" customHeight="1" s="2" thickBot="1"/>
    <row r="1910" ht="15.75" customHeight="1" s="2" thickBot="1">
      <c r="B1910" s="1652" t="inlineStr">
        <is>
          <t>18.10.21</t>
        </is>
      </c>
      <c r="C1910" s="1641" t="n"/>
      <c r="D1910" s="1502" t="n"/>
      <c r="E1910" s="1640" t="inlineStr">
        <is>
          <t>25.10.21</t>
        </is>
      </c>
      <c r="F1910" s="1641" t="n"/>
      <c r="G1910" s="1502" t="n"/>
      <c r="H1910" s="1640" t="inlineStr">
        <is>
          <t>1.11.21</t>
        </is>
      </c>
      <c r="I1910" s="1641" t="n"/>
      <c r="J1910" s="1502" t="n"/>
      <c r="K1910" s="1640" t="inlineStr">
        <is>
          <t>8.11.21</t>
        </is>
      </c>
      <c r="L1910" s="1641" t="n"/>
      <c r="M1910" s="1502" t="n"/>
      <c r="N1910" s="1640" t="inlineStr">
        <is>
          <t>15.11.21</t>
        </is>
      </c>
      <c r="O1910" s="1641" t="n"/>
      <c r="P1910" s="1502" t="n"/>
    </row>
    <row r="1911" ht="15.75" customHeight="1" s="2" thickBot="1">
      <c r="A1911" s="455" t="n"/>
      <c r="B1911" s="872" t="inlineStr">
        <is>
          <t>LAST YEAR</t>
        </is>
      </c>
      <c r="C1911" s="873" t="inlineStr">
        <is>
          <t>Actual</t>
        </is>
      </c>
      <c r="D1911" s="874" t="inlineStr">
        <is>
          <t>Projected</t>
        </is>
      </c>
      <c r="E1911" s="872" t="inlineStr">
        <is>
          <t>LAST YEAR</t>
        </is>
      </c>
      <c r="F1911" s="873" t="inlineStr">
        <is>
          <t>Actual</t>
        </is>
      </c>
      <c r="G1911" s="874" t="inlineStr">
        <is>
          <t>Projected</t>
        </is>
      </c>
      <c r="H1911" s="872" t="inlineStr">
        <is>
          <t>LAST YEAR</t>
        </is>
      </c>
      <c r="I1911" s="873" t="inlineStr">
        <is>
          <t>Actual</t>
        </is>
      </c>
      <c r="J1911" s="874" t="inlineStr">
        <is>
          <t>Projected</t>
        </is>
      </c>
      <c r="K1911" s="872" t="inlineStr">
        <is>
          <t>LAST YEAR</t>
        </is>
      </c>
      <c r="L1911" s="873" t="inlineStr">
        <is>
          <t>Actual</t>
        </is>
      </c>
      <c r="M1911" s="874" t="inlineStr">
        <is>
          <t>Projected</t>
        </is>
      </c>
      <c r="N1911" s="872" t="inlineStr">
        <is>
          <t>LAST YEAR</t>
        </is>
      </c>
      <c r="O1911" s="873" t="inlineStr">
        <is>
          <t>Actual</t>
        </is>
      </c>
      <c r="P1911" s="874" t="inlineStr">
        <is>
          <t>Projected</t>
        </is>
      </c>
    </row>
    <row r="1912" ht="15.75" customHeight="1" s="2">
      <c r="A1912" s="459" t="inlineStr">
        <is>
          <t>Total Receipts</t>
        </is>
      </c>
      <c r="B1912" s="1653" t="n">
        <v>69887.98</v>
      </c>
      <c r="C1912" s="1631" t="n">
        <v>48754.79</v>
      </c>
      <c r="D1912" s="1622" t="n">
        <v>59722</v>
      </c>
      <c r="E1912" s="1644" t="n">
        <v>69471.05</v>
      </c>
      <c r="F1912" s="1631" t="n">
        <v>69521.24000000001</v>
      </c>
      <c r="G1912" s="1645" t="n">
        <v>59722</v>
      </c>
      <c r="H1912" s="1644" t="n">
        <v>69124</v>
      </c>
      <c r="I1912" s="1631">
        <f>109946.57</f>
        <v/>
      </c>
      <c r="J1912" s="1622" t="n">
        <v>75276</v>
      </c>
      <c r="K1912" s="1644" t="n">
        <v>77119</v>
      </c>
      <c r="L1912" s="1643" t="n">
        <v>75025.86</v>
      </c>
      <c r="M1912" s="1645" t="n">
        <v>63519</v>
      </c>
      <c r="N1912" s="1620" t="n">
        <v>77184.21000000001</v>
      </c>
      <c r="O1912" s="1631" t="n">
        <v>80456.21000000001</v>
      </c>
      <c r="P1912" s="1622" t="n">
        <v>86526</v>
      </c>
    </row>
    <row r="1913" ht="15.75" customHeight="1" s="2">
      <c r="A1913" s="462" t="inlineStr">
        <is>
          <t>Nett Sales</t>
        </is>
      </c>
      <c r="B1913" s="1646" t="n">
        <v>63534.53</v>
      </c>
      <c r="C1913" s="1632" t="n">
        <v>44322.54</v>
      </c>
      <c r="D1913" s="1625" t="n">
        <v>54292.3</v>
      </c>
      <c r="E1913" s="1646" t="n">
        <v>63155.5</v>
      </c>
      <c r="F1913" s="1632" t="n">
        <v>63201.13</v>
      </c>
      <c r="G1913" s="1637" t="n">
        <v>54292</v>
      </c>
      <c r="H1913" s="1646" t="n">
        <v>62840.27</v>
      </c>
      <c r="I1913" s="1632">
        <f>I1912/1.1</f>
        <v/>
      </c>
      <c r="J1913" s="1625" t="n">
        <v>68432.3</v>
      </c>
      <c r="K1913" s="1646" t="n">
        <v>70108.69</v>
      </c>
      <c r="L1913" s="1632" t="n">
        <v>68205.33</v>
      </c>
      <c r="M1913" s="1625">
        <f>M1912/1.1</f>
        <v/>
      </c>
      <c r="N1913" s="1623" t="n">
        <v>70167.46000000001</v>
      </c>
      <c r="O1913" s="1632">
        <f>O1912/1.1</f>
        <v/>
      </c>
      <c r="P1913" s="1625" t="n">
        <v>78660</v>
      </c>
    </row>
    <row r="1914" ht="15.75" customHeight="1" s="2">
      <c r="A1914" s="462" t="inlineStr">
        <is>
          <t>Customers</t>
        </is>
      </c>
      <c r="B1914" s="866" t="n">
        <v>2988</v>
      </c>
      <c r="C1914" s="565" t="n">
        <v>2318</v>
      </c>
      <c r="D1914" s="466" t="n">
        <v>2620</v>
      </c>
      <c r="E1914" s="866" t="n">
        <v>2957</v>
      </c>
      <c r="F1914" s="565" t="n">
        <v>2753</v>
      </c>
      <c r="G1914" s="466" t="n">
        <v>2620</v>
      </c>
      <c r="H1914" s="866" t="n">
        <v>2915</v>
      </c>
      <c r="I1914" s="565" t="n">
        <v>4400</v>
      </c>
      <c r="J1914" s="466" t="n">
        <v>3455</v>
      </c>
      <c r="K1914" s="866" t="n">
        <v>3296</v>
      </c>
      <c r="L1914" s="565" t="n">
        <v>3074</v>
      </c>
      <c r="M1914" s="466" t="n">
        <v>2665</v>
      </c>
      <c r="N1914" s="485" t="n">
        <v>3350</v>
      </c>
      <c r="O1914" s="565" t="n">
        <v>3511</v>
      </c>
      <c r="P1914" s="466" t="n">
        <v>3615</v>
      </c>
    </row>
    <row r="1915" ht="15.75" customHeight="1" s="2">
      <c r="A1915" s="462" t="inlineStr">
        <is>
          <t>Average Customer Spend</t>
        </is>
      </c>
      <c r="B1915" s="1654">
        <f>B1912/2988</f>
        <v/>
      </c>
      <c r="C1915" s="1635" t="n">
        <v>21.03</v>
      </c>
      <c r="D1915" s="1628" t="n">
        <v>22.79</v>
      </c>
      <c r="E1915" s="1648" t="n">
        <v>23.49374365911397</v>
      </c>
      <c r="F1915" s="1635" t="n">
        <v>25.23</v>
      </c>
      <c r="G1915" s="1649" t="n">
        <v>22.79</v>
      </c>
      <c r="H1915" s="1648" t="n">
        <v>23.71</v>
      </c>
      <c r="I1915" s="1635" t="n">
        <v>36.39</v>
      </c>
      <c r="J1915" s="1628" t="n">
        <v>21.79</v>
      </c>
      <c r="K1915" s="1648" t="n">
        <v>23.4</v>
      </c>
      <c r="L1915" s="1647" t="n">
        <v>24.41</v>
      </c>
      <c r="M1915" s="1649" t="n">
        <v>23.73</v>
      </c>
      <c r="N1915" s="1626" t="n">
        <v>23.04</v>
      </c>
      <c r="O1915" s="1635">
        <f>O1912/3511</f>
        <v/>
      </c>
      <c r="P1915" s="1628" t="n">
        <v>23.94</v>
      </c>
    </row>
    <row r="1916" ht="15.75" customHeight="1" s="2">
      <c r="A1916" s="462" t="inlineStr">
        <is>
          <t>Wage % to Total Receipts</t>
        </is>
      </c>
      <c r="B1916" s="890" t="n">
        <v>0.3738</v>
      </c>
      <c r="C1916" s="567" t="n">
        <v>0.5656</v>
      </c>
      <c r="D1916" s="470" t="n">
        <v>0.5132</v>
      </c>
      <c r="E1916" s="868" t="n">
        <v>0.3737</v>
      </c>
      <c r="F1916" s="567" t="n">
        <v>0.4143</v>
      </c>
      <c r="G1916" s="863" t="n">
        <v>0.5308</v>
      </c>
      <c r="H1916" s="868" t="n">
        <v>0.3939</v>
      </c>
      <c r="I1916" s="567" t="n">
        <v>0.3236</v>
      </c>
      <c r="J1916" s="470" t="n">
        <v>0.4267</v>
      </c>
      <c r="K1916" s="868" t="n">
        <v>0.3542</v>
      </c>
      <c r="L1916" s="860" t="n">
        <v>0.4007</v>
      </c>
      <c r="M1916" s="863" t="n">
        <v>0.5187</v>
      </c>
      <c r="N1916" s="487" t="n">
        <v>0.36754</v>
      </c>
      <c r="O1916" s="567" t="n">
        <v>0.4009</v>
      </c>
      <c r="P1916" s="470" t="n">
        <v>0.3944</v>
      </c>
    </row>
    <row r="1917" ht="15.75" customHeight="1" s="2">
      <c r="A1917" s="462" t="inlineStr">
        <is>
          <t>Wage % to Nett Sales</t>
        </is>
      </c>
      <c r="B1917" s="890" t="n">
        <v>0.4112</v>
      </c>
      <c r="C1917" s="567" t="n">
        <v>0.6222</v>
      </c>
      <c r="D1917" s="470" t="n">
        <v>0.5645</v>
      </c>
      <c r="E1917" s="868" t="n">
        <v>0.411</v>
      </c>
      <c r="F1917" s="567" t="n">
        <v>0.4557</v>
      </c>
      <c r="G1917" s="863" t="n">
        <v>0.5839</v>
      </c>
      <c r="H1917" s="868" t="n">
        <v>0.4333</v>
      </c>
      <c r="I1917" s="567" t="n">
        <v>0.356</v>
      </c>
      <c r="J1917" s="470" t="n">
        <v>0.4693</v>
      </c>
      <c r="K1917" s="868" t="n">
        <v>0.3897</v>
      </c>
      <c r="L1917" s="860" t="n">
        <v>0.4408</v>
      </c>
      <c r="M1917" s="863" t="n">
        <v>0.5706</v>
      </c>
      <c r="N1917" s="487" t="n">
        <v>0.4041</v>
      </c>
      <c r="O1917" s="567" t="n">
        <v>0.441</v>
      </c>
      <c r="P1917" s="470" t="n">
        <v>0.4338</v>
      </c>
    </row>
    <row r="1918" ht="15.75" customHeight="1" s="2">
      <c r="A1918" s="462" t="inlineStr">
        <is>
          <t>Productivity</t>
        </is>
      </c>
      <c r="B1918" s="869" t="n">
        <v>4.06</v>
      </c>
      <c r="C1918" s="568" t="n">
        <v>2.98</v>
      </c>
      <c r="D1918" s="472" t="n">
        <v>3.1</v>
      </c>
      <c r="E1918" s="869" t="n">
        <v>4.02</v>
      </c>
      <c r="F1918" s="568" t="n">
        <v>3.33</v>
      </c>
      <c r="G1918" s="472" t="n">
        <v>3</v>
      </c>
      <c r="H1918" s="869" t="n">
        <v>3.74</v>
      </c>
      <c r="I1918" s="568" t="n">
        <v>4.54</v>
      </c>
      <c r="J1918" s="472" t="n">
        <v>3.9</v>
      </c>
      <c r="K1918" s="869" t="n">
        <v>4.29</v>
      </c>
      <c r="L1918" s="568" t="n">
        <v>3.75</v>
      </c>
      <c r="M1918" s="472" t="n">
        <v>3</v>
      </c>
      <c r="N1918" s="488" t="n">
        <v>4.46</v>
      </c>
      <c r="O1918" s="568" t="n">
        <v>4.02</v>
      </c>
      <c r="P1918" s="472" t="n">
        <v>3.9</v>
      </c>
    </row>
    <row r="1919" ht="15.75" customHeight="1" s="2">
      <c r="A1919" s="462" t="inlineStr">
        <is>
          <t>Average Hourly Rate</t>
        </is>
      </c>
      <c r="B1919" s="869" t="n">
        <v>35.52</v>
      </c>
      <c r="C1919" s="568" t="n">
        <v>35.42</v>
      </c>
      <c r="D1919" s="1628" t="n">
        <v>36.25</v>
      </c>
      <c r="E1919" s="869" t="n">
        <v>35.29</v>
      </c>
      <c r="F1919" s="568" t="n">
        <v>34.79</v>
      </c>
      <c r="G1919" s="1628" t="n">
        <v>36.25</v>
      </c>
      <c r="H1919" s="869" t="n">
        <v>34.94</v>
      </c>
      <c r="I1919" s="568" t="n">
        <v>36.39</v>
      </c>
      <c r="J1919" s="1628" t="n">
        <v>36.25</v>
      </c>
      <c r="K1919" s="869" t="n">
        <v>35.57</v>
      </c>
      <c r="L1919" s="568" t="n">
        <v>36.63</v>
      </c>
      <c r="M1919" s="1649" t="n">
        <v>36.75</v>
      </c>
      <c r="N1919" s="1629" t="n">
        <v>37.76</v>
      </c>
      <c r="O1919" s="568" t="n">
        <v>36.96</v>
      </c>
      <c r="P1919" s="1628" t="n">
        <v>36.75</v>
      </c>
    </row>
    <row r="1920" ht="15.75" customHeight="1" s="2">
      <c r="A1920" s="462" t="inlineStr">
        <is>
          <t>Total hours for productivity</t>
        </is>
      </c>
      <c r="B1920" s="869" t="n">
        <v>735.5</v>
      </c>
      <c r="C1920" s="568" t="n">
        <v>778.5</v>
      </c>
      <c r="D1920" s="466" t="n">
        <v>845.5</v>
      </c>
      <c r="E1920" s="869" t="n">
        <v>735.5</v>
      </c>
      <c r="F1920" s="568" t="n">
        <v>827.75</v>
      </c>
      <c r="G1920" s="466" t="n">
        <v>874.5</v>
      </c>
      <c r="H1920" s="869" t="n">
        <v>779.25</v>
      </c>
      <c r="I1920" s="568" t="n">
        <v>977.75</v>
      </c>
      <c r="J1920" s="472" t="n">
        <v>886</v>
      </c>
      <c r="K1920" s="869" t="n">
        <v>768</v>
      </c>
      <c r="L1920" s="568" t="n">
        <v>820.75</v>
      </c>
      <c r="M1920" s="466" t="n">
        <v>892.5</v>
      </c>
      <c r="N1920" s="485" t="n">
        <v>751.25</v>
      </c>
      <c r="O1920" s="568" t="n">
        <v>872.75</v>
      </c>
      <c r="P1920" s="466" t="n">
        <v>928.5</v>
      </c>
    </row>
    <row r="1921" ht="15.75" customHeight="1" s="2">
      <c r="A1921" s="462" t="inlineStr">
        <is>
          <t>Training Hours used</t>
        </is>
      </c>
      <c r="B1921" s="870" t="n">
        <v>0</v>
      </c>
      <c r="C1921" s="569" t="n">
        <v>20</v>
      </c>
      <c r="D1921" s="466" t="n">
        <v>21.5</v>
      </c>
      <c r="E1921" s="466" t="n">
        <v>0</v>
      </c>
      <c r="F1921" s="569" t="n">
        <v>36</v>
      </c>
      <c r="G1921" s="466" t="n">
        <v>37.5</v>
      </c>
      <c r="H1921" s="466" t="n">
        <v>28.5</v>
      </c>
      <c r="I1921" s="569" t="n">
        <v>63.5</v>
      </c>
      <c r="J1921" s="466" t="n">
        <v>41</v>
      </c>
      <c r="K1921" s="870" t="n">
        <v>13</v>
      </c>
      <c r="L1921" s="569" t="n">
        <v>42.5</v>
      </c>
      <c r="M1921" s="466" t="n">
        <v>80</v>
      </c>
      <c r="N1921" s="485" t="n"/>
      <c r="O1921" s="569" t="n"/>
      <c r="P1921" s="466" t="n"/>
    </row>
    <row r="1922" ht="15.75" customHeight="1" s="2" thickBot="1">
      <c r="A1922" s="474" t="inlineStr">
        <is>
          <t>Number of hours used to cover sick leave</t>
        </is>
      </c>
      <c r="B1922" s="813" t="n">
        <v>9.5</v>
      </c>
      <c r="C1922" s="570" t="n"/>
      <c r="D1922" s="476" t="n"/>
      <c r="E1922" s="476" t="n">
        <v>0</v>
      </c>
      <c r="F1922" s="570" t="n">
        <v>0</v>
      </c>
      <c r="G1922" s="476" t="n"/>
      <c r="H1922" s="476" t="n"/>
      <c r="I1922" s="570" t="n">
        <v>17.5</v>
      </c>
      <c r="J1922" s="476" t="n"/>
      <c r="K1922" s="813" t="n"/>
      <c r="L1922" s="570" t="n">
        <v>4.5</v>
      </c>
      <c r="M1922" s="476" t="n"/>
      <c r="N1922" s="490" t="n">
        <v>59.5</v>
      </c>
      <c r="O1922" s="570" t="n"/>
      <c r="P1922" s="476" t="n"/>
    </row>
    <row r="1923" ht="15.75" customHeight="1" s="2" thickBot="1">
      <c r="A1923" s="477" t="inlineStr">
        <is>
          <t xml:space="preserve">Minimum Hours </t>
        </is>
      </c>
      <c r="B1923" s="836" t="inlineStr">
        <is>
          <t>60% Hours</t>
        </is>
      </c>
      <c r="C1923" s="816" t="inlineStr">
        <is>
          <t>Projected</t>
        </is>
      </c>
      <c r="D1923" s="817" t="inlineStr">
        <is>
          <t>Rostered</t>
        </is>
      </c>
      <c r="E1923" s="836" t="inlineStr">
        <is>
          <t>60% Hours</t>
        </is>
      </c>
      <c r="F1923" s="816" t="inlineStr">
        <is>
          <t>Projected</t>
        </is>
      </c>
      <c r="G1923" s="817" t="inlineStr">
        <is>
          <t>Rostered</t>
        </is>
      </c>
      <c r="H1923" s="836" t="inlineStr">
        <is>
          <t>60% Hours</t>
        </is>
      </c>
      <c r="I1923" s="816" t="inlineStr">
        <is>
          <t>Projected</t>
        </is>
      </c>
      <c r="J1923" s="817" t="inlineStr">
        <is>
          <t>Rostered</t>
        </is>
      </c>
      <c r="K1923" s="836" t="inlineStr">
        <is>
          <t>60% Hours</t>
        </is>
      </c>
      <c r="L1923" s="816" t="inlineStr">
        <is>
          <t>Projected</t>
        </is>
      </c>
      <c r="M1923" s="817" t="inlineStr">
        <is>
          <t>Rostered</t>
        </is>
      </c>
      <c r="N1923" s="836" t="inlineStr">
        <is>
          <t>60% Hours</t>
        </is>
      </c>
      <c r="O1923" s="816" t="inlineStr">
        <is>
          <t>Projected</t>
        </is>
      </c>
      <c r="P1923" s="817" t="inlineStr">
        <is>
          <t>Rostered</t>
        </is>
      </c>
    </row>
    <row r="1924" ht="15.75" customHeight="1" s="2">
      <c r="A1924" s="479" t="inlineStr">
        <is>
          <t>Floor</t>
        </is>
      </c>
      <c r="B1924" s="855" t="n"/>
      <c r="C1924" s="810" t="n">
        <v>339</v>
      </c>
      <c r="D1924" s="811" t="n">
        <v>468</v>
      </c>
      <c r="E1924" s="855" t="n"/>
      <c r="F1924" s="810" t="n">
        <v>339</v>
      </c>
      <c r="G1924" s="811" t="n">
        <v>468</v>
      </c>
      <c r="H1924" s="855" t="n"/>
      <c r="I1924" s="810" t="n">
        <v>447</v>
      </c>
      <c r="J1924" s="811" t="n">
        <v>496</v>
      </c>
      <c r="K1924" s="855" t="n"/>
      <c r="L1924" s="810" t="n">
        <v>345</v>
      </c>
      <c r="M1924" s="811" t="n">
        <v>501</v>
      </c>
      <c r="N1924" s="855" t="n"/>
      <c r="O1924" s="810" t="n">
        <v>468</v>
      </c>
      <c r="P1924" s="811" t="n">
        <v>535</v>
      </c>
    </row>
    <row r="1925" ht="15.75" customHeight="1" s="2" thickBot="1">
      <c r="A1925" s="481" t="inlineStr">
        <is>
          <t>Kitchen</t>
        </is>
      </c>
      <c r="B1925" s="856" t="n"/>
      <c r="C1925" s="813" t="n">
        <v>277</v>
      </c>
      <c r="D1925" s="814" t="n">
        <v>378</v>
      </c>
      <c r="E1925" s="856" t="n"/>
      <c r="F1925" s="840" t="n">
        <v>277</v>
      </c>
      <c r="G1925" s="814" t="n">
        <v>386.5</v>
      </c>
      <c r="H1925" s="856" t="n"/>
      <c r="I1925" s="813" t="n"/>
      <c r="J1925" s="814" t="n"/>
      <c r="K1925" s="856" t="n"/>
      <c r="L1925" s="813" t="n">
        <v>382</v>
      </c>
      <c r="M1925" s="814" t="n">
        <v>392</v>
      </c>
      <c r="N1925" s="856" t="n"/>
      <c r="O1925" s="813" t="n">
        <v>383</v>
      </c>
      <c r="P1925" s="814" t="n">
        <v>394</v>
      </c>
    </row>
    <row r="1926" ht="15.75" customHeight="1" s="2" thickBot="1">
      <c r="A1926" s="834" t="n"/>
      <c r="B1926" s="836" t="inlineStr">
        <is>
          <t xml:space="preserve">Minimum </t>
        </is>
      </c>
      <c r="C1926" s="875" t="n"/>
      <c r="D1926" s="875" t="n"/>
      <c r="E1926" s="839" t="inlineStr">
        <is>
          <t>Minimum</t>
        </is>
      </c>
      <c r="F1926" s="875" t="n"/>
      <c r="G1926" s="875" t="n"/>
      <c r="H1926" s="839" t="inlineStr">
        <is>
          <t>Minimum</t>
        </is>
      </c>
      <c r="I1926" s="875" t="n"/>
      <c r="J1926" s="875" t="n"/>
      <c r="K1926" s="839" t="inlineStr">
        <is>
          <t>Minimum</t>
        </is>
      </c>
      <c r="L1926" s="875" t="n"/>
      <c r="M1926" s="875" t="n"/>
      <c r="N1926" s="839" t="n"/>
      <c r="O1926" s="835" t="n"/>
      <c r="P1926" s="835" t="n"/>
    </row>
    <row r="1927" ht="15.75" customHeight="1" s="2">
      <c r="A1927" s="834" t="n"/>
      <c r="B1927" s="837" t="n"/>
      <c r="C1927" s="875" t="n"/>
      <c r="D1927" s="875" t="n"/>
      <c r="E1927" s="837" t="n"/>
      <c r="F1927" s="875" t="n"/>
      <c r="G1927" s="875" t="n"/>
      <c r="H1927" s="837" t="n"/>
      <c r="I1927" s="875" t="n"/>
      <c r="J1927" s="875" t="n"/>
      <c r="K1927" s="837" t="n"/>
      <c r="L1927" s="875" t="n"/>
      <c r="M1927" s="875" t="n"/>
      <c r="N1927" s="837" t="n"/>
      <c r="O1927" s="835" t="n"/>
      <c r="P1927" s="835" t="n"/>
    </row>
    <row r="1928" ht="15.75" customHeight="1" s="2" thickBot="1">
      <c r="B1928" s="838" t="n"/>
      <c r="C1928" s="876" t="n"/>
      <c r="D1928" s="876" t="n"/>
      <c r="E1928" s="838" t="n"/>
      <c r="F1928" s="876" t="n"/>
      <c r="G1928" s="876" t="n"/>
      <c r="H1928" s="838" t="n"/>
      <c r="I1928" s="876" t="n"/>
      <c r="J1928" s="876" t="n"/>
      <c r="K1928" s="838" t="n"/>
      <c r="L1928" s="876" t="n"/>
      <c r="M1928" s="876" t="n"/>
      <c r="N1928" s="838" t="n"/>
    </row>
    <row r="1929" ht="15.75" customHeight="1" s="2" thickBot="1">
      <c r="A1929" s="506" t="inlineStr">
        <is>
          <t>Training explanation</t>
        </is>
      </c>
      <c r="C1929" s="523" t="inlineStr">
        <is>
          <t>Floor</t>
        </is>
      </c>
      <c r="D1929" s="524" t="inlineStr">
        <is>
          <t>Kitchen</t>
        </is>
      </c>
      <c r="E1929" s="509" t="n"/>
      <c r="F1929" s="507" t="inlineStr">
        <is>
          <t>Floor</t>
        </is>
      </c>
      <c r="G1929" s="508" t="inlineStr">
        <is>
          <t>Kitchen</t>
        </is>
      </c>
      <c r="H1929" s="510" t="n"/>
      <c r="I1929" s="535" t="n"/>
      <c r="J1929" s="511" t="n"/>
      <c r="K1929" s="512" t="n"/>
      <c r="L1929" s="535" t="inlineStr">
        <is>
          <t>kitchen</t>
        </is>
      </c>
      <c r="M1929" s="513" t="n"/>
      <c r="N1929" s="512" t="n"/>
      <c r="O1929" s="535" t="inlineStr">
        <is>
          <t>kitchen</t>
        </is>
      </c>
      <c r="P1929" s="513" t="n"/>
    </row>
    <row r="1930" ht="15.75" customHeight="1" s="2">
      <c r="A1930" s="506" t="inlineStr">
        <is>
          <t>Who is being Trained</t>
        </is>
      </c>
      <c r="C1930" s="525" t="inlineStr">
        <is>
          <t>New Start (21.5)</t>
        </is>
      </c>
      <c r="D1930" s="527" t="n"/>
      <c r="E1930" s="514" t="n"/>
      <c r="F1930" s="525" t="inlineStr">
        <is>
          <t>Bar(7)</t>
        </is>
      </c>
      <c r="G1930" s="527" t="n"/>
      <c r="H1930" s="515" t="n"/>
      <c r="I1930" s="531" t="n"/>
      <c r="J1930" s="824" t="n"/>
      <c r="K1930" s="515" t="n"/>
      <c r="L1930" s="536" t="n"/>
      <c r="M1930" s="532" t="n"/>
      <c r="N1930" s="515" t="n"/>
      <c r="O1930" s="536" t="n"/>
      <c r="P1930" s="532" t="n"/>
    </row>
    <row r="1931" ht="15.75" customHeight="1" s="2">
      <c r="C1931" s="550" t="n"/>
      <c r="D1931" s="526" t="n"/>
      <c r="E1931" s="514" t="n"/>
      <c r="F1931" s="891" t="inlineStr">
        <is>
          <t>New Starter (29)</t>
        </is>
      </c>
      <c r="G1931" s="526" t="n"/>
      <c r="H1931" s="516" t="n"/>
      <c r="I1931" s="537" t="n"/>
      <c r="J1931" s="530" t="n"/>
      <c r="K1931" s="516" t="n"/>
      <c r="L1931" s="542" t="n"/>
      <c r="M1931" s="530" t="n"/>
      <c r="N1931" s="516" t="n"/>
      <c r="O1931" s="542" t="n"/>
      <c r="P1931" s="530" t="n"/>
    </row>
    <row r="1932" ht="15.75" customHeight="1" s="2">
      <c r="C1932" s="550" t="n"/>
      <c r="D1932" s="527" t="n"/>
      <c r="E1932" s="514" t="n"/>
      <c r="F1932" s="531" t="n"/>
      <c r="G1932" s="530" t="n"/>
      <c r="H1932" s="516" t="n"/>
      <c r="I1932" s="537" t="n"/>
      <c r="J1932" s="530" t="n"/>
      <c r="K1932" s="516" t="n"/>
      <c r="L1932" s="542" t="n"/>
      <c r="M1932" s="539" t="n"/>
      <c r="N1932" s="516" t="n"/>
      <c r="O1932" s="542" t="n"/>
      <c r="P1932" s="539" t="n"/>
    </row>
    <row r="1933" ht="15.75" customHeight="1" s="2">
      <c r="C1933" s="551" t="n"/>
      <c r="D1933" s="561" t="n"/>
      <c r="E1933" s="519" t="n"/>
      <c r="F1933" s="517" t="n"/>
      <c r="G1933" s="518" t="n"/>
      <c r="H1933" s="516" t="n"/>
      <c r="I1933" s="537" t="n"/>
      <c r="J1933" s="530" t="n"/>
      <c r="K1933" s="516" t="n"/>
      <c r="L1933" s="537" t="n"/>
      <c r="M1933" s="539" t="n"/>
      <c r="N1933" s="516" t="n"/>
      <c r="O1933" s="537" t="n"/>
      <c r="P1933" s="539" t="n"/>
    </row>
    <row r="1934" ht="15.75" customHeight="1" s="2">
      <c r="C1934" s="551" t="n"/>
      <c r="D1934" s="528" t="n"/>
      <c r="E1934" s="519" t="n"/>
      <c r="F1934" s="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934" s="518" t="n"/>
      <c r="H1934" s="516" t="n"/>
      <c r="I1934" s="537" t="n"/>
      <c r="J1934" s="533" t="n"/>
      <c r="K1934" s="516" t="n"/>
      <c r="L1934" s="537" t="n"/>
      <c r="M1934" s="540" t="n"/>
      <c r="N1934" s="516" t="n"/>
      <c r="O1934" s="537" t="n"/>
      <c r="P1934" s="540" t="n"/>
    </row>
    <row r="1935" ht="15.75" customHeight="1" s="2" thickBot="1">
      <c r="C1935" s="562" t="n"/>
      <c r="D1935" s="529" t="n"/>
      <c r="E1935" s="519" t="n"/>
      <c r="F1935" s="520" t="n"/>
      <c r="G1935" s="521" t="n"/>
      <c r="H1935" s="516" t="n"/>
      <c r="I1935" s="538" t="n"/>
      <c r="J1935" s="534" t="n"/>
      <c r="K1935" s="522" t="n"/>
      <c r="L1935" s="538" t="n"/>
      <c r="M1935" s="541" t="n"/>
      <c r="N1935" s="522" t="n"/>
      <c r="O1935" s="538" t="n"/>
      <c r="P1935" s="541" t="n"/>
    </row>
    <row r="1936" ht="15.75" customHeight="1" s="2" thickBot="1"/>
    <row r="1937" ht="15.75" customHeight="1" s="2" thickBot="1">
      <c r="B1937" s="1652" t="inlineStr">
        <is>
          <t>22.11.21</t>
        </is>
      </c>
      <c r="C1937" s="1641" t="n"/>
      <c r="D1937" s="1502" t="n"/>
      <c r="E1937" s="1640" t="inlineStr">
        <is>
          <t>29.11.21</t>
        </is>
      </c>
      <c r="F1937" s="1641" t="n"/>
      <c r="G1937" s="1502" t="n"/>
      <c r="H1937" s="1640" t="inlineStr">
        <is>
          <t>6.12.21</t>
        </is>
      </c>
      <c r="I1937" s="1641" t="n"/>
      <c r="J1937" s="1502" t="n"/>
      <c r="K1937" s="1640" t="inlineStr">
        <is>
          <t>13.12.21</t>
        </is>
      </c>
      <c r="L1937" s="1641" t="n"/>
      <c r="M1937" s="1502" t="n"/>
      <c r="N1937" s="1640" t="n"/>
      <c r="O1937" s="1641" t="n"/>
      <c r="P1937" s="1502" t="n"/>
    </row>
    <row r="1938" ht="15.75" customHeight="1" s="2" thickBot="1">
      <c r="A1938" s="455" t="n"/>
      <c r="B1938" s="872" t="inlineStr">
        <is>
          <t>LAST YEAR</t>
        </is>
      </c>
      <c r="C1938" s="873" t="inlineStr">
        <is>
          <t>Actual</t>
        </is>
      </c>
      <c r="D1938" s="874" t="inlineStr">
        <is>
          <t>Projected</t>
        </is>
      </c>
      <c r="E1938" s="872" t="inlineStr">
        <is>
          <t>LAST YEAR</t>
        </is>
      </c>
      <c r="F1938" s="873" t="inlineStr">
        <is>
          <t>Actual</t>
        </is>
      </c>
      <c r="G1938" s="874" t="inlineStr">
        <is>
          <t>Projected</t>
        </is>
      </c>
      <c r="H1938" s="872" t="inlineStr">
        <is>
          <t>LAST YEAR</t>
        </is>
      </c>
      <c r="I1938" s="873" t="inlineStr">
        <is>
          <t>Actual</t>
        </is>
      </c>
      <c r="J1938" s="874" t="inlineStr">
        <is>
          <t>Projected</t>
        </is>
      </c>
      <c r="K1938" s="872" t="inlineStr">
        <is>
          <t>LAST YEAR</t>
        </is>
      </c>
      <c r="L1938" s="873" t="inlineStr">
        <is>
          <t>Actual</t>
        </is>
      </c>
      <c r="M1938" s="874" t="inlineStr">
        <is>
          <t>Projected</t>
        </is>
      </c>
      <c r="N1938" s="872" t="inlineStr">
        <is>
          <t>LAST YEAR</t>
        </is>
      </c>
      <c r="O1938" s="873" t="inlineStr">
        <is>
          <t>Actual</t>
        </is>
      </c>
      <c r="P1938" s="874" t="inlineStr">
        <is>
          <t>Projected</t>
        </is>
      </c>
    </row>
    <row r="1939" ht="15.75" customHeight="1" s="2">
      <c r="A1939" s="459" t="inlineStr">
        <is>
          <t>Total Receipts</t>
        </is>
      </c>
      <c r="B1939" s="1653" t="n">
        <v>75780.17</v>
      </c>
      <c r="C1939" s="1631" t="n">
        <v>82174.11</v>
      </c>
      <c r="D1939" s="1622" t="n">
        <v>76659</v>
      </c>
      <c r="E1939" s="1644" t="n">
        <v>71771.86</v>
      </c>
      <c r="F1939" s="1631" t="n">
        <v>85038</v>
      </c>
      <c r="G1939" s="1645" t="n">
        <v>82338</v>
      </c>
      <c r="H1939" s="1644" t="n">
        <v>103108.17</v>
      </c>
      <c r="I1939" s="1631" t="n">
        <v>101087</v>
      </c>
      <c r="J1939" s="1622" t="n">
        <v>94197</v>
      </c>
      <c r="K1939" s="1644" t="n">
        <v>116120.9</v>
      </c>
      <c r="L1939" s="1643" t="n">
        <v>119029</v>
      </c>
      <c r="M1939" s="1645" t="n">
        <v>102499</v>
      </c>
      <c r="N1939" s="1620" t="n"/>
      <c r="O1939" s="1631" t="n"/>
      <c r="P1939" s="1622" t="n"/>
    </row>
    <row r="1940" ht="15.75" customHeight="1" s="2">
      <c r="A1940" s="462" t="inlineStr">
        <is>
          <t>Nett Sales</t>
        </is>
      </c>
      <c r="B1940" s="1646" t="n">
        <v>68891.06</v>
      </c>
      <c r="C1940" s="1632" t="n">
        <v>74703</v>
      </c>
      <c r="D1940" s="1625" t="n">
        <v>72417</v>
      </c>
      <c r="E1940" s="1646" t="n">
        <v>65247.15</v>
      </c>
      <c r="F1940" s="1632" t="n">
        <v>77307</v>
      </c>
      <c r="G1940" s="1637" t="n">
        <v>74852</v>
      </c>
      <c r="H1940" s="1646" t="n">
        <v>93734.7</v>
      </c>
      <c r="I1940" s="1632" t="n">
        <v>91897</v>
      </c>
      <c r="J1940" s="1625" t="n">
        <v>85633</v>
      </c>
      <c r="K1940" s="1646" t="n">
        <v>105564.45</v>
      </c>
      <c r="L1940" s="1632" t="n">
        <v>108208</v>
      </c>
      <c r="M1940" s="1625" t="n">
        <v>93180.89999999999</v>
      </c>
      <c r="N1940" s="1623" t="n"/>
      <c r="O1940" s="1632" t="n"/>
      <c r="P1940" s="1625" t="n"/>
    </row>
    <row r="1941" ht="15.75" customHeight="1" s="2">
      <c r="A1941" s="462" t="inlineStr">
        <is>
          <t>Customers</t>
        </is>
      </c>
      <c r="B1941" s="866" t="n">
        <v>3313</v>
      </c>
      <c r="C1941" s="565" t="n">
        <v>3448</v>
      </c>
      <c r="D1941" s="466" t="n">
        <v>3345</v>
      </c>
      <c r="E1941" s="866" t="n">
        <v>3141</v>
      </c>
      <c r="F1941" s="565" t="n">
        <v>3647</v>
      </c>
      <c r="G1941" s="466" t="n">
        <v>3530</v>
      </c>
      <c r="H1941" s="866" t="n">
        <v>4458</v>
      </c>
      <c r="I1941" s="565" t="n">
        <v>4570</v>
      </c>
      <c r="J1941" s="466" t="n">
        <v>4065</v>
      </c>
      <c r="K1941" s="866" t="n">
        <v>4663</v>
      </c>
      <c r="L1941" s="565" t="n">
        <v>4976</v>
      </c>
      <c r="M1941" s="466" t="n">
        <v>4540</v>
      </c>
      <c r="N1941" s="485" t="n"/>
      <c r="O1941" s="565" t="n"/>
      <c r="P1941" s="466" t="n"/>
    </row>
    <row r="1942" ht="15.75" customHeight="1" s="2">
      <c r="A1942" s="462" t="inlineStr">
        <is>
          <t>Average Customer Spend</t>
        </is>
      </c>
      <c r="B1942" s="1654" t="n">
        <v>22.87</v>
      </c>
      <c r="C1942" s="1635" t="n">
        <v>23.85</v>
      </c>
      <c r="D1942" s="1628" t="n">
        <v>23.81</v>
      </c>
      <c r="E1942" s="1648" t="n">
        <v>22.85</v>
      </c>
      <c r="F1942" s="1635" t="n">
        <v>23.7</v>
      </c>
      <c r="G1942" s="1649" t="n">
        <v>23.33</v>
      </c>
      <c r="H1942" s="1648" t="n">
        <v>23.13</v>
      </c>
      <c r="I1942" s="1635" t="n">
        <v>21.88</v>
      </c>
      <c r="J1942" s="1628" t="n">
        <v>23.17</v>
      </c>
      <c r="K1942" s="1648" t="n">
        <v>23.4</v>
      </c>
      <c r="L1942" s="1647" t="n">
        <v>23.93</v>
      </c>
      <c r="M1942" s="1649" t="n">
        <v>22.58</v>
      </c>
      <c r="N1942" s="1626" t="n"/>
      <c r="O1942" s="1635" t="n"/>
      <c r="P1942" s="1628" t="n"/>
    </row>
    <row r="1943" ht="15.75" customHeight="1" s="2">
      <c r="A1943" s="462" t="inlineStr">
        <is>
          <t>Wage % to Total Receipts</t>
        </is>
      </c>
      <c r="B1943" s="890" t="n">
        <v>0.3809</v>
      </c>
      <c r="C1943" s="567" t="n">
        <v>0.4026</v>
      </c>
      <c r="D1943" s="470" t="n">
        <v>0.429</v>
      </c>
      <c r="E1943" s="868" t="n">
        <v>0.4015</v>
      </c>
      <c r="F1943" s="567" t="n">
        <v>0.3561</v>
      </c>
      <c r="G1943" s="863" t="n">
        <v>0.4095</v>
      </c>
      <c r="H1943" s="868" t="n">
        <v>0.3082</v>
      </c>
      <c r="I1943" s="567" t="n">
        <v>0.3155</v>
      </c>
      <c r="J1943" s="470" t="n">
        <v>0.3529</v>
      </c>
      <c r="K1943" s="868" t="n">
        <v>0.3048</v>
      </c>
      <c r="L1943" s="860" t="n">
        <v>0.2882</v>
      </c>
      <c r="M1943" s="863" t="n">
        <v>0.3489</v>
      </c>
      <c r="N1943" s="487" t="n"/>
      <c r="O1943" s="567" t="n"/>
      <c r="P1943" s="470" t="n"/>
    </row>
    <row r="1944" ht="15.75" customHeight="1" s="2">
      <c r="A1944" s="462" t="inlineStr">
        <is>
          <t>Wage % to Nett Sales</t>
        </is>
      </c>
      <c r="B1944" s="890" t="n">
        <v>0.419</v>
      </c>
      <c r="C1944" s="567" t="n">
        <v>0.4428</v>
      </c>
      <c r="D1944" s="470" t="n">
        <v>0.472</v>
      </c>
      <c r="E1944" s="868" t="n">
        <v>0.4416</v>
      </c>
      <c r="F1944" s="567" t="n">
        <v>0.3918</v>
      </c>
      <c r="G1944" s="863" t="n">
        <v>0.4505</v>
      </c>
      <c r="H1944" s="868" t="n">
        <v>0.339</v>
      </c>
      <c r="I1944" s="567" t="n">
        <v>0.3471</v>
      </c>
      <c r="J1944" s="470" t="n">
        <v>0.3882</v>
      </c>
      <c r="K1944" s="868" t="n">
        <v>0.3353</v>
      </c>
      <c r="L1944" s="860" t="n">
        <v>0.3171</v>
      </c>
      <c r="M1944" s="863" t="n">
        <v>0.3838</v>
      </c>
      <c r="N1944" s="487" t="n"/>
      <c r="O1944" s="567" t="n"/>
      <c r="P1944" s="470" t="n"/>
    </row>
    <row r="1945" ht="15.75" customHeight="1" s="2">
      <c r="A1945" s="462" t="inlineStr">
        <is>
          <t>Productivity</t>
        </is>
      </c>
      <c r="B1945" s="869" t="n">
        <v>4.19</v>
      </c>
      <c r="C1945" s="568" t="n">
        <v>4.12</v>
      </c>
      <c r="D1945" s="472" t="n">
        <v>3.6</v>
      </c>
      <c r="E1945" s="869" t="n">
        <v>3.95</v>
      </c>
      <c r="F1945" s="568" t="n">
        <v>4.55</v>
      </c>
      <c r="G1945" s="472" t="n">
        <v>3.8</v>
      </c>
      <c r="H1945" s="869" t="n">
        <v>5.13</v>
      </c>
      <c r="I1945" s="568" t="n">
        <v>5.18</v>
      </c>
      <c r="J1945" s="472" t="n">
        <v>4.5</v>
      </c>
      <c r="K1945" s="869" t="n">
        <v>4.9</v>
      </c>
      <c r="L1945" s="568" t="n">
        <v>5.32</v>
      </c>
      <c r="M1945" s="472" t="n">
        <v>4.7</v>
      </c>
      <c r="N1945" s="488" t="n"/>
      <c r="O1945" s="568" t="n"/>
      <c r="P1945" s="472" t="n"/>
    </row>
    <row r="1946" ht="15.75" customHeight="1" s="2">
      <c r="A1946" s="462" t="inlineStr">
        <is>
          <t>Average Hourly Rate</t>
        </is>
      </c>
      <c r="B1946" s="869" t="n">
        <v>36.47</v>
      </c>
      <c r="C1946" s="568" t="n">
        <v>39.57</v>
      </c>
      <c r="D1946" s="1628" t="n">
        <v>36.75</v>
      </c>
      <c r="E1946" s="869" t="n">
        <v>36.2</v>
      </c>
      <c r="F1946" s="568" t="n">
        <v>37.81</v>
      </c>
      <c r="G1946" s="1628" t="n">
        <v>36.75</v>
      </c>
      <c r="H1946" s="869" t="n">
        <v>36.56</v>
      </c>
      <c r="I1946" s="568" t="n">
        <v>36.12</v>
      </c>
      <c r="J1946" s="1628" t="n">
        <v>37</v>
      </c>
      <c r="K1946" s="869" t="n">
        <v>34.96</v>
      </c>
      <c r="L1946" s="568" t="n">
        <v>36.66</v>
      </c>
      <c r="M1946" s="1649" t="n">
        <v>37</v>
      </c>
      <c r="N1946" s="1629" t="n"/>
      <c r="O1946" s="568" t="n"/>
      <c r="P1946" s="1628" t="n"/>
    </row>
    <row r="1947" ht="15.75" customHeight="1" s="2">
      <c r="A1947" s="462" t="inlineStr">
        <is>
          <t>Total hours for productivity</t>
        </is>
      </c>
      <c r="B1947" s="869" t="n">
        <v>791.5</v>
      </c>
      <c r="C1947" s="568" t="n">
        <v>836</v>
      </c>
      <c r="D1947" s="466" t="n">
        <v>930</v>
      </c>
      <c r="E1947" s="869" t="n">
        <v>796</v>
      </c>
      <c r="F1947" s="568" t="n">
        <v>801</v>
      </c>
      <c r="G1947" s="466" t="n">
        <v>917.5</v>
      </c>
      <c r="H1947" s="869" t="n">
        <v>869.25</v>
      </c>
      <c r="I1947" s="568" t="n">
        <v>883</v>
      </c>
      <c r="J1947" s="472" t="n">
        <v>898.5</v>
      </c>
      <c r="K1947" s="869" t="n">
        <v>1012.25</v>
      </c>
      <c r="L1947" s="568" t="n">
        <v>935.75</v>
      </c>
      <c r="M1947" s="466" t="n">
        <v>966.5</v>
      </c>
      <c r="N1947" s="485" t="n"/>
      <c r="O1947" s="568" t="n"/>
      <c r="P1947" s="466" t="n"/>
    </row>
    <row r="1948" ht="15.75" customHeight="1" s="2">
      <c r="A1948" s="462" t="inlineStr">
        <is>
          <t>Training Hours used</t>
        </is>
      </c>
      <c r="B1948" s="870" t="n">
        <v>37</v>
      </c>
      <c r="C1948" s="569" t="n">
        <v>80.25</v>
      </c>
      <c r="D1948" s="466" t="n">
        <v>50</v>
      </c>
      <c r="E1948" s="466" t="n">
        <v>30</v>
      </c>
      <c r="F1948" s="569" t="n">
        <v>29.25</v>
      </c>
      <c r="G1948" s="466" t="n">
        <v>14</v>
      </c>
      <c r="H1948" s="466" t="n">
        <v>5</v>
      </c>
      <c r="I1948" s="569" t="n">
        <v>45</v>
      </c>
      <c r="J1948" s="466" t="n"/>
      <c r="K1948" s="870" t="n">
        <v>0</v>
      </c>
      <c r="L1948" s="569" t="n">
        <v>34.75</v>
      </c>
      <c r="M1948" s="466" t="n"/>
      <c r="N1948" s="485" t="n"/>
      <c r="O1948" s="569" t="n"/>
      <c r="P1948" s="466" t="n"/>
    </row>
    <row r="1949" ht="15.75" customHeight="1" s="2" thickBot="1">
      <c r="A1949" s="474" t="inlineStr">
        <is>
          <t>Number of hours used to cover sick leave</t>
        </is>
      </c>
      <c r="B1949" s="813" t="n"/>
      <c r="C1949" s="570" t="n">
        <v>31.5</v>
      </c>
      <c r="D1949" s="476" t="n"/>
      <c r="E1949" s="476" t="n">
        <v>24.5</v>
      </c>
      <c r="F1949" s="570" t="n">
        <v>20.5</v>
      </c>
      <c r="G1949" s="476" t="n"/>
      <c r="H1949" s="476" t="n">
        <v>30</v>
      </c>
      <c r="I1949" s="570" t="n"/>
      <c r="J1949" s="476" t="n"/>
      <c r="K1949" s="813" t="n">
        <v>0</v>
      </c>
      <c r="L1949" s="570" t="n"/>
      <c r="M1949" s="476" t="n"/>
      <c r="N1949" s="490" t="n"/>
      <c r="O1949" s="570" t="n"/>
      <c r="P1949" s="476" t="n"/>
    </row>
    <row r="1950" ht="15.75" customHeight="1" s="2" thickBot="1">
      <c r="A1950" s="477" t="inlineStr">
        <is>
          <t xml:space="preserve">Minimum Hours </t>
        </is>
      </c>
      <c r="B1950" s="836" t="inlineStr">
        <is>
          <t>60% Hours</t>
        </is>
      </c>
      <c r="C1950" s="816" t="inlineStr">
        <is>
          <t>Projected</t>
        </is>
      </c>
      <c r="D1950" s="817" t="inlineStr">
        <is>
          <t>Rostered</t>
        </is>
      </c>
      <c r="E1950" s="836" t="inlineStr">
        <is>
          <t>60% Hours</t>
        </is>
      </c>
      <c r="F1950" s="816" t="inlineStr">
        <is>
          <t>Projected</t>
        </is>
      </c>
      <c r="G1950" s="817" t="inlineStr">
        <is>
          <t>Rostered</t>
        </is>
      </c>
      <c r="H1950" s="836" t="inlineStr">
        <is>
          <t>60% Hours</t>
        </is>
      </c>
      <c r="I1950" s="816" t="inlineStr">
        <is>
          <t>Projected</t>
        </is>
      </c>
      <c r="J1950" s="817" t="inlineStr">
        <is>
          <t>Rostered</t>
        </is>
      </c>
      <c r="K1950" s="836" t="inlineStr">
        <is>
          <t>60% Hours</t>
        </is>
      </c>
      <c r="L1950" s="816" t="inlineStr">
        <is>
          <t>Projected</t>
        </is>
      </c>
      <c r="M1950" s="817" t="inlineStr">
        <is>
          <t>Rostered</t>
        </is>
      </c>
      <c r="N1950" s="836" t="inlineStr">
        <is>
          <t>60% Hours</t>
        </is>
      </c>
      <c r="O1950" s="816" t="inlineStr">
        <is>
          <t>Projected</t>
        </is>
      </c>
      <c r="P1950" s="817" t="inlineStr">
        <is>
          <t>Rostered</t>
        </is>
      </c>
    </row>
    <row r="1951" ht="15.75" customHeight="1" s="2">
      <c r="A1951" s="479" t="inlineStr">
        <is>
          <t>Floor</t>
        </is>
      </c>
      <c r="B1951" s="855" t="n"/>
      <c r="C1951" s="810" t="n">
        <v>433</v>
      </c>
      <c r="D1951" s="811" t="n">
        <v>545</v>
      </c>
      <c r="E1951" s="855" t="n"/>
      <c r="F1951" s="810" t="n">
        <v>457</v>
      </c>
      <c r="G1951" s="811" t="n">
        <v>533</v>
      </c>
      <c r="H1951" s="855" t="n"/>
      <c r="I1951" s="810" t="n">
        <v>526</v>
      </c>
      <c r="J1951" s="811" t="n">
        <v>533</v>
      </c>
      <c r="K1951" s="855" t="n"/>
      <c r="L1951" s="810" t="n">
        <v>588</v>
      </c>
      <c r="M1951" s="811" t="n">
        <v>594</v>
      </c>
      <c r="N1951" s="855" t="n"/>
      <c r="O1951" s="810" t="n"/>
      <c r="P1951" s="811" t="n"/>
    </row>
    <row r="1952" ht="15.75" customHeight="1" s="2" thickBot="1">
      <c r="A1952" s="481" t="inlineStr">
        <is>
          <t>Kitchen</t>
        </is>
      </c>
      <c r="B1952" s="856" t="n"/>
      <c r="C1952" s="813" t="n">
        <v>354</v>
      </c>
      <c r="D1952" s="814" t="n">
        <v>386</v>
      </c>
      <c r="E1952" s="856" t="n"/>
      <c r="F1952" s="840" t="n">
        <v>374</v>
      </c>
      <c r="G1952" s="814" t="n">
        <v>385</v>
      </c>
      <c r="H1952" s="856" t="n"/>
      <c r="I1952" s="813" t="n">
        <v>430</v>
      </c>
      <c r="J1952" s="814" t="n">
        <v>366</v>
      </c>
      <c r="K1952" s="856" t="n"/>
      <c r="L1952" s="813" t="n">
        <v>481</v>
      </c>
      <c r="M1952" s="814" t="n">
        <v>373</v>
      </c>
      <c r="N1952" s="856" t="n"/>
      <c r="O1952" s="813" t="n"/>
      <c r="P1952" s="814" t="n"/>
    </row>
    <row r="1953" ht="15.75" customHeight="1" s="2" thickBot="1">
      <c r="A1953" s="834" t="n"/>
      <c r="B1953" s="836" t="inlineStr">
        <is>
          <t xml:space="preserve">Minimum </t>
        </is>
      </c>
      <c r="C1953" s="875" t="n"/>
      <c r="D1953" s="875" t="n"/>
      <c r="E1953" s="839" t="inlineStr">
        <is>
          <t>Minimum</t>
        </is>
      </c>
      <c r="F1953" s="875" t="n"/>
      <c r="G1953" s="875" t="n"/>
      <c r="H1953" s="839" t="inlineStr">
        <is>
          <t>Minimum</t>
        </is>
      </c>
      <c r="I1953" s="875" t="n"/>
      <c r="J1953" s="875" t="n"/>
      <c r="K1953" s="839" t="inlineStr">
        <is>
          <t>Minimum</t>
        </is>
      </c>
      <c r="L1953" s="875" t="n"/>
      <c r="M1953" s="875" t="n"/>
      <c r="N1953" s="839" t="n"/>
      <c r="O1953" s="835" t="n"/>
      <c r="P1953" s="835" t="n"/>
    </row>
    <row r="1954" ht="15.75" customHeight="1" s="2">
      <c r="A1954" s="834" t="n"/>
      <c r="B1954" s="837" t="n"/>
      <c r="C1954" s="875" t="n"/>
      <c r="D1954" s="875" t="n"/>
      <c r="E1954" s="837" t="n"/>
      <c r="F1954" s="875" t="n"/>
      <c r="G1954" s="875" t="n"/>
      <c r="H1954" s="837" t="n"/>
      <c r="I1954" s="875" t="n"/>
      <c r="J1954" s="875" t="n"/>
      <c r="K1954" s="837" t="n"/>
      <c r="L1954" s="875" t="n"/>
      <c r="M1954" s="875" t="n"/>
      <c r="N1954" s="837" t="n"/>
      <c r="O1954" s="835" t="n"/>
      <c r="P1954" s="835" t="n"/>
    </row>
    <row r="1955" ht="15.75" customHeight="1" s="2" thickBot="1">
      <c r="B1955" s="838" t="n"/>
      <c r="C1955" s="876" t="n"/>
      <c r="D1955" s="876" t="n"/>
      <c r="E1955" s="838" t="n"/>
      <c r="F1955" s="876" t="n"/>
      <c r="G1955" s="876" t="n"/>
      <c r="H1955" s="838" t="n"/>
      <c r="I1955" s="876" t="n"/>
      <c r="J1955" s="876" t="n"/>
      <c r="K1955" s="838" t="n"/>
      <c r="L1955" s="876" t="n"/>
      <c r="M1955" s="876" t="n"/>
      <c r="N1955" s="838" t="n"/>
    </row>
    <row r="1956" ht="15.75" customHeight="1" s="2" thickBot="1">
      <c r="A1956" s="506" t="inlineStr">
        <is>
          <t>Training explanation</t>
        </is>
      </c>
      <c r="C1956" s="523" t="inlineStr">
        <is>
          <t>Floor</t>
        </is>
      </c>
      <c r="D1956" s="524" t="inlineStr">
        <is>
          <t>Kitchen</t>
        </is>
      </c>
      <c r="E1956" s="509" t="n"/>
      <c r="F1956" s="507" t="inlineStr">
        <is>
          <t>Floor</t>
        </is>
      </c>
      <c r="G1956" s="508" t="inlineStr">
        <is>
          <t>Kitchen</t>
        </is>
      </c>
      <c r="H1956" s="510" t="n"/>
      <c r="I1956" s="535" t="n"/>
      <c r="J1956" s="511" t="n"/>
      <c r="K1956" s="512" t="n"/>
      <c r="L1956" s="535" t="inlineStr">
        <is>
          <t>kitchen</t>
        </is>
      </c>
      <c r="M1956" s="513" t="n"/>
      <c r="N1956" s="512" t="n"/>
      <c r="O1956" s="535" t="inlineStr">
        <is>
          <t>kitchen</t>
        </is>
      </c>
      <c r="P1956" s="513" t="n"/>
    </row>
    <row r="1957" ht="15.75" customHeight="1" s="2">
      <c r="A1957" s="506" t="inlineStr">
        <is>
          <t>Who is being Trained</t>
        </is>
      </c>
      <c r="C1957" s="525" t="inlineStr">
        <is>
          <t>New Start (21.5)</t>
        </is>
      </c>
      <c r="D1957" s="527" t="n"/>
      <c r="E1957" s="514" t="n"/>
      <c r="F1957" s="525" t="inlineStr">
        <is>
          <t>Bar(7)</t>
        </is>
      </c>
      <c r="G1957" s="527" t="n"/>
      <c r="H1957" s="515" t="n"/>
      <c r="I1957" s="531" t="n"/>
      <c r="J1957" s="824" t="n"/>
      <c r="K1957" s="515" t="n"/>
      <c r="L1957" s="536" t="n"/>
      <c r="M1957" s="532" t="n"/>
      <c r="N1957" s="515" t="n"/>
      <c r="O1957" s="536" t="n"/>
      <c r="P1957" s="532" t="n"/>
    </row>
    <row r="1958" ht="15.75" customHeight="1" s="2">
      <c r="C1958" s="891" t="inlineStr">
        <is>
          <t>bar 29.5</t>
        </is>
      </c>
      <c r="D1958" s="526" t="n"/>
      <c r="E1958" s="514" t="n"/>
      <c r="F1958" s="891" t="inlineStr">
        <is>
          <t>New Starter (29)</t>
        </is>
      </c>
      <c r="G1958" s="526" t="n"/>
      <c r="H1958" s="516" t="n"/>
      <c r="I1958" s="537" t="n"/>
      <c r="J1958" s="530" t="n"/>
      <c r="K1958" s="516" t="n"/>
      <c r="L1958" s="542" t="n"/>
      <c r="M1958" s="530" t="n"/>
      <c r="N1958" s="516" t="n"/>
      <c r="O1958" s="542" t="n"/>
      <c r="P1958" s="530" t="n"/>
    </row>
    <row r="1959" ht="15.75" customHeight="1" s="2">
      <c r="C1959" s="550" t="n"/>
      <c r="D1959" s="527" t="n"/>
      <c r="E1959" s="514" t="n"/>
      <c r="F1959" s="531" t="n"/>
      <c r="G1959" s="530" t="n"/>
      <c r="H1959" s="516" t="n"/>
      <c r="I1959" s="537" t="n"/>
      <c r="J1959" s="530" t="n"/>
      <c r="K1959" s="516" t="n"/>
      <c r="L1959" s="542" t="n"/>
      <c r="M1959" s="539" t="n"/>
      <c r="N1959" s="516" t="n"/>
      <c r="O1959" s="542" t="n"/>
      <c r="P1959" s="539" t="n"/>
    </row>
    <row r="1960" ht="15.75" customHeight="1" s="2">
      <c r="C1960" s="551" t="n"/>
      <c r="D1960" s="561" t="n"/>
      <c r="E1960" s="519" t="n"/>
      <c r="F1960" s="517" t="n"/>
      <c r="G1960" s="518" t="n"/>
      <c r="H1960" s="516" t="n"/>
      <c r="I1960" s="537" t="n"/>
      <c r="J1960" s="530" t="n"/>
      <c r="K1960" s="516" t="n"/>
      <c r="L1960" s="537" t="n"/>
      <c r="M1960" s="539" t="n"/>
      <c r="N1960" s="516" t="n"/>
      <c r="O1960" s="537" t="n"/>
      <c r="P1960" s="539" t="n"/>
    </row>
    <row r="1961" ht="15.75" customHeight="1" s="2">
      <c r="C1961" s="551" t="n"/>
      <c r="D1961" s="528" t="n"/>
      <c r="E1961" s="519" t="n"/>
      <c r="F1961" s="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961" s="518" t="n"/>
      <c r="H1961" s="516" t="n"/>
      <c r="I1961" s="537" t="n"/>
      <c r="J1961" s="533" t="n"/>
      <c r="K1961" s="516" t="n"/>
      <c r="L1961" s="537" t="n"/>
      <c r="M1961" s="540" t="n"/>
      <c r="N1961" s="516" t="n"/>
      <c r="O1961" s="537" t="n"/>
      <c r="P1961" s="540" t="n"/>
    </row>
    <row r="1962" ht="15.75" customHeight="1" s="2" thickBot="1">
      <c r="C1962" s="562" t="n"/>
      <c r="D1962" s="529" t="n"/>
      <c r="E1962" s="519" t="n"/>
      <c r="F1962" s="520" t="n"/>
      <c r="G1962" s="521" t="n"/>
      <c r="H1962" s="516" t="n"/>
      <c r="I1962" s="538" t="n"/>
      <c r="J1962" s="534" t="n"/>
      <c r="K1962" s="522" t="n"/>
      <c r="L1962" s="538" t="n"/>
      <c r="M1962" s="541" t="n"/>
      <c r="N1962" s="522" t="n"/>
      <c r="O1962" s="538" t="n"/>
      <c r="P1962" s="541" t="n"/>
    </row>
    <row r="1963" ht="15.75" customHeight="1" s="2" thickBot="1"/>
    <row r="1964" ht="15.75" customHeight="1" s="2" thickBot="1">
      <c r="B1964" s="1652" t="inlineStr">
        <is>
          <t>20.12.21</t>
        </is>
      </c>
      <c r="C1964" s="1641" t="n"/>
      <c r="D1964" s="1502" t="n"/>
      <c r="E1964" s="1640" t="inlineStr">
        <is>
          <t>27.12.21</t>
        </is>
      </c>
      <c r="F1964" s="1641" t="n"/>
      <c r="G1964" s="1502" t="n"/>
      <c r="H1964" s="1640" t="inlineStr">
        <is>
          <t>3.1.22</t>
        </is>
      </c>
      <c r="I1964" s="1641" t="n"/>
      <c r="J1964" s="1502" t="n"/>
      <c r="K1964" s="1640" t="inlineStr">
        <is>
          <t>10.1.22</t>
        </is>
      </c>
      <c r="L1964" s="1641" t="n"/>
      <c r="M1964" s="1502" t="n"/>
      <c r="N1964" s="1640" t="inlineStr">
        <is>
          <t>17.1.22</t>
        </is>
      </c>
      <c r="O1964" s="1641" t="n"/>
      <c r="P1964" s="1502" t="n"/>
    </row>
    <row r="1965" ht="15.75" customHeight="1" s="2" thickBot="1">
      <c r="A1965" s="455" t="n"/>
      <c r="B1965" s="872" t="inlineStr">
        <is>
          <t>LAST YEAR</t>
        </is>
      </c>
      <c r="C1965" s="873" t="inlineStr">
        <is>
          <t>Actual</t>
        </is>
      </c>
      <c r="D1965" s="874" t="inlineStr">
        <is>
          <t>Projected</t>
        </is>
      </c>
      <c r="E1965" s="872" t="inlineStr">
        <is>
          <t>LAST YEAR</t>
        </is>
      </c>
      <c r="F1965" s="873" t="inlineStr">
        <is>
          <t>Actual</t>
        </is>
      </c>
      <c r="G1965" s="874" t="inlineStr">
        <is>
          <t>Projected</t>
        </is>
      </c>
      <c r="H1965" s="923" t="inlineStr">
        <is>
          <t>LAST YEAR</t>
        </is>
      </c>
      <c r="I1965" s="924" t="inlineStr">
        <is>
          <t>Actual</t>
        </is>
      </c>
      <c r="J1965" s="925" t="inlineStr">
        <is>
          <t>Projected</t>
        </is>
      </c>
      <c r="K1965" s="923" t="inlineStr">
        <is>
          <t>LAST YEAR</t>
        </is>
      </c>
      <c r="L1965" s="924" t="inlineStr">
        <is>
          <t>Actual</t>
        </is>
      </c>
      <c r="M1965" s="925" t="inlineStr">
        <is>
          <t>Projected</t>
        </is>
      </c>
      <c r="N1965" s="923" t="inlineStr">
        <is>
          <t>LAST YEAR</t>
        </is>
      </c>
      <c r="O1965" s="924" t="inlineStr">
        <is>
          <t>Actual</t>
        </is>
      </c>
      <c r="P1965" s="925" t="inlineStr">
        <is>
          <t>Projected</t>
        </is>
      </c>
    </row>
    <row r="1966" ht="15.75" customHeight="1" s="2">
      <c r="A1966" s="459" t="inlineStr">
        <is>
          <t>Total Receipts</t>
        </is>
      </c>
      <c r="B1966" s="1653" t="n">
        <v>91569.58</v>
      </c>
      <c r="C1966" s="1631" t="n">
        <v>108191</v>
      </c>
      <c r="D1966" s="1622" t="n">
        <v>125549</v>
      </c>
      <c r="E1966" s="1644" t="n">
        <v>85977.53999999999</v>
      </c>
      <c r="F1966" s="1631" t="n">
        <v>115480</v>
      </c>
      <c r="G1966" s="1645" t="n">
        <v>165259</v>
      </c>
      <c r="H1966" s="1644" t="n">
        <v>71295.81</v>
      </c>
      <c r="I1966" s="1631" t="n">
        <v>132169.9</v>
      </c>
      <c r="J1966" s="1622" t="n">
        <v>170602</v>
      </c>
      <c r="K1966" s="1644" t="n">
        <v>71295.81</v>
      </c>
      <c r="L1966" s="1643" t="n">
        <v>89762.07000000001</v>
      </c>
      <c r="M1966" s="1645" t="n">
        <v>116831</v>
      </c>
      <c r="N1966" s="1620" t="n">
        <v>81785</v>
      </c>
      <c r="O1966" s="1631" t="n">
        <v>76327.5</v>
      </c>
      <c r="P1966" s="1622" t="n">
        <v>84300</v>
      </c>
    </row>
    <row r="1967" ht="15.75" customHeight="1" s="2">
      <c r="A1967" s="462" t="inlineStr">
        <is>
          <t>Nett Sales</t>
        </is>
      </c>
      <c r="B1967" s="1646" t="n">
        <v>83245</v>
      </c>
      <c r="C1967" s="1632" t="n">
        <v>98355</v>
      </c>
      <c r="D1967" s="1625">
        <f>114135</f>
        <v/>
      </c>
      <c r="E1967" s="1646" t="n">
        <v>78161.39999999999</v>
      </c>
      <c r="F1967" s="1632" t="n">
        <v>104982.6</v>
      </c>
      <c r="G1967" s="1637" t="n">
        <v>150235</v>
      </c>
      <c r="H1967" s="1646" t="n">
        <v>64814.37</v>
      </c>
      <c r="I1967" s="1632">
        <f>I1966/1.1</f>
        <v/>
      </c>
      <c r="J1967" s="1625" t="n">
        <v>155093</v>
      </c>
      <c r="K1967" s="1646" t="n">
        <v>64814.37</v>
      </c>
      <c r="L1967" s="1632">
        <f>L1966/1.1</f>
        <v/>
      </c>
      <c r="M1967" s="1625" t="n">
        <v>106209</v>
      </c>
      <c r="N1967" s="1623" t="n">
        <v>74350</v>
      </c>
      <c r="O1967" s="1632" t="n">
        <v>69388.64</v>
      </c>
      <c r="P1967" s="1625" t="n">
        <v>76636</v>
      </c>
    </row>
    <row r="1968" ht="15.75" customHeight="1" s="2">
      <c r="A1968" s="462" t="inlineStr">
        <is>
          <t>Customers</t>
        </is>
      </c>
      <c r="B1968" s="866" t="n">
        <v>4040</v>
      </c>
      <c r="C1968" s="565" t="n">
        <v>4805</v>
      </c>
      <c r="D1968" s="466" t="n">
        <v>5505</v>
      </c>
      <c r="E1968" s="866" t="n">
        <v>3670</v>
      </c>
      <c r="F1968" s="565" t="n">
        <v>4685</v>
      </c>
      <c r="G1968" s="466" t="n">
        <v>7020</v>
      </c>
      <c r="H1968" s="866" t="n">
        <v>3261</v>
      </c>
      <c r="I1968" s="565" t="n">
        <v>5490</v>
      </c>
      <c r="J1968" s="466" t="n">
        <v>7315</v>
      </c>
      <c r="K1968" s="866" t="n">
        <v>3261</v>
      </c>
      <c r="L1968" s="565" t="n">
        <v>3915</v>
      </c>
      <c r="M1968" s="466" t="n">
        <v>5255</v>
      </c>
      <c r="N1968" s="485" t="n">
        <v>3669</v>
      </c>
      <c r="O1968" s="565" t="n">
        <v>3459</v>
      </c>
      <c r="P1968" s="1655" t="n">
        <v>3750</v>
      </c>
    </row>
    <row r="1969" ht="15.75" customHeight="1" s="2">
      <c r="A1969" s="462" t="inlineStr">
        <is>
          <t>Average Customer Spend</t>
        </is>
      </c>
      <c r="B1969" s="1654" t="n">
        <v>22.67</v>
      </c>
      <c r="C1969" s="1635" t="n">
        <v>22.52</v>
      </c>
      <c r="D1969" s="1628" t="n">
        <v>22.81</v>
      </c>
      <c r="E1969" s="1648" t="n">
        <v>23.43</v>
      </c>
      <c r="F1969" s="1635" t="n">
        <v>24.65</v>
      </c>
      <c r="G1969" s="1649" t="n">
        <v>23.54</v>
      </c>
      <c r="H1969" s="1648" t="n">
        <v>21.86</v>
      </c>
      <c r="I1969" s="1635">
        <f>I1966/I1968</f>
        <v/>
      </c>
      <c r="J1969" s="1628" t="n">
        <v>23.32</v>
      </c>
      <c r="K1969" s="1648" t="n">
        <v>21.86</v>
      </c>
      <c r="L1969" s="1647">
        <f>L1966/3915</f>
        <v/>
      </c>
      <c r="M1969" s="1649" t="n">
        <v>22.24</v>
      </c>
      <c r="N1969" s="1626" t="n">
        <v>22.29081493594985</v>
      </c>
      <c r="O1969" s="1635" t="n">
        <v>22.07</v>
      </c>
      <c r="P1969" s="1628">
        <f>P1966/3750</f>
        <v/>
      </c>
    </row>
    <row r="1970" ht="15.75" customHeight="1" s="2">
      <c r="A1970" s="462" t="inlineStr">
        <is>
          <t>Wage % to Total Receipts</t>
        </is>
      </c>
      <c r="B1970" s="890" t="n">
        <v>0.3943</v>
      </c>
      <c r="C1970" s="567" t="n">
        <v>0.3425</v>
      </c>
      <c r="D1970" s="470" t="n">
        <v>0.3775</v>
      </c>
      <c r="E1970" s="868" t="n">
        <v>0.6099</v>
      </c>
      <c r="F1970" s="567" t="n">
        <v>0.4445</v>
      </c>
      <c r="G1970" s="863" t="n">
        <v>0.4341</v>
      </c>
      <c r="H1970" s="868" t="n">
        <v>0.5651</v>
      </c>
      <c r="I1970" s="567" t="n">
        <v>0.3846</v>
      </c>
      <c r="J1970" s="470" t="n">
        <v>0.4162</v>
      </c>
      <c r="K1970" s="868" t="n">
        <v>0.5651</v>
      </c>
      <c r="L1970" s="860" t="n">
        <v>0.3523</v>
      </c>
      <c r="M1970" s="863" t="n">
        <v>0.3427</v>
      </c>
      <c r="N1970" s="487" t="n">
        <v>0.3436</v>
      </c>
      <c r="O1970" s="567" t="n">
        <v>0.3782</v>
      </c>
      <c r="P1970" s="470" t="n">
        <v>0.4791</v>
      </c>
    </row>
    <row r="1971" ht="15.75" customHeight="1" s="2">
      <c r="A1971" s="462" t="inlineStr">
        <is>
          <t>Wage % to Nett Sales</t>
        </is>
      </c>
      <c r="B1971" s="890" t="n">
        <v>0.431</v>
      </c>
      <c r="C1971" s="567" t="n">
        <v>0.3766</v>
      </c>
      <c r="D1971" s="470" t="n">
        <v>0.3432</v>
      </c>
      <c r="E1971" s="868" t="n">
        <v>0.6709000000000001</v>
      </c>
      <c r="F1971" s="567" t="n">
        <v>0.4889</v>
      </c>
      <c r="G1971" s="863" t="n">
        <v>0.4775</v>
      </c>
      <c r="H1971" s="868" t="n">
        <v>0.6216</v>
      </c>
      <c r="I1971" s="567" t="n">
        <v>0.4231</v>
      </c>
      <c r="J1971" s="470" t="n">
        <v>0.4578</v>
      </c>
      <c r="K1971" s="868" t="n">
        <v>0.6216</v>
      </c>
      <c r="L1971" s="860" t="n">
        <v>0.3875</v>
      </c>
      <c r="M1971" s="863" t="n">
        <v>0.3769</v>
      </c>
      <c r="N1971" s="487" t="n">
        <v>0.378</v>
      </c>
      <c r="O1971" s="567" t="n">
        <v>0.416</v>
      </c>
      <c r="P1971" s="470" t="n">
        <v>0.527</v>
      </c>
    </row>
    <row r="1972" ht="15.75" customHeight="1" s="2">
      <c r="A1972" s="462" t="inlineStr">
        <is>
          <t>Productivity</t>
        </is>
      </c>
      <c r="B1972" s="869" t="n">
        <v>3.81</v>
      </c>
      <c r="C1972" s="568" t="n">
        <v>4.7</v>
      </c>
      <c r="D1972" s="472" t="n">
        <v>4.7</v>
      </c>
      <c r="E1972" s="869" t="n">
        <v>3.25</v>
      </c>
      <c r="F1972" s="568" t="n">
        <v>4.2</v>
      </c>
      <c r="G1972" s="472" t="n">
        <v>5.1</v>
      </c>
      <c r="H1972" s="869" t="n">
        <v>3.13</v>
      </c>
      <c r="I1972" s="568" t="n">
        <v>4.73</v>
      </c>
      <c r="J1972" s="472" t="n">
        <v>5.4</v>
      </c>
      <c r="K1972" s="869" t="n">
        <v>3.13</v>
      </c>
      <c r="L1972" s="568" t="n">
        <v>4.29</v>
      </c>
      <c r="M1972" s="472" t="n">
        <v>4.9</v>
      </c>
      <c r="N1972" s="488" t="n">
        <v>4.55</v>
      </c>
      <c r="O1972" s="568" t="n">
        <v>4.58</v>
      </c>
      <c r="P1972" s="472" t="n">
        <v>3.44</v>
      </c>
    </row>
    <row r="1973" ht="15.75" customHeight="1" s="2">
      <c r="A1973" s="462" t="inlineStr">
        <is>
          <t>Average Hourly Rate</t>
        </is>
      </c>
      <c r="B1973" s="869" t="n">
        <v>33.89</v>
      </c>
      <c r="C1973" s="568" t="n">
        <v>36.28</v>
      </c>
      <c r="D1973" s="1628" t="n">
        <v>37</v>
      </c>
      <c r="E1973" s="869" t="n">
        <v>46.39</v>
      </c>
      <c r="F1973" s="568" t="n">
        <v>45.99</v>
      </c>
      <c r="G1973" s="1628" t="n">
        <v>52.5</v>
      </c>
      <c r="H1973" s="869" t="n">
        <v>38.7</v>
      </c>
      <c r="I1973" s="568" t="n">
        <v>43.77</v>
      </c>
      <c r="J1973" s="1628" t="n">
        <v>52.5</v>
      </c>
      <c r="K1973" s="869" t="n">
        <v>38.7</v>
      </c>
      <c r="L1973" s="568" t="n">
        <v>34.65</v>
      </c>
      <c r="M1973" s="1649" t="n">
        <v>37</v>
      </c>
      <c r="N1973" s="1629" t="n">
        <v>34.89</v>
      </c>
      <c r="O1973" s="568" t="n">
        <v>38.23</v>
      </c>
      <c r="P1973" s="1628" t="n">
        <v>37</v>
      </c>
    </row>
    <row r="1974" ht="15.75" customHeight="1" s="2">
      <c r="A1974" s="462" t="inlineStr">
        <is>
          <t>Total hours for productivity</t>
        </is>
      </c>
      <c r="B1974" s="869" t="n">
        <v>1060</v>
      </c>
      <c r="C1974" s="568" t="n">
        <v>1021</v>
      </c>
      <c r="D1974" s="466" t="n">
        <v>1164.5</v>
      </c>
      <c r="E1974" s="869" t="n">
        <v>1130.25</v>
      </c>
      <c r="F1974" s="568" t="n">
        <v>1116.5</v>
      </c>
      <c r="G1974" s="466" t="n">
        <v>1366.5</v>
      </c>
      <c r="H1974" s="869" t="n">
        <v>1041</v>
      </c>
      <c r="I1974" s="568" t="n">
        <v>1161.5</v>
      </c>
      <c r="J1974" s="472" t="n">
        <v>1352</v>
      </c>
      <c r="K1974" s="869" t="n">
        <v>1041</v>
      </c>
      <c r="L1974" s="568" t="n">
        <v>912.5</v>
      </c>
      <c r="M1974" s="466" t="n">
        <v>1082</v>
      </c>
      <c r="N1974" s="485" t="n">
        <v>805.5</v>
      </c>
      <c r="O1974" s="568" t="n">
        <v>755</v>
      </c>
      <c r="P1974" s="466" t="n">
        <v>1091</v>
      </c>
    </row>
    <row r="1975" ht="15.75" customHeight="1" s="2">
      <c r="A1975" s="462" t="inlineStr">
        <is>
          <t>Training Hours used</t>
        </is>
      </c>
      <c r="B1975" s="870" t="n"/>
      <c r="C1975" s="569" t="n"/>
      <c r="D1975" s="466" t="n"/>
      <c r="E1975" s="466" t="n">
        <v>0</v>
      </c>
      <c r="F1975" s="569" t="n"/>
      <c r="G1975" s="466" t="n"/>
      <c r="H1975" s="466" t="n"/>
      <c r="I1975" s="569" t="n"/>
      <c r="J1975" s="466" t="n"/>
      <c r="K1975" s="870" t="n"/>
      <c r="L1975" s="569" t="n"/>
      <c r="M1975" s="466" t="n"/>
      <c r="N1975" s="485" t="n"/>
      <c r="O1975" s="569" t="n"/>
      <c r="P1975" s="466" t="n"/>
    </row>
    <row r="1976" ht="15.75" customHeight="1" s="2" thickBot="1">
      <c r="A1976" s="474" t="inlineStr">
        <is>
          <t>Number of hours used to cover sick leave</t>
        </is>
      </c>
      <c r="B1976" s="813" t="n"/>
      <c r="C1976" s="570" t="n"/>
      <c r="D1976" s="476" t="n"/>
      <c r="E1976" s="476" t="n"/>
      <c r="F1976" s="570" t="n"/>
      <c r="G1976" s="476" t="n"/>
      <c r="H1976" s="476" t="n"/>
      <c r="I1976" s="570" t="n"/>
      <c r="J1976" s="476" t="n"/>
      <c r="K1976" s="813" t="n"/>
      <c r="L1976" s="570" t="n"/>
      <c r="M1976" s="476" t="n"/>
      <c r="N1976" s="490" t="n">
        <v>4</v>
      </c>
      <c r="O1976" s="570" t="n"/>
      <c r="P1976" s="476" t="n"/>
    </row>
    <row r="1977" ht="15.75" customHeight="1" s="2" thickBot="1">
      <c r="A1977" s="477" t="inlineStr">
        <is>
          <t xml:space="preserve">Minimum Hours </t>
        </is>
      </c>
      <c r="B1977" s="836" t="inlineStr">
        <is>
          <t>60% Hours</t>
        </is>
      </c>
      <c r="C1977" s="816" t="inlineStr">
        <is>
          <t>Projected</t>
        </is>
      </c>
      <c r="D1977" s="817" t="inlineStr">
        <is>
          <t>Rostered</t>
        </is>
      </c>
      <c r="E1977" s="836" t="inlineStr">
        <is>
          <t>60% Hours</t>
        </is>
      </c>
      <c r="F1977" s="816" t="inlineStr">
        <is>
          <t>Projected</t>
        </is>
      </c>
      <c r="G1977" s="817" t="inlineStr">
        <is>
          <t>Rostered</t>
        </is>
      </c>
      <c r="H1977" s="836" t="inlineStr">
        <is>
          <t>60% Hours</t>
        </is>
      </c>
      <c r="I1977" s="816" t="inlineStr">
        <is>
          <t>Projected</t>
        </is>
      </c>
      <c r="J1977" s="817" t="inlineStr">
        <is>
          <t>Rostered</t>
        </is>
      </c>
      <c r="K1977" s="836" t="inlineStr">
        <is>
          <t>60% Hours</t>
        </is>
      </c>
      <c r="L1977" s="816" t="inlineStr">
        <is>
          <t>Projected</t>
        </is>
      </c>
      <c r="M1977" s="817" t="inlineStr">
        <is>
          <t>Rostered</t>
        </is>
      </c>
      <c r="N1977" s="836" t="inlineStr">
        <is>
          <t>60% Hours</t>
        </is>
      </c>
      <c r="O1977" s="816" t="inlineStr">
        <is>
          <t>Projected</t>
        </is>
      </c>
      <c r="P1977" s="817" t="inlineStr">
        <is>
          <t>Rostered</t>
        </is>
      </c>
    </row>
    <row r="1978" ht="15.75" customHeight="1" s="2">
      <c r="A1978" s="479" t="inlineStr">
        <is>
          <t>Floor</t>
        </is>
      </c>
      <c r="B1978" s="855" t="n"/>
      <c r="C1978" s="810" t="n"/>
      <c r="D1978" s="811" t="n"/>
      <c r="E1978" s="855" t="n"/>
      <c r="F1978" s="810" t="n">
        <v>908</v>
      </c>
      <c r="G1978" s="811" t="n">
        <v>843</v>
      </c>
      <c r="H1978" s="855" t="n"/>
      <c r="I1978" s="810" t="n">
        <v>947</v>
      </c>
      <c r="J1978" s="811" t="n">
        <v>880</v>
      </c>
      <c r="K1978" s="855" t="n"/>
      <c r="L1978" s="810" t="n"/>
      <c r="M1978" s="811" t="n"/>
      <c r="N1978" s="855" t="n"/>
      <c r="O1978" s="810" t="n"/>
      <c r="P1978" s="811" t="n"/>
    </row>
    <row r="1979" ht="15.75" customHeight="1" s="2" thickBot="1">
      <c r="A1979" s="481" t="inlineStr">
        <is>
          <t>Kitchen</t>
        </is>
      </c>
      <c r="B1979" s="856" t="n"/>
      <c r="C1979" s="813" t="n"/>
      <c r="D1979" s="814" t="n"/>
      <c r="E1979" s="856" t="n"/>
      <c r="F1979" s="840" t="n">
        <v>743</v>
      </c>
      <c r="G1979" s="814" t="n">
        <v>524</v>
      </c>
      <c r="H1979" s="856" t="n"/>
      <c r="I1979" s="813" t="n">
        <v>775</v>
      </c>
      <c r="J1979" s="814" t="n">
        <v>493</v>
      </c>
      <c r="K1979" s="856" t="n"/>
      <c r="L1979" s="813" t="n"/>
      <c r="M1979" s="814" t="n"/>
      <c r="N1979" s="856" t="n"/>
      <c r="O1979" s="813" t="n"/>
      <c r="P1979" s="814" t="n"/>
    </row>
    <row r="1980" ht="15.75" customHeight="1" s="2" thickBot="1">
      <c r="A1980" s="834" t="n"/>
      <c r="B1980" s="836" t="inlineStr">
        <is>
          <t xml:space="preserve">Minimum </t>
        </is>
      </c>
      <c r="C1980" s="875" t="n"/>
      <c r="D1980" s="875" t="n"/>
      <c r="E1980" s="839" t="inlineStr">
        <is>
          <t>Minimum</t>
        </is>
      </c>
      <c r="F1980" s="875" t="n"/>
      <c r="G1980" s="875" t="n"/>
      <c r="H1980" s="839" t="inlineStr">
        <is>
          <t>Minimum</t>
        </is>
      </c>
      <c r="I1980" s="875" t="n"/>
      <c r="J1980" s="875" t="n"/>
      <c r="K1980" s="839" t="inlineStr">
        <is>
          <t>Minimum</t>
        </is>
      </c>
      <c r="L1980" s="875" t="n"/>
      <c r="M1980" s="875" t="n"/>
      <c r="N1980" s="839" t="n"/>
      <c r="O1980" s="835" t="n"/>
      <c r="P1980" s="835" t="n"/>
    </row>
    <row r="1981" ht="15.75" customHeight="1" s="2">
      <c r="A1981" s="834" t="n"/>
      <c r="B1981" s="837" t="n"/>
      <c r="C1981" s="875" t="n"/>
      <c r="D1981" s="875" t="n"/>
      <c r="E1981" s="837" t="n"/>
      <c r="F1981" s="875" t="n"/>
      <c r="G1981" s="875" t="n"/>
      <c r="H1981" s="837" t="n"/>
      <c r="I1981" s="875" t="n"/>
      <c r="J1981" s="875" t="n"/>
      <c r="K1981" s="837" t="n"/>
      <c r="L1981" s="875" t="n"/>
      <c r="M1981" s="875" t="n"/>
      <c r="N1981" s="837" t="n"/>
      <c r="O1981" s="835" t="n"/>
      <c r="P1981" s="835" t="n"/>
    </row>
    <row r="1982" ht="15.75" customHeight="1" s="2" thickBot="1">
      <c r="B1982" s="838" t="n"/>
      <c r="C1982" s="876" t="n"/>
      <c r="D1982" s="876" t="n"/>
      <c r="E1982" s="838" t="n"/>
      <c r="F1982" s="876" t="n"/>
      <c r="G1982" s="876" t="n"/>
      <c r="H1982" s="838" t="n"/>
      <c r="I1982" s="876" t="n"/>
      <c r="J1982" s="876" t="n"/>
      <c r="K1982" s="838" t="n"/>
      <c r="L1982" s="876" t="n"/>
      <c r="M1982" s="876" t="n"/>
      <c r="N1982" s="838" t="n"/>
    </row>
    <row r="1983" ht="15.75" customHeight="1" s="2" thickBot="1">
      <c r="A1983" s="506" t="inlineStr">
        <is>
          <t>Training explanation</t>
        </is>
      </c>
      <c r="C1983" s="523" t="inlineStr">
        <is>
          <t>Floor</t>
        </is>
      </c>
      <c r="D1983" s="524" t="inlineStr">
        <is>
          <t>Kitchen</t>
        </is>
      </c>
      <c r="E1983" s="509" t="n"/>
      <c r="F1983" s="507" t="inlineStr">
        <is>
          <t>Floor</t>
        </is>
      </c>
      <c r="G1983" s="508" t="inlineStr">
        <is>
          <t>Kitchen</t>
        </is>
      </c>
      <c r="H1983" s="510" t="n"/>
      <c r="I1983" s="535" t="n"/>
      <c r="J1983" s="511" t="n"/>
      <c r="K1983" s="512" t="n"/>
      <c r="L1983" s="535" t="inlineStr">
        <is>
          <t>kitchen</t>
        </is>
      </c>
      <c r="M1983" s="513" t="n"/>
      <c r="N1983" s="512" t="n"/>
      <c r="O1983" s="535" t="inlineStr">
        <is>
          <t>kitchen</t>
        </is>
      </c>
      <c r="P1983" s="513" t="n"/>
    </row>
    <row r="1984" ht="15.75" customHeight="1" s="2">
      <c r="A1984" s="506" t="inlineStr">
        <is>
          <t>Who is being Trained</t>
        </is>
      </c>
      <c r="C1984" s="525" t="n"/>
      <c r="D1984" s="527" t="n"/>
      <c r="E1984" s="514" t="n"/>
      <c r="F1984" s="525" t="n"/>
      <c r="G1984" s="527" t="n"/>
      <c r="H1984" s="515" t="n"/>
      <c r="I1984" s="531" t="n"/>
      <c r="J1984" s="824" t="n"/>
      <c r="K1984" s="515" t="n"/>
      <c r="L1984" s="536" t="n"/>
      <c r="M1984" s="532" t="n"/>
      <c r="N1984" s="515" t="n"/>
      <c r="O1984" s="536" t="n"/>
      <c r="P1984" s="532" t="n"/>
    </row>
    <row r="1985" ht="15.75" customHeight="1" s="2">
      <c r="C1985" s="891" t="n"/>
      <c r="D1985" s="526" t="n"/>
      <c r="E1985" s="514" t="n"/>
      <c r="F1985" s="891" t="n"/>
      <c r="G1985" s="526" t="n"/>
      <c r="H1985" s="516" t="n"/>
      <c r="I1985" s="1656" t="n"/>
      <c r="J1985" s="530" t="n"/>
      <c r="K1985" s="516" t="n"/>
      <c r="L1985" s="542" t="n"/>
      <c r="M1985" s="530" t="n"/>
      <c r="N1985" s="516" t="n"/>
      <c r="O1985" s="542" t="n"/>
      <c r="P1985" s="530" t="n"/>
    </row>
    <row r="1986" ht="15.75" customHeight="1" s="2">
      <c r="C1986" s="550" t="n"/>
      <c r="D1986" s="527" t="n"/>
      <c r="E1986" s="514" t="n"/>
      <c r="F1986" s="531" t="n"/>
      <c r="G1986" s="530" t="n"/>
      <c r="H1986" s="516" t="n"/>
      <c r="I1986" s="537" t="n"/>
      <c r="J1986" s="530" t="n"/>
      <c r="K1986" s="516" t="n"/>
      <c r="L1986" s="1657" t="n"/>
      <c r="M1986" s="539" t="n"/>
      <c r="N1986" s="516" t="n"/>
      <c r="O1986" s="542" t="n"/>
      <c r="P1986" s="539" t="n"/>
    </row>
    <row r="1987" ht="15.75" customHeight="1" s="2">
      <c r="C1987" s="551" t="n"/>
      <c r="D1987" s="561" t="n"/>
      <c r="E1987" s="519" t="n"/>
      <c r="F1987" s="517" t="n"/>
      <c r="G1987" s="518" t="n"/>
      <c r="H1987" s="516" t="n"/>
      <c r="I1987" s="537" t="n"/>
      <c r="J1987" s="530" t="n"/>
      <c r="K1987" s="516" t="n"/>
      <c r="L1987" s="537" t="n"/>
      <c r="M1987" s="1658">
        <f>N1966-O1966</f>
        <v/>
      </c>
      <c r="N1987" s="516" t="n"/>
      <c r="O1987" s="537" t="n"/>
      <c r="P1987" s="539" t="n"/>
    </row>
    <row r="1988" ht="15.75" customHeight="1" s="2">
      <c r="C1988" s="551" t="n"/>
      <c r="D1988" s="528" t="n"/>
      <c r="E1988" s="519" t="n"/>
      <c r="F1988" s="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988" s="518" t="n"/>
      <c r="H1988" s="516" t="n"/>
      <c r="I1988" s="537" t="n"/>
      <c r="J1988" s="533" t="n"/>
      <c r="K1988" s="516" t="n"/>
      <c r="L1988" s="537" t="n"/>
      <c r="M1988" s="540" t="n"/>
      <c r="N1988" s="516" t="n"/>
      <c r="O1988" s="537" t="n"/>
      <c r="P1988" s="540" t="n"/>
    </row>
    <row r="1989" ht="15.75" customHeight="1" s="2" thickBot="1">
      <c r="C1989" s="562" t="n"/>
      <c r="D1989" s="529" t="n"/>
      <c r="E1989" s="519" t="n"/>
      <c r="F1989" s="520" t="n"/>
      <c r="G1989" s="521" t="n"/>
      <c r="H1989" s="516" t="n"/>
      <c r="I1989" s="538" t="n"/>
      <c r="J1989" s="534" t="n"/>
      <c r="K1989" s="522" t="n"/>
      <c r="L1989" s="538" t="n"/>
      <c r="M1989" s="541" t="n"/>
      <c r="N1989" s="522" t="n"/>
      <c r="O1989" s="538" t="n"/>
      <c r="P1989" s="541" t="n"/>
    </row>
    <row r="1991" ht="15.75" customHeight="1" s="2" thickBot="1">
      <c r="E1991" s="454" t="inlineStr">
        <is>
          <t>|AUS DAY only</t>
        </is>
      </c>
      <c r="G1991" s="454" t="inlineStr">
        <is>
          <t>AUS day + CNY EVE</t>
        </is>
      </c>
      <c r="J1991" s="454" t="inlineStr">
        <is>
          <t>CNY</t>
        </is>
      </c>
      <c r="K1991" s="454" t="inlineStr">
        <is>
          <t>v-day+cny</t>
        </is>
      </c>
      <c r="M1991" s="454" t="inlineStr">
        <is>
          <t>v-day only</t>
        </is>
      </c>
    </row>
    <row r="1992" ht="15.75" customHeight="1" s="2" thickBot="1">
      <c r="B1992" s="1652" t="inlineStr">
        <is>
          <t>24.1.22</t>
        </is>
      </c>
      <c r="C1992" s="1641" t="n"/>
      <c r="D1992" s="1502" t="n"/>
      <c r="E1992" s="1640" t="inlineStr">
        <is>
          <t>31.1.22</t>
        </is>
      </c>
      <c r="F1992" s="1641" t="n"/>
      <c r="G1992" s="1502" t="n"/>
      <c r="H1992" s="1640" t="inlineStr">
        <is>
          <t>7.2.22</t>
        </is>
      </c>
      <c r="I1992" s="1641" t="n"/>
      <c r="J1992" s="1502" t="n"/>
      <c r="K1992" s="1640" t="inlineStr">
        <is>
          <t>14.2.22</t>
        </is>
      </c>
      <c r="L1992" s="1641" t="n"/>
      <c r="M1992" s="1502" t="n"/>
      <c r="N1992" s="1640" t="inlineStr">
        <is>
          <t>21.2.22</t>
        </is>
      </c>
      <c r="O1992" s="1641" t="n"/>
      <c r="P1992" s="1502" t="n"/>
    </row>
    <row r="1993" ht="15.75" customHeight="1" s="2" thickBot="1">
      <c r="A1993" s="455" t="n"/>
      <c r="B1993" s="923" t="inlineStr">
        <is>
          <t>LAST YEAR</t>
        </is>
      </c>
      <c r="C1993" s="924" t="inlineStr">
        <is>
          <t>Actual</t>
        </is>
      </c>
      <c r="D1993" s="925" t="inlineStr">
        <is>
          <t>Projected</t>
        </is>
      </c>
      <c r="E1993" s="923" t="inlineStr">
        <is>
          <t>LAST YEAR</t>
        </is>
      </c>
      <c r="F1993" s="924" t="inlineStr">
        <is>
          <t>Actual</t>
        </is>
      </c>
      <c r="G1993" s="925" t="inlineStr">
        <is>
          <t>Projected</t>
        </is>
      </c>
      <c r="H1993" s="923" t="inlineStr">
        <is>
          <t>LAST YEAR</t>
        </is>
      </c>
      <c r="I1993" s="924" t="inlineStr">
        <is>
          <t>Actual</t>
        </is>
      </c>
      <c r="J1993" s="925" t="inlineStr">
        <is>
          <t>Projected</t>
        </is>
      </c>
      <c r="K1993" s="923" t="inlineStr">
        <is>
          <t>LAST YEAR</t>
        </is>
      </c>
      <c r="L1993" s="924" t="inlineStr">
        <is>
          <t>Actual</t>
        </is>
      </c>
      <c r="M1993" s="925" t="inlineStr">
        <is>
          <t>Projected</t>
        </is>
      </c>
      <c r="N1993" s="923" t="inlineStr">
        <is>
          <t>LAST YEAR</t>
        </is>
      </c>
      <c r="O1993" s="924" t="inlineStr">
        <is>
          <t>Actual</t>
        </is>
      </c>
      <c r="P1993" s="925" t="inlineStr">
        <is>
          <t>Projected</t>
        </is>
      </c>
    </row>
    <row r="1994" ht="15.75" customHeight="1" s="2">
      <c r="A1994" s="459" t="inlineStr">
        <is>
          <t>Total Receipts</t>
        </is>
      </c>
      <c r="B1994" s="1653" t="n">
        <v>81785</v>
      </c>
      <c r="C1994" s="1631" t="n">
        <v>83359.75</v>
      </c>
      <c r="D1994" s="1622" t="n">
        <v>72215</v>
      </c>
      <c r="E1994" s="1644" t="n">
        <v>83454</v>
      </c>
      <c r="F1994" s="1631" t="n">
        <v>117062.22</v>
      </c>
      <c r="G1994" s="1645" t="n">
        <v>103004</v>
      </c>
      <c r="H1994" s="1644" t="n">
        <v>64028.82</v>
      </c>
      <c r="I1994" s="1631" t="n">
        <v>87740</v>
      </c>
      <c r="J1994" s="1622" t="n">
        <v>68571</v>
      </c>
      <c r="K1994" s="1644" t="n">
        <v>98220.48</v>
      </c>
      <c r="L1994" s="1643" t="n">
        <v>103489.12</v>
      </c>
      <c r="M1994" s="1645" t="n">
        <v>101140</v>
      </c>
      <c r="N1994" s="1620" t="n">
        <v>84155.05</v>
      </c>
      <c r="O1994" s="1631" t="n">
        <v>88296.64</v>
      </c>
      <c r="P1994" s="1622" t="n">
        <v>92440</v>
      </c>
    </row>
    <row r="1995" ht="15.75" customHeight="1" s="2">
      <c r="A1995" s="462" t="inlineStr">
        <is>
          <t>Nett Sales</t>
        </is>
      </c>
      <c r="B1995" s="1646" t="n">
        <v>74350</v>
      </c>
      <c r="C1995" s="1632" t="n">
        <v>75781.59</v>
      </c>
      <c r="D1995" s="1625" t="n">
        <v>65650</v>
      </c>
      <c r="E1995" s="1646" t="n">
        <v>75867</v>
      </c>
      <c r="F1995" s="1632">
        <f>F1994/1.1</f>
        <v/>
      </c>
      <c r="G1995" s="1637" t="n">
        <v>93639.5</v>
      </c>
      <c r="H1995" s="1646" t="n">
        <v>58208</v>
      </c>
      <c r="I1995" s="1632" t="n">
        <v>79764</v>
      </c>
      <c r="J1995" s="1625" t="n">
        <v>62337</v>
      </c>
      <c r="K1995" s="1646" t="n">
        <v>89306.31</v>
      </c>
      <c r="L1995" s="1632" t="n">
        <v>94081</v>
      </c>
      <c r="M1995" s="1625" t="n">
        <v>91945.5</v>
      </c>
      <c r="N1995" s="1623" t="n">
        <v>76504</v>
      </c>
      <c r="O1995" s="1632" t="n">
        <v>80269.67</v>
      </c>
      <c r="P1995" s="1625" t="n">
        <v>84036</v>
      </c>
    </row>
    <row r="1996" ht="15.75" customHeight="1" s="2">
      <c r="A1996" s="462" t="inlineStr">
        <is>
          <t>Customers</t>
        </is>
      </c>
      <c r="B1996" s="866" t="n">
        <v>3669</v>
      </c>
      <c r="C1996" s="565" t="n">
        <v>3730</v>
      </c>
      <c r="D1996" s="466" t="n">
        <v>3205</v>
      </c>
      <c r="E1996" s="866" t="n">
        <v>3670</v>
      </c>
      <c r="F1996" s="565" t="n">
        <v>5066</v>
      </c>
      <c r="G1996" s="466" t="n">
        <v>4445</v>
      </c>
      <c r="H1996" s="866" t="n">
        <v>2867</v>
      </c>
      <c r="I1996" s="565" t="n">
        <v>3848</v>
      </c>
      <c r="J1996" s="466" t="n">
        <v>3035</v>
      </c>
      <c r="K1996" s="866" t="n">
        <v>4330</v>
      </c>
      <c r="L1996" s="565" t="n">
        <v>4356</v>
      </c>
      <c r="M1996" s="466" t="n">
        <v>4495</v>
      </c>
      <c r="N1996" s="485" t="n">
        <v>3749</v>
      </c>
      <c r="O1996" s="565" t="n">
        <v>3932</v>
      </c>
      <c r="P1996" s="1655" t="n">
        <v>4090</v>
      </c>
    </row>
    <row r="1997" ht="15.75" customHeight="1" s="2">
      <c r="A1997" s="462" t="inlineStr">
        <is>
          <t>Average Customer Spend</t>
        </is>
      </c>
      <c r="B1997" s="1654" t="n">
        <v>22.29081493594985</v>
      </c>
      <c r="C1997" s="1635" t="n">
        <v>22.35</v>
      </c>
      <c r="D1997" s="1628" t="n">
        <v>22.53</v>
      </c>
      <c r="E1997" s="1648" t="n">
        <v>22.74</v>
      </c>
      <c r="F1997" s="1635">
        <f>F1994/5066</f>
        <v/>
      </c>
      <c r="G1997" s="1649" t="n">
        <v>23.17</v>
      </c>
      <c r="H1997" s="1648" t="n">
        <v>22.33</v>
      </c>
      <c r="I1997" s="1635" t="n">
        <v>22.8</v>
      </c>
      <c r="J1997" s="1628" t="n">
        <v>22.59</v>
      </c>
      <c r="K1997" s="1648" t="n">
        <v>22.68360277136259</v>
      </c>
      <c r="L1997" s="1647" t="n">
        <v>23.76</v>
      </c>
      <c r="M1997" s="1649" t="n">
        <v>22.5</v>
      </c>
      <c r="N1997" s="1626" t="n">
        <v>22.45</v>
      </c>
      <c r="O1997" s="1635">
        <f>O1994/O1996</f>
        <v/>
      </c>
      <c r="P1997" s="1628" t="n">
        <v>22.6</v>
      </c>
    </row>
    <row r="1998" ht="15.75" customHeight="1" s="2">
      <c r="A1998" s="462" t="inlineStr">
        <is>
          <t>Wage % to Total Receipts</t>
        </is>
      </c>
      <c r="B1998" s="890" t="n">
        <v>0.3436</v>
      </c>
      <c r="C1998" s="567" t="n">
        <v>0.3618</v>
      </c>
      <c r="D1998" s="470" t="n">
        <v>0.4681</v>
      </c>
      <c r="E1998" s="868" t="n">
        <v>0.4065</v>
      </c>
      <c r="F1998" s="567" t="n">
        <v>0.3399</v>
      </c>
      <c r="G1998" s="863" t="n">
        <v>0.3837</v>
      </c>
      <c r="H1998" s="868" t="n">
        <v>0.4064</v>
      </c>
      <c r="I1998" s="567" t="n">
        <v>0.3679</v>
      </c>
      <c r="J1998" s="470" t="n">
        <v>0.4446</v>
      </c>
      <c r="K1998" s="868" t="n">
        <v>0.3356</v>
      </c>
      <c r="L1998" s="860" t="n">
        <v>0.3202</v>
      </c>
      <c r="M1998" s="863" t="n">
        <v>0.3534</v>
      </c>
      <c r="N1998" s="487" t="n">
        <v>0.3766</v>
      </c>
      <c r="O1998" s="567" t="n">
        <v>0.3832</v>
      </c>
      <c r="P1998" s="470" t="n">
        <v>0.3727</v>
      </c>
    </row>
    <row r="1999" ht="15.75" customHeight="1" s="2">
      <c r="A1999" s="462" t="inlineStr">
        <is>
          <t>Wage % to Nett Sales</t>
        </is>
      </c>
      <c r="B1999" s="890" t="n">
        <v>0.378</v>
      </c>
      <c r="C1999" s="567" t="n">
        <v>0.398</v>
      </c>
      <c r="D1999" s="470" t="n">
        <v>0.5149</v>
      </c>
      <c r="E1999" s="868" t="n">
        <v>0.4447</v>
      </c>
      <c r="F1999" s="567" t="n">
        <v>0.3737</v>
      </c>
      <c r="G1999" s="863" t="n">
        <v>0.4221</v>
      </c>
      <c r="H1999" s="868" t="n">
        <v>0.4474</v>
      </c>
      <c r="I1999" s="567" t="n">
        <v>0.4047</v>
      </c>
      <c r="J1999" s="470" t="n">
        <v>0.489</v>
      </c>
      <c r="K1999" s="868" t="n">
        <v>0.3692</v>
      </c>
      <c r="L1999" s="860" t="n">
        <v>0.3522</v>
      </c>
      <c r="M1999" s="863" t="n">
        <v>0.3887</v>
      </c>
      <c r="N1999" s="487" t="n">
        <v>0.4143</v>
      </c>
      <c r="O1999" s="567" t="n"/>
      <c r="P1999" s="470" t="n">
        <v>0.41</v>
      </c>
    </row>
    <row r="2000" ht="15.75" customHeight="1" s="2">
      <c r="A2000" s="462" t="inlineStr">
        <is>
          <t>Productivity</t>
        </is>
      </c>
      <c r="B2000" s="869" t="n">
        <v>4.55</v>
      </c>
      <c r="C2000" s="568" t="n">
        <v>4.72</v>
      </c>
      <c r="D2000" s="472" t="n">
        <v>3.4</v>
      </c>
      <c r="E2000" s="869" t="n">
        <v>4.26</v>
      </c>
      <c r="F2000" s="568" t="n">
        <v>4.98</v>
      </c>
      <c r="G2000" s="472" t="n">
        <v>4.6</v>
      </c>
      <c r="H2000" s="869" t="n">
        <v>3.92</v>
      </c>
      <c r="I2000" s="568" t="n">
        <v>5.59</v>
      </c>
      <c r="J2000" s="472" t="n">
        <v>3.7</v>
      </c>
      <c r="K2000" s="869" t="n">
        <v>4.8</v>
      </c>
      <c r="L2000" s="568" t="n">
        <v>4.73</v>
      </c>
      <c r="M2000" s="472" t="n">
        <v>4.6</v>
      </c>
      <c r="N2000" s="488" t="n">
        <v>4.7</v>
      </c>
      <c r="O2000" s="568" t="n">
        <v>4.33</v>
      </c>
      <c r="P2000" s="472" t="n">
        <v>4.4</v>
      </c>
    </row>
    <row r="2001" ht="15.75" customHeight="1" s="2">
      <c r="A2001" s="462" t="inlineStr">
        <is>
          <t>Average Hourly Rate</t>
        </is>
      </c>
      <c r="B2001" s="869" t="n">
        <v>34.89</v>
      </c>
      <c r="C2001" s="568" t="n">
        <v>38.16</v>
      </c>
      <c r="D2001" s="1628" t="n">
        <v>36.25</v>
      </c>
      <c r="E2001" s="869" t="n">
        <v>39.12</v>
      </c>
      <c r="F2001" s="568" t="n">
        <v>39.14</v>
      </c>
      <c r="G2001" s="1628" t="n">
        <v>41</v>
      </c>
      <c r="H2001" s="869" t="n">
        <v>35.61</v>
      </c>
      <c r="I2001" s="568" t="n">
        <v>38.52</v>
      </c>
      <c r="J2001" s="1628" t="n">
        <v>36.75</v>
      </c>
      <c r="K2001" s="869" t="n">
        <v>36.5</v>
      </c>
      <c r="L2001" s="568" t="n">
        <v>35.97</v>
      </c>
      <c r="M2001" s="1649" t="n">
        <v>36.75</v>
      </c>
      <c r="N2001" s="1629" t="n">
        <v>39.69</v>
      </c>
      <c r="O2001" s="568" t="n">
        <v>37.29</v>
      </c>
      <c r="P2001" s="1628" t="n">
        <v>36.75</v>
      </c>
    </row>
    <row r="2002" ht="15.75" customHeight="1" s="2">
      <c r="A2002" s="462" t="inlineStr">
        <is>
          <t>Total hours for productivity</t>
        </is>
      </c>
      <c r="B2002" s="869" t="n">
        <v>805.5</v>
      </c>
      <c r="C2002" s="568" t="n">
        <v>790.25</v>
      </c>
      <c r="D2002" s="466" t="n">
        <v>932.5</v>
      </c>
      <c r="E2002" s="869" t="n">
        <v>862.5</v>
      </c>
      <c r="F2002" s="568" t="n">
        <v>1016</v>
      </c>
      <c r="G2002" s="466" t="n">
        <v>964</v>
      </c>
      <c r="H2002" s="869" t="n">
        <v>730.75</v>
      </c>
      <c r="I2002" s="568" t="n">
        <v>838</v>
      </c>
      <c r="J2002" s="472" t="n">
        <v>829.5</v>
      </c>
      <c r="K2002" s="869" t="n">
        <v>895.5</v>
      </c>
      <c r="L2002" s="568" t="n">
        <v>920.75</v>
      </c>
      <c r="M2002" s="466" t="n">
        <v>972.5</v>
      </c>
      <c r="N2002" s="485" t="n">
        <v>798.5</v>
      </c>
      <c r="O2002" s="568" t="n">
        <v>907.5</v>
      </c>
      <c r="P2002" s="466" t="n">
        <v>937.5</v>
      </c>
    </row>
    <row r="2003" ht="15.75" customHeight="1" s="2">
      <c r="A2003" s="462" t="inlineStr">
        <is>
          <t>Training Hours used</t>
        </is>
      </c>
      <c r="B2003" s="870" t="n"/>
      <c r="C2003" s="569" t="n"/>
      <c r="D2003" s="466" t="n"/>
      <c r="E2003" s="466" t="n">
        <v>0</v>
      </c>
      <c r="F2003" s="569">
        <f>26+16.75</f>
        <v/>
      </c>
      <c r="G2003" s="466" t="n">
        <v>0</v>
      </c>
      <c r="H2003" s="466" t="n">
        <v>0</v>
      </c>
      <c r="I2003" s="569" t="n">
        <v>20</v>
      </c>
      <c r="J2003" s="466" t="n"/>
      <c r="K2003" s="870" t="n"/>
      <c r="L2003" s="569" t="n"/>
      <c r="M2003" s="466" t="n"/>
      <c r="N2003" s="485" t="n"/>
      <c r="O2003" s="569" t="n">
        <v>47.5</v>
      </c>
      <c r="P2003" s="466" t="n"/>
    </row>
    <row r="2004" ht="15.75" customHeight="1" s="2" thickBot="1">
      <c r="A2004" s="474" t="inlineStr">
        <is>
          <t>Number of hours used to cover sick leave</t>
        </is>
      </c>
      <c r="B2004" s="813" t="n">
        <v>4</v>
      </c>
      <c r="C2004" s="570" t="n"/>
      <c r="D2004" s="476" t="n"/>
      <c r="E2004" s="476" t="n"/>
      <c r="F2004" s="570" t="n"/>
      <c r="G2004" s="476" t="n"/>
      <c r="H2004" s="476" t="n">
        <v>0</v>
      </c>
      <c r="I2004" s="570" t="n">
        <v>46.5</v>
      </c>
      <c r="J2004" s="476" t="n"/>
      <c r="K2004" s="813" t="n"/>
      <c r="L2004" s="570" t="n"/>
      <c r="M2004" s="476" t="n"/>
      <c r="N2004" s="490" t="n"/>
      <c r="O2004" s="570" t="n">
        <v>44</v>
      </c>
      <c r="P2004" s="476" t="n"/>
    </row>
    <row r="2005" ht="15.75" customHeight="1" s="2" thickBot="1">
      <c r="A2005" s="477" t="inlineStr">
        <is>
          <t xml:space="preserve">Minimum Hours </t>
        </is>
      </c>
      <c r="B2005" s="836" t="inlineStr">
        <is>
          <t>60% Hours</t>
        </is>
      </c>
      <c r="C2005" s="816" t="inlineStr">
        <is>
          <t>Projected</t>
        </is>
      </c>
      <c r="D2005" s="817" t="inlineStr">
        <is>
          <t>Rostered</t>
        </is>
      </c>
      <c r="E2005" s="836" t="inlineStr">
        <is>
          <t>60% Hours</t>
        </is>
      </c>
      <c r="F2005" s="816" t="inlineStr">
        <is>
          <t>Projected</t>
        </is>
      </c>
      <c r="G2005" s="817" t="inlineStr">
        <is>
          <t>Rostered</t>
        </is>
      </c>
      <c r="H2005" s="836" t="inlineStr">
        <is>
          <t>60% Hours</t>
        </is>
      </c>
      <c r="I2005" s="816" t="inlineStr">
        <is>
          <t>Projected</t>
        </is>
      </c>
      <c r="J2005" s="817" t="inlineStr">
        <is>
          <t>Rostered</t>
        </is>
      </c>
      <c r="K2005" s="836" t="inlineStr">
        <is>
          <t>60% Hours</t>
        </is>
      </c>
      <c r="L2005" s="816" t="inlineStr">
        <is>
          <t>Projected</t>
        </is>
      </c>
      <c r="M2005" s="817" t="inlineStr">
        <is>
          <t>Rostered</t>
        </is>
      </c>
      <c r="N2005" s="836" t="inlineStr">
        <is>
          <t>60% Hours</t>
        </is>
      </c>
      <c r="O2005" s="816" t="inlineStr">
        <is>
          <t>Projected</t>
        </is>
      </c>
      <c r="P2005" s="817" t="inlineStr">
        <is>
          <t>Rostered</t>
        </is>
      </c>
    </row>
    <row r="2006" ht="15.75" customHeight="1" s="2">
      <c r="A2006" s="479" t="inlineStr">
        <is>
          <t>Floor</t>
        </is>
      </c>
      <c r="B2006" s="855" t="n"/>
      <c r="C2006" s="810" t="n">
        <v>415</v>
      </c>
      <c r="D2006" s="811" t="n">
        <v>531</v>
      </c>
      <c r="E2006" s="855" t="n"/>
      <c r="F2006" s="810" t="n">
        <v>575</v>
      </c>
      <c r="G2006" s="811" t="n">
        <v>532</v>
      </c>
      <c r="H2006" s="855" t="n"/>
      <c r="I2006" s="810" t="n">
        <v>393</v>
      </c>
      <c r="J2006" s="811" t="n">
        <v>441</v>
      </c>
      <c r="K2006" s="855" t="n"/>
      <c r="L2006" s="810" t="n">
        <v>582</v>
      </c>
      <c r="M2006" s="811" t="n">
        <v>555</v>
      </c>
      <c r="N2006" s="855" t="n"/>
      <c r="O2006" s="810" t="n">
        <v>529</v>
      </c>
      <c r="P2006" s="811" t="n">
        <v>540</v>
      </c>
    </row>
    <row r="2007" ht="15.75" customHeight="1" s="2" thickBot="1">
      <c r="A2007" s="481" t="inlineStr">
        <is>
          <t>Kitchen</t>
        </is>
      </c>
      <c r="B2007" s="856" t="n"/>
      <c r="C2007" s="813" t="n">
        <v>339</v>
      </c>
      <c r="D2007" s="814" t="n">
        <v>402</v>
      </c>
      <c r="E2007" s="856" t="n"/>
      <c r="F2007" s="840" t="n">
        <v>471</v>
      </c>
      <c r="G2007" s="814" t="n">
        <v>433</v>
      </c>
      <c r="H2007" s="856" t="n"/>
      <c r="I2007" s="813" t="n">
        <v>321</v>
      </c>
      <c r="J2007" s="814" t="n">
        <v>389</v>
      </c>
      <c r="K2007" s="856" t="n"/>
      <c r="L2007" s="813" t="n">
        <v>476</v>
      </c>
      <c r="M2007" s="814" t="n">
        <v>418</v>
      </c>
      <c r="N2007" s="856" t="n"/>
      <c r="O2007" s="813" t="n">
        <v>433</v>
      </c>
      <c r="P2007" s="814" t="n">
        <v>398</v>
      </c>
    </row>
    <row r="2008" ht="15.75" customHeight="1" s="2" thickBot="1">
      <c r="A2008" s="834" t="n"/>
      <c r="B2008" s="836" t="inlineStr">
        <is>
          <t xml:space="preserve">Minimum </t>
        </is>
      </c>
      <c r="C2008" s="926" t="n"/>
      <c r="D2008" s="926" t="n"/>
      <c r="E2008" s="839" t="inlineStr">
        <is>
          <t>Minimum</t>
        </is>
      </c>
      <c r="F2008" s="926" t="n"/>
      <c r="G2008" s="926" t="n"/>
      <c r="H2008" s="839" t="inlineStr">
        <is>
          <t>Minimum</t>
        </is>
      </c>
      <c r="I2008" s="926" t="n"/>
      <c r="J2008" s="926" t="n"/>
      <c r="K2008" s="839" t="inlineStr">
        <is>
          <t>Minimum</t>
        </is>
      </c>
      <c r="L2008" s="926" t="n"/>
      <c r="M2008" s="926" t="n"/>
      <c r="N2008" s="839" t="n"/>
      <c r="O2008" s="835" t="n"/>
      <c r="P2008" s="835" t="n"/>
    </row>
    <row r="2009" ht="15.75" customHeight="1" s="2">
      <c r="A2009" s="834" t="n"/>
      <c r="B2009" s="837" t="n"/>
      <c r="C2009" s="926" t="n"/>
      <c r="D2009" s="926" t="n"/>
      <c r="E2009" s="837" t="n"/>
      <c r="F2009" s="926" t="n"/>
      <c r="G2009" s="926" t="n"/>
      <c r="H2009" s="837" t="n"/>
      <c r="I2009" s="926" t="n"/>
      <c r="J2009" s="926" t="n"/>
      <c r="K2009" s="837" t="n"/>
      <c r="L2009" s="926" t="n"/>
      <c r="M2009" s="926" t="n"/>
      <c r="N2009" s="837" t="n"/>
      <c r="O2009" s="835" t="n"/>
      <c r="P2009" s="835" t="n"/>
    </row>
    <row r="2010" ht="15.75" customHeight="1" s="2" thickBot="1">
      <c r="B2010" s="838" t="n"/>
      <c r="C2010" s="927" t="n"/>
      <c r="D2010" s="927" t="n"/>
      <c r="E2010" s="838" t="n"/>
      <c r="F2010" s="927" t="n"/>
      <c r="G2010" s="927" t="n"/>
      <c r="H2010" s="838" t="n"/>
      <c r="I2010" s="927" t="n"/>
      <c r="J2010" s="927" t="n"/>
      <c r="K2010" s="838" t="n"/>
      <c r="L2010" s="927" t="n"/>
      <c r="M2010" s="927" t="n"/>
      <c r="N2010" s="838" t="n"/>
    </row>
    <row r="2011" ht="15.75" customHeight="1" s="2" thickBot="1">
      <c r="A2011" s="506" t="inlineStr">
        <is>
          <t>Training explanation</t>
        </is>
      </c>
      <c r="C2011" s="523" t="inlineStr">
        <is>
          <t>Floor</t>
        </is>
      </c>
      <c r="D2011" s="524" t="inlineStr">
        <is>
          <t>Kitchen</t>
        </is>
      </c>
      <c r="E2011" s="509" t="n"/>
      <c r="F2011" s="507" t="inlineStr">
        <is>
          <t>Floor</t>
        </is>
      </c>
      <c r="G2011" s="508" t="inlineStr">
        <is>
          <t>Kitchen</t>
        </is>
      </c>
      <c r="H2011" s="510" t="n"/>
      <c r="I2011" s="535" t="n"/>
      <c r="J2011" s="511" t="n"/>
      <c r="K2011" s="512" t="n"/>
      <c r="L2011" s="535" t="inlineStr">
        <is>
          <t>kitchen</t>
        </is>
      </c>
      <c r="M2011" s="513" t="n"/>
      <c r="N2011" s="512" t="n"/>
      <c r="O2011" s="535" t="inlineStr">
        <is>
          <t>kitchen</t>
        </is>
      </c>
      <c r="P2011" s="513" t="inlineStr">
        <is>
          <t>Floor</t>
        </is>
      </c>
    </row>
    <row r="2012" ht="15.75" customHeight="1" s="2">
      <c r="A2012" s="506" t="inlineStr">
        <is>
          <t>Who is being Trained</t>
        </is>
      </c>
      <c r="C2012" s="525" t="n"/>
      <c r="D2012" s="527" t="n"/>
      <c r="E2012" s="514" t="n"/>
      <c r="F2012" s="525" t="n"/>
      <c r="G2012" s="527" t="n"/>
      <c r="H2012" s="515" t="n"/>
      <c r="I2012" s="531" t="n"/>
      <c r="J2012" s="824" t="n"/>
      <c r="K2012" s="515" t="n"/>
      <c r="L2012" s="536" t="n"/>
      <c r="M2012" s="532" t="n"/>
      <c r="N2012" s="515" t="n"/>
      <c r="O2012" s="536" t="inlineStr">
        <is>
          <t>partho milko (6hr)</t>
        </is>
      </c>
      <c r="P2012" s="555" t="inlineStr">
        <is>
          <t>kris ind t1-t4) 24hrs</t>
        </is>
      </c>
    </row>
    <row r="2013" ht="15.75" customHeight="1" s="2">
      <c r="C2013" s="891" t="n"/>
      <c r="D2013" s="526" t="n"/>
      <c r="E2013" s="514" t="n"/>
      <c r="F2013" s="891" t="n"/>
      <c r="G2013" s="526" t="n"/>
      <c r="H2013" s="516" t="n"/>
      <c r="I2013" s="1656" t="n"/>
      <c r="J2013" s="530" t="n"/>
      <c r="K2013" s="516" t="n"/>
      <c r="L2013" s="542" t="n"/>
      <c r="M2013" s="530" t="n"/>
      <c r="N2013" s="516" t="n"/>
      <c r="O2013" s="542" t="inlineStr">
        <is>
          <t>kalina ind t1 -t3-</t>
        </is>
      </c>
      <c r="P2013" s="530" t="n"/>
    </row>
    <row r="2014" ht="15.75" customHeight="1" s="2">
      <c r="C2014" s="550" t="n"/>
      <c r="D2014" s="527" t="n"/>
      <c r="E2014" s="514" t="n"/>
      <c r="F2014" s="531" t="n"/>
      <c r="G2014" s="530" t="n"/>
      <c r="H2014" s="516" t="n"/>
      <c r="I2014" s="537" t="n"/>
      <c r="J2014" s="530" t="n"/>
      <c r="K2014" s="516" t="n"/>
      <c r="L2014" s="1657" t="n"/>
      <c r="M2014" s="539" t="n"/>
      <c r="N2014" s="516" t="n"/>
      <c r="O2014" s="542" t="n"/>
      <c r="P2014" s="539" t="n"/>
    </row>
    <row r="2015" ht="15.75" customHeight="1" s="2">
      <c r="C2015" s="551" t="n"/>
      <c r="D2015" s="561" t="n"/>
      <c r="E2015" s="519" t="n"/>
      <c r="F2015" s="517" t="n"/>
      <c r="G2015" s="1659">
        <f>5066-4445</f>
        <v/>
      </c>
      <c r="H2015" s="516" t="n"/>
      <c r="I2015" s="537" t="n"/>
      <c r="J2015" s="530" t="n"/>
      <c r="K2015" s="516" t="n"/>
      <c r="L2015" s="537" t="n"/>
      <c r="M2015" s="539" t="n"/>
      <c r="N2015" s="516" t="n"/>
      <c r="O2015" s="537" t="n"/>
      <c r="P2015" s="539" t="n"/>
    </row>
    <row r="2016" ht="15.75" customHeight="1" s="2">
      <c r="C2016" s="551" t="n"/>
      <c r="D2016" s="528" t="n"/>
      <c r="E2016" s="519" t="n"/>
      <c r="F2016" s="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016" s="518" t="n"/>
      <c r="H2016" s="516" t="n"/>
      <c r="I2016" s="537" t="n"/>
      <c r="J2016" s="533" t="n"/>
      <c r="K2016" s="516" t="n"/>
      <c r="L2016" s="537" t="n"/>
      <c r="M2016" s="540" t="n"/>
      <c r="N2016" s="516" t="n"/>
      <c r="O2016" s="537" t="n"/>
      <c r="P2016" s="540" t="n"/>
    </row>
    <row r="2017" ht="15.75" customHeight="1" s="2" thickBot="1"/>
    <row r="2018" hidden="1" ht="129" customHeight="1" s="2" thickBot="1"/>
    <row r="2019" ht="15.75" customHeight="1" s="2" thickBot="1">
      <c r="B2019" s="1652" t="inlineStr">
        <is>
          <t>28.2.22</t>
        </is>
      </c>
      <c r="C2019" s="1641" t="n"/>
      <c r="D2019" s="1502" t="n"/>
      <c r="E2019" s="1640" t="inlineStr">
        <is>
          <t>7.3.22</t>
        </is>
      </c>
      <c r="F2019" s="1641" t="n"/>
      <c r="G2019" s="1502" t="n"/>
      <c r="H2019" s="1640" t="inlineStr">
        <is>
          <t>14.3.22</t>
        </is>
      </c>
      <c r="I2019" s="1641" t="n"/>
      <c r="J2019" s="1502" t="n"/>
      <c r="K2019" s="1640" t="inlineStr">
        <is>
          <t>21.3.22</t>
        </is>
      </c>
      <c r="L2019" s="1641" t="n"/>
      <c r="M2019" s="1502" t="n"/>
      <c r="N2019" s="1660" t="inlineStr">
        <is>
          <t>28.3.2022</t>
        </is>
      </c>
      <c r="O2019" s="1641" t="n"/>
      <c r="P2019" s="1502" t="n"/>
    </row>
    <row r="2020" ht="15.75" customHeight="1" s="2" thickBot="1">
      <c r="A2020" s="455" t="n"/>
      <c r="B2020" s="923" t="inlineStr">
        <is>
          <t>LAST YEAR</t>
        </is>
      </c>
      <c r="C2020" s="924" t="inlineStr">
        <is>
          <t>Actual</t>
        </is>
      </c>
      <c r="D2020" s="925" t="inlineStr">
        <is>
          <t>Projected</t>
        </is>
      </c>
      <c r="E2020" s="923" t="inlineStr">
        <is>
          <t>LAST YEAR</t>
        </is>
      </c>
      <c r="F2020" s="924" t="inlineStr">
        <is>
          <t>Actual</t>
        </is>
      </c>
      <c r="G2020" s="925" t="inlineStr">
        <is>
          <t>Projected</t>
        </is>
      </c>
      <c r="H2020" s="923" t="inlineStr">
        <is>
          <t>LAST YEAR</t>
        </is>
      </c>
      <c r="I2020" s="924" t="inlineStr">
        <is>
          <t>Actual</t>
        </is>
      </c>
      <c r="J2020" s="925" t="inlineStr">
        <is>
          <t>Projected</t>
        </is>
      </c>
      <c r="K2020" s="923" t="inlineStr">
        <is>
          <t>LAST YEAR</t>
        </is>
      </c>
      <c r="L2020" s="924" t="inlineStr">
        <is>
          <t>Actual</t>
        </is>
      </c>
      <c r="M2020" s="925" t="inlineStr">
        <is>
          <t>Projected</t>
        </is>
      </c>
      <c r="N2020" s="923" t="inlineStr">
        <is>
          <t>LAST YEAR</t>
        </is>
      </c>
      <c r="O2020" s="924" t="inlineStr">
        <is>
          <t>Actual</t>
        </is>
      </c>
      <c r="P2020" s="925" t="inlineStr">
        <is>
          <t>Projected</t>
        </is>
      </c>
    </row>
    <row r="2021" ht="15.75" customHeight="1" s="2">
      <c r="A2021" s="459" t="inlineStr">
        <is>
          <t>Total Receipts</t>
        </is>
      </c>
      <c r="B2021" s="1653" t="n">
        <v>85545.83</v>
      </c>
      <c r="C2021" s="1631" t="n">
        <v>88581.32000000001</v>
      </c>
      <c r="D2021" s="1622" t="n">
        <v>86848</v>
      </c>
      <c r="E2021" s="1644" t="n">
        <v>88141</v>
      </c>
      <c r="F2021" s="1631" t="n">
        <v>83973.28</v>
      </c>
      <c r="G2021" s="1645" t="n">
        <v>95073</v>
      </c>
      <c r="H2021" s="1653" t="n">
        <v>76044.53</v>
      </c>
      <c r="I2021" s="1631" t="n">
        <v>101988.89</v>
      </c>
      <c r="J2021" s="1622" t="n">
        <v>88613</v>
      </c>
      <c r="K2021" s="1653" t="n">
        <v>68645.72</v>
      </c>
      <c r="L2021" s="1643" t="n">
        <v>102563.44</v>
      </c>
      <c r="M2021" s="1645" t="n">
        <v>86959</v>
      </c>
      <c r="N2021" s="1653" t="n">
        <v>84149.37</v>
      </c>
      <c r="O2021" s="1631" t="n">
        <v>87030.39999999999</v>
      </c>
      <c r="P2021" s="1622" t="n">
        <v>87015</v>
      </c>
    </row>
    <row r="2022" ht="15.75" customHeight="1" s="2">
      <c r="A2022" s="462" t="inlineStr">
        <is>
          <t>Nett Sales</t>
        </is>
      </c>
      <c r="B2022" s="1646" t="n">
        <v>77768.94</v>
      </c>
      <c r="C2022" s="1632" t="n">
        <v>80528.47</v>
      </c>
      <c r="D2022" s="1625" t="n">
        <v>78952</v>
      </c>
      <c r="E2022" s="1646" t="n">
        <v>80128.72</v>
      </c>
      <c r="F2022" s="1632" t="n">
        <v>76339.35000000001</v>
      </c>
      <c r="G2022" s="1637" t="n">
        <v>86429</v>
      </c>
      <c r="H2022" s="1646" t="n">
        <v>69131.39</v>
      </c>
      <c r="I2022" s="1632" t="n">
        <v>92717.19</v>
      </c>
      <c r="J2022" s="1625" t="n">
        <v>80556.8</v>
      </c>
      <c r="K2022" s="1646" t="n">
        <v>62405.2</v>
      </c>
      <c r="L2022" s="1632" t="n">
        <v>93239.47</v>
      </c>
      <c r="M2022" s="1625" t="n">
        <v>79053.39999999999</v>
      </c>
      <c r="N2022" s="1646" t="n">
        <v>76499</v>
      </c>
      <c r="O2022" s="1632" t="n">
        <v>79118.7</v>
      </c>
      <c r="P2022" s="1625" t="n">
        <v>79104.5</v>
      </c>
    </row>
    <row r="2023" ht="15.75" customHeight="1" s="2">
      <c r="A2023" s="462" t="inlineStr">
        <is>
          <t>Customers</t>
        </is>
      </c>
      <c r="B2023" s="866" t="n">
        <v>3785</v>
      </c>
      <c r="C2023" s="565" t="n">
        <v>3857</v>
      </c>
      <c r="D2023" s="466" t="n">
        <v>3865</v>
      </c>
      <c r="E2023" s="866" t="n">
        <v>3909</v>
      </c>
      <c r="F2023" s="565" t="n">
        <v>3835</v>
      </c>
      <c r="G2023" s="466" t="n">
        <v>4260</v>
      </c>
      <c r="H2023" s="866" t="n">
        <v>3312</v>
      </c>
      <c r="I2023" s="565" t="n">
        <v>4345</v>
      </c>
      <c r="J2023" s="466" t="n">
        <v>3915</v>
      </c>
      <c r="K2023" s="866" t="n">
        <v>2947</v>
      </c>
      <c r="L2023" s="565" t="n">
        <v>4486</v>
      </c>
      <c r="M2023" s="466" t="n">
        <v>3825</v>
      </c>
      <c r="N2023" s="866" t="n">
        <v>3824</v>
      </c>
      <c r="O2023" s="565" t="n">
        <v>3907</v>
      </c>
      <c r="P2023" s="1655" t="n">
        <v>3820</v>
      </c>
    </row>
    <row r="2024" ht="15.75" customHeight="1" s="2">
      <c r="A2024" s="462" t="inlineStr">
        <is>
          <t>Average Customer Spend</t>
        </is>
      </c>
      <c r="B2024" s="1654" t="n">
        <v>22.6</v>
      </c>
      <c r="C2024" s="1635" t="n">
        <v>22.95</v>
      </c>
      <c r="D2024" s="1628" t="n">
        <v>22.47</v>
      </c>
      <c r="E2024" s="1648" t="n">
        <v>22.55</v>
      </c>
      <c r="F2024" s="1635" t="n">
        <v>21.9</v>
      </c>
      <c r="G2024" s="1649" t="n">
        <v>22.32</v>
      </c>
      <c r="H2024" s="1654" t="n">
        <v>22.96</v>
      </c>
      <c r="I2024" s="1635" t="n">
        <v>22.9</v>
      </c>
      <c r="J2024" s="1628" t="n">
        <v>22.63</v>
      </c>
      <c r="K2024" s="1654">
        <f>K2021/K2023</f>
        <v/>
      </c>
      <c r="L2024" s="1647" t="n">
        <v>22.86</v>
      </c>
      <c r="M2024" s="1649" t="n">
        <v>22.73</v>
      </c>
      <c r="N2024" s="1654">
        <f>N2021/3824</f>
        <v/>
      </c>
      <c r="O2024" s="1635" t="n">
        <v>22.28</v>
      </c>
      <c r="P2024" s="1628" t="n">
        <v>22.78</v>
      </c>
    </row>
    <row r="2025" ht="15.75" customHeight="1" s="2">
      <c r="A2025" s="462" t="inlineStr">
        <is>
          <t>Wage % to Total Receipts</t>
        </is>
      </c>
      <c r="B2025" s="890" t="n">
        <v>0.3482</v>
      </c>
      <c r="C2025" s="567" t="n">
        <v>0.3847</v>
      </c>
      <c r="D2025" s="470" t="n">
        <v>0.3878</v>
      </c>
      <c r="E2025" s="868" t="n">
        <v>0.351</v>
      </c>
      <c r="F2025" s="567" t="n">
        <v>0.3812</v>
      </c>
      <c r="G2025" s="863" t="n">
        <v>0.368</v>
      </c>
      <c r="H2025" s="890" t="n">
        <v>0.4142</v>
      </c>
      <c r="I2025" s="567" t="n">
        <v>0.3079</v>
      </c>
      <c r="J2025" s="470" t="n">
        <v>0.382</v>
      </c>
      <c r="K2025" s="890" t="n">
        <v>0.4848</v>
      </c>
      <c r="L2025" s="860" t="n">
        <v>0.2959</v>
      </c>
      <c r="M2025" s="863" t="n">
        <v>0.3888</v>
      </c>
      <c r="N2025" s="890" t="n">
        <v>0.4004</v>
      </c>
      <c r="O2025" s="567" t="n">
        <v>0.3508</v>
      </c>
      <c r="P2025" s="470" t="n">
        <v>0.3839</v>
      </c>
    </row>
    <row r="2026" ht="15.75" customHeight="1" s="2">
      <c r="A2026" s="462" t="inlineStr">
        <is>
          <t>Wage % to Nett Sales</t>
        </is>
      </c>
      <c r="B2026" s="890" t="n">
        <v>0.383</v>
      </c>
      <c r="C2026" s="567" t="n">
        <v>0.4232</v>
      </c>
      <c r="D2026" s="470" t="n">
        <v>0.4266</v>
      </c>
      <c r="E2026" s="868" t="n">
        <v>0.3861</v>
      </c>
      <c r="F2026" s="567" t="n">
        <v>0.4193</v>
      </c>
      <c r="G2026" s="863" t="n">
        <v>0.0448</v>
      </c>
      <c r="H2026" s="890" t="n">
        <v>0.4556</v>
      </c>
      <c r="I2026" s="567" t="n">
        <v>0.3387</v>
      </c>
      <c r="J2026" s="470" t="n">
        <v>0.4202</v>
      </c>
      <c r="K2026" s="890" t="n">
        <v>0.5333</v>
      </c>
      <c r="L2026" s="860" t="n">
        <v>0.3255</v>
      </c>
      <c r="M2026" s="863" t="n">
        <v>0.4277</v>
      </c>
      <c r="N2026" s="890" t="n">
        <v>0.4404</v>
      </c>
      <c r="O2026" s="567" t="n">
        <v>0.3858</v>
      </c>
      <c r="P2026" s="470" t="n">
        <v>0.4223</v>
      </c>
    </row>
    <row r="2027" ht="15.75" customHeight="1" s="2">
      <c r="A2027" s="462" t="inlineStr">
        <is>
          <t>Productivity</t>
        </is>
      </c>
      <c r="B2027" s="869" t="n">
        <v>4.69</v>
      </c>
      <c r="C2027" s="568" t="n">
        <v>4.09</v>
      </c>
      <c r="D2027" s="472" t="n">
        <v>4.2</v>
      </c>
      <c r="E2027" s="869" t="n">
        <v>4.81</v>
      </c>
      <c r="F2027" s="568" t="n">
        <v>4.32</v>
      </c>
      <c r="G2027" s="472" t="n">
        <v>4.5</v>
      </c>
      <c r="H2027" s="869" t="n">
        <v>4.14</v>
      </c>
      <c r="I2027" s="568" t="n">
        <v>4.97</v>
      </c>
      <c r="J2027" s="472" t="n">
        <v>4.25</v>
      </c>
      <c r="K2027" s="869" t="n">
        <v>3.56</v>
      </c>
      <c r="L2027" s="568" t="n">
        <v>5.55</v>
      </c>
      <c r="M2027" s="472" t="n">
        <v>4.2</v>
      </c>
      <c r="N2027" s="869" t="n">
        <v>4.35</v>
      </c>
      <c r="O2027" s="568" t="n">
        <v>4.94</v>
      </c>
      <c r="P2027" s="472" t="n">
        <v>4.2</v>
      </c>
    </row>
    <row r="2028" ht="15.75" customHeight="1" s="2">
      <c r="A2028" s="462" t="inlineStr">
        <is>
          <t>Average Hourly Rate</t>
        </is>
      </c>
      <c r="B2028" s="869" t="n">
        <v>36.92</v>
      </c>
      <c r="C2028" s="568" t="n">
        <v>36.15</v>
      </c>
      <c r="D2028" s="1628" t="n">
        <v>36.75</v>
      </c>
      <c r="E2028" s="869" t="n">
        <v>38.09</v>
      </c>
      <c r="F2028" s="568" t="n">
        <v>36.06</v>
      </c>
      <c r="G2028" s="1628" t="n">
        <v>36.75</v>
      </c>
      <c r="H2028" s="869" t="n">
        <v>39.36</v>
      </c>
      <c r="I2028" s="568" t="n">
        <v>35.9</v>
      </c>
      <c r="J2028" s="1628" t="n">
        <v>36.75</v>
      </c>
      <c r="K2028" s="869" t="n">
        <v>40.26</v>
      </c>
      <c r="L2028" s="568" t="n">
        <v>37.53</v>
      </c>
      <c r="M2028" s="1649" t="n">
        <v>36.75</v>
      </c>
      <c r="N2028" s="869" t="n">
        <v>38.33</v>
      </c>
      <c r="O2028" s="568" t="n">
        <v>38.6</v>
      </c>
      <c r="P2028" s="1628" t="n">
        <v>36.75</v>
      </c>
    </row>
    <row r="2029" ht="15.75" customHeight="1" s="2">
      <c r="A2029" s="462" t="inlineStr">
        <is>
          <t>Total hours for productivity</t>
        </is>
      </c>
      <c r="B2029" s="869" t="n">
        <v>806.75</v>
      </c>
      <c r="C2029" s="568" t="n">
        <v>942.75</v>
      </c>
      <c r="D2029" s="466" t="n">
        <v>916.5</v>
      </c>
      <c r="E2029" s="869" t="n">
        <v>812.25</v>
      </c>
      <c r="F2029" s="568" t="n">
        <v>887.75</v>
      </c>
      <c r="G2029" s="466" t="n">
        <v>952</v>
      </c>
      <c r="H2029" s="869" t="n">
        <v>800.25</v>
      </c>
      <c r="I2029" s="568" t="n">
        <v>874.75</v>
      </c>
      <c r="J2029" s="472" t="n">
        <v>921</v>
      </c>
      <c r="K2029" s="869" t="n">
        <v>826.75</v>
      </c>
      <c r="L2029" s="568" t="n">
        <v>808.5</v>
      </c>
      <c r="M2029" s="466" t="n">
        <v>920</v>
      </c>
      <c r="N2029" s="869" t="n">
        <v>879</v>
      </c>
      <c r="O2029" s="568" t="n">
        <v>920.5</v>
      </c>
      <c r="P2029" s="466" t="n">
        <v>909</v>
      </c>
    </row>
    <row r="2030" ht="15.75" customHeight="1" s="2">
      <c r="A2030" s="462" t="inlineStr">
        <is>
          <t>Training Hours used</t>
        </is>
      </c>
      <c r="B2030" s="870" t="n">
        <v>5</v>
      </c>
      <c r="C2030" s="569" t="n">
        <v>59</v>
      </c>
      <c r="D2030" s="466" t="n">
        <v>14.5</v>
      </c>
      <c r="E2030" s="466" t="n"/>
      <c r="F2030" s="569" t="n">
        <v>78.5</v>
      </c>
      <c r="G2030" s="466" t="n"/>
      <c r="H2030" s="870" t="n">
        <v>10</v>
      </c>
      <c r="I2030" s="569" t="n">
        <v>36.5</v>
      </c>
      <c r="J2030" s="466" t="n"/>
      <c r="K2030" s="870" t="n">
        <v>21.5</v>
      </c>
      <c r="L2030" s="569" t="n">
        <v>0</v>
      </c>
      <c r="M2030" s="466" t="n"/>
      <c r="N2030" s="870" t="n">
        <v>30</v>
      </c>
      <c r="O2030" s="569" t="n"/>
      <c r="P2030" s="466" t="n"/>
    </row>
    <row r="2031" ht="15.75" customHeight="1" s="2" thickBot="1">
      <c r="A2031" s="474" t="inlineStr">
        <is>
          <t>Number of hours used to cover sick leave</t>
        </is>
      </c>
      <c r="B2031" s="813" t="n"/>
      <c r="C2031" s="570" t="n">
        <v>22</v>
      </c>
      <c r="D2031" s="476" t="n"/>
      <c r="E2031" s="476" t="n"/>
      <c r="F2031" s="570" t="n">
        <v>27.5</v>
      </c>
      <c r="G2031" s="476" t="n"/>
      <c r="H2031" s="813" t="n"/>
      <c r="I2031" s="570" t="n">
        <v>22.75</v>
      </c>
      <c r="J2031" s="476" t="n"/>
      <c r="K2031" s="813" t="n">
        <v>60</v>
      </c>
      <c r="L2031" s="570" t="n">
        <v>39.5</v>
      </c>
      <c r="M2031" s="476" t="n">
        <v>37</v>
      </c>
      <c r="N2031" s="813" t="n">
        <v>42.75</v>
      </c>
      <c r="O2031" s="570" t="n"/>
      <c r="P2031" s="476" t="n"/>
    </row>
    <row r="2032" ht="15.75" customHeight="1" s="2" thickBot="1">
      <c r="A2032" s="477" t="inlineStr">
        <is>
          <t xml:space="preserve">Minimum Hours </t>
        </is>
      </c>
      <c r="B2032" s="836" t="inlineStr">
        <is>
          <t>60% Hours</t>
        </is>
      </c>
      <c r="C2032" s="816" t="inlineStr">
        <is>
          <t>Projected</t>
        </is>
      </c>
      <c r="D2032" s="817" t="inlineStr">
        <is>
          <t>Rostered</t>
        </is>
      </c>
      <c r="E2032" s="836" t="inlineStr">
        <is>
          <t>60% Hours</t>
        </is>
      </c>
      <c r="F2032" s="816" t="inlineStr">
        <is>
          <t>Projected</t>
        </is>
      </c>
      <c r="G2032" s="817" t="inlineStr">
        <is>
          <t>Rostered</t>
        </is>
      </c>
      <c r="H2032" s="836" t="inlineStr">
        <is>
          <t>60% Hours</t>
        </is>
      </c>
      <c r="I2032" s="816" t="inlineStr">
        <is>
          <t>Projected</t>
        </is>
      </c>
      <c r="J2032" s="817" t="inlineStr">
        <is>
          <t>Rostered</t>
        </is>
      </c>
      <c r="K2032" s="836" t="inlineStr">
        <is>
          <t>60% Hours</t>
        </is>
      </c>
      <c r="L2032" s="816" t="inlineStr">
        <is>
          <t>Projected</t>
        </is>
      </c>
      <c r="M2032" s="817" t="inlineStr">
        <is>
          <t>Rostered</t>
        </is>
      </c>
      <c r="N2032" s="934" t="inlineStr">
        <is>
          <t>60% Hours</t>
        </is>
      </c>
      <c r="O2032" s="935" t="inlineStr">
        <is>
          <t>Projected</t>
        </is>
      </c>
      <c r="P2032" s="936" t="inlineStr">
        <is>
          <t>Rostered</t>
        </is>
      </c>
    </row>
    <row r="2033" ht="15.75" customHeight="1" s="2">
      <c r="A2033" s="479" t="inlineStr">
        <is>
          <t>Floor</t>
        </is>
      </c>
      <c r="B2033" s="855" t="n"/>
      <c r="C2033" s="810" t="n">
        <v>493</v>
      </c>
      <c r="D2033" s="811" t="n">
        <v>533.5</v>
      </c>
      <c r="E2033" s="855" t="n"/>
      <c r="F2033" s="810" t="n">
        <v>551</v>
      </c>
      <c r="G2033" s="811" t="n">
        <v>542</v>
      </c>
      <c r="H2033" s="855" t="n"/>
      <c r="I2033" s="810" t="n"/>
      <c r="J2033" s="811" t="n"/>
      <c r="K2033" s="855" t="n"/>
      <c r="L2033" s="810" t="n"/>
      <c r="M2033" s="811" t="n"/>
      <c r="N2033" s="837" t="n"/>
      <c r="O2033" s="810" t="n"/>
      <c r="P2033" s="811" t="n"/>
    </row>
    <row r="2034" ht="15.75" customHeight="1" s="2" thickBot="1">
      <c r="A2034" s="481" t="inlineStr">
        <is>
          <t>Kitchen</t>
        </is>
      </c>
      <c r="B2034" s="856" t="n"/>
      <c r="C2034" s="813" t="n">
        <v>403</v>
      </c>
      <c r="D2034" s="814" t="n">
        <v>390.05</v>
      </c>
      <c r="E2034" s="856" t="n"/>
      <c r="F2034" s="840" t="n">
        <v>451</v>
      </c>
      <c r="G2034" s="814" t="n">
        <v>410</v>
      </c>
      <c r="H2034" s="856" t="n"/>
      <c r="I2034" s="813" t="n"/>
      <c r="J2034" s="814" t="n"/>
      <c r="K2034" s="856" t="n"/>
      <c r="L2034" s="813" t="n"/>
      <c r="M2034" s="814" t="n"/>
      <c r="N2034" s="838" t="n"/>
      <c r="O2034" s="813" t="n"/>
      <c r="P2034" s="814" t="n"/>
    </row>
    <row r="2035" ht="15.75" customHeight="1" s="2" thickBot="1">
      <c r="A2035" s="834" t="n"/>
      <c r="B2035" s="836" t="inlineStr">
        <is>
          <t xml:space="preserve">Minimum </t>
        </is>
      </c>
      <c r="C2035" s="926" t="n"/>
      <c r="D2035" s="926" t="n"/>
      <c r="E2035" s="839" t="inlineStr">
        <is>
          <t>Minimum</t>
        </is>
      </c>
      <c r="F2035" s="926" t="n"/>
      <c r="G2035" s="926" t="n"/>
      <c r="H2035" s="839" t="inlineStr">
        <is>
          <t>Minimum</t>
        </is>
      </c>
      <c r="I2035" s="926" t="n"/>
      <c r="J2035" s="926" t="n"/>
      <c r="K2035" s="839" t="inlineStr">
        <is>
          <t>Minimum</t>
        </is>
      </c>
      <c r="L2035" s="926" t="n"/>
      <c r="M2035" s="926" t="n"/>
      <c r="N2035" s="839" t="n"/>
      <c r="O2035" s="835" t="n"/>
      <c r="P2035" s="835" t="n"/>
    </row>
    <row r="2036" ht="15.75" customHeight="1" s="2">
      <c r="A2036" s="834" t="n"/>
      <c r="B2036" s="837" t="n"/>
      <c r="C2036" s="926" t="n"/>
      <c r="D2036" s="926" t="n"/>
      <c r="E2036" s="837" t="n"/>
      <c r="F2036" s="926" t="n"/>
      <c r="G2036" s="926" t="n"/>
      <c r="H2036" s="837" t="n"/>
      <c r="I2036" s="926" t="n"/>
      <c r="J2036" s="926" t="n"/>
      <c r="K2036" s="837" t="n"/>
      <c r="L2036" s="926" t="n"/>
      <c r="M2036" s="926" t="n"/>
      <c r="N2036" s="837" t="n"/>
      <c r="O2036" s="835" t="n"/>
      <c r="P2036" s="835" t="n"/>
    </row>
    <row r="2037" ht="15.75" customHeight="1" s="2" thickBot="1">
      <c r="B2037" s="838" t="n"/>
      <c r="C2037" s="927" t="n"/>
      <c r="D2037" s="927" t="n"/>
      <c r="E2037" s="838" t="n"/>
      <c r="F2037" s="927" t="n"/>
      <c r="G2037" s="927" t="n"/>
      <c r="H2037" s="838" t="n"/>
      <c r="I2037" s="927" t="n"/>
      <c r="J2037" s="927" t="n"/>
      <c r="K2037" s="838" t="n"/>
      <c r="L2037" s="927" t="n"/>
      <c r="M2037" s="927" t="n"/>
      <c r="N2037" s="838" t="n"/>
    </row>
    <row r="2038" ht="15.75" customHeight="1" s="2" thickBot="1">
      <c r="A2038" s="506" t="inlineStr">
        <is>
          <t>Training explanation</t>
        </is>
      </c>
      <c r="C2038" s="523" t="inlineStr">
        <is>
          <t>Floor</t>
        </is>
      </c>
      <c r="D2038" s="524" t="inlineStr">
        <is>
          <t>Kitchen</t>
        </is>
      </c>
      <c r="E2038" s="509" t="n"/>
      <c r="F2038" s="507" t="inlineStr">
        <is>
          <t>Floor</t>
        </is>
      </c>
      <c r="G2038" s="508" t="inlineStr">
        <is>
          <t>Kitchen</t>
        </is>
      </c>
      <c r="H2038" s="510" t="n"/>
      <c r="I2038" s="535" t="inlineStr">
        <is>
          <t>floor</t>
        </is>
      </c>
      <c r="J2038" s="511" t="inlineStr">
        <is>
          <t>kitchen</t>
        </is>
      </c>
      <c r="K2038" s="512" t="n"/>
      <c r="L2038" s="535" t="inlineStr">
        <is>
          <t>kitchen</t>
        </is>
      </c>
      <c r="M2038" s="513" t="n"/>
      <c r="N2038" s="512" t="n"/>
      <c r="O2038" s="535" t="inlineStr">
        <is>
          <t>kitchen</t>
        </is>
      </c>
      <c r="P2038" s="513" t="n"/>
    </row>
    <row r="2039" ht="15.75" customHeight="1" s="2">
      <c r="A2039" s="506" t="inlineStr">
        <is>
          <t>Who is being Trained</t>
        </is>
      </c>
      <c r="C2039" s="525" t="inlineStr">
        <is>
          <t xml:space="preserve">kris 7.5 hr </t>
        </is>
      </c>
      <c r="D2039" s="527" t="inlineStr">
        <is>
          <t>kalina 5hr</t>
        </is>
      </c>
      <c r="E2039" s="514" t="n"/>
      <c r="F2039" s="525" t="inlineStr">
        <is>
          <t>riley (t1 -t5 )33hr</t>
        </is>
      </c>
      <c r="G2039" s="527" t="inlineStr">
        <is>
          <t>Niloy 23.5hr</t>
        </is>
      </c>
      <c r="H2039" s="515" t="n"/>
      <c r="I2039" s="531" t="inlineStr">
        <is>
          <t>ishita(sr)=8.5</t>
        </is>
      </c>
      <c r="J2039" s="824" t="inlineStr">
        <is>
          <t>niraj (ind + grill )=19hr</t>
        </is>
      </c>
      <c r="K2039" s="515" t="n"/>
      <c r="L2039" s="536" t="n"/>
      <c r="M2039" s="532" t="n"/>
      <c r="N2039" s="515" t="n"/>
      <c r="O2039" s="536" t="inlineStr">
        <is>
          <t>kris(7.5hr bar milko t1</t>
        </is>
      </c>
      <c r="P2039" s="532" t="inlineStr">
        <is>
          <t>niraj( creping )5.5hr</t>
        </is>
      </c>
    </row>
    <row r="2040" ht="15.75" customHeight="1" s="2">
      <c r="C2040" s="891" t="inlineStr">
        <is>
          <t>NIKITA 2HR</t>
        </is>
      </c>
      <c r="D2040" s="526" t="inlineStr">
        <is>
          <t xml:space="preserve">bikram 20hr </t>
        </is>
      </c>
      <c r="E2040" s="514" t="n"/>
      <c r="F2040" s="891" t="inlineStr">
        <is>
          <t>nikita  2hr payroll</t>
        </is>
      </c>
      <c r="G2040" s="526" t="inlineStr">
        <is>
          <t>Bikram 14hr</t>
        </is>
      </c>
      <c r="H2040" s="516" t="n"/>
      <c r="I2040" s="1656" t="inlineStr">
        <is>
          <t>kris bar(t1 t2)=9hr</t>
        </is>
      </c>
      <c r="J2040" s="530" t="n"/>
      <c r="K2040" s="516" t="n"/>
      <c r="L2040" s="542" t="n"/>
      <c r="M2040" s="530" t="n"/>
      <c r="N2040" s="516" t="n"/>
      <c r="O2040" s="542" t="n"/>
      <c r="P2040" s="530" t="n"/>
    </row>
    <row r="2041" ht="15.75" customHeight="1" s="2">
      <c r="C2041" s="550" t="n"/>
      <c r="D2041" s="527" t="inlineStr">
        <is>
          <t>niloy 19.5hr</t>
        </is>
      </c>
      <c r="E2041" s="514" t="n"/>
      <c r="F2041" s="531" t="inlineStr">
        <is>
          <t>ishita 6 hr sup</t>
        </is>
      </c>
      <c r="G2041" s="530" t="n"/>
      <c r="H2041" s="516" t="n"/>
      <c r="I2041" s="537" t="n"/>
      <c r="J2041" s="530" t="n"/>
      <c r="K2041" s="516" t="n"/>
      <c r="L2041" s="1657" t="n"/>
      <c r="M2041" s="539" t="n"/>
      <c r="N2041" s="516" t="n"/>
      <c r="O2041" s="542" t="n"/>
      <c r="P2041" s="539" t="n"/>
    </row>
    <row r="2042" ht="15.75" customHeight="1" s="2">
      <c r="C2042" s="561" t="inlineStr">
        <is>
          <t xml:space="preserve">RILEY 5HR IND </t>
        </is>
      </c>
      <c r="D2042" s="561" t="n"/>
      <c r="E2042" s="519" t="n"/>
      <c r="F2042" s="517" t="n"/>
      <c r="G2042" s="1659" t="n"/>
      <c r="H2042" s="516" t="n"/>
      <c r="I2042" s="537" t="n"/>
      <c r="J2042" s="530" t="n"/>
      <c r="K2042" s="516" t="n"/>
      <c r="L2042" s="537" t="n"/>
      <c r="M2042" s="539" t="n"/>
      <c r="N2042" s="516" t="n"/>
      <c r="O2042" s="537" t="n"/>
      <c r="P2042" s="539" t="n"/>
    </row>
    <row r="2043" ht="15.75" customHeight="1" s="2">
      <c r="C2043" s="551" t="n"/>
      <c r="D2043" s="528" t="n"/>
      <c r="E2043" s="519" t="n"/>
      <c r="F2043" s="5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2043" s="518" t="n"/>
      <c r="H2043" s="516" t="n"/>
      <c r="I2043" s="537" t="n"/>
      <c r="J2043" s="533" t="n"/>
      <c r="K2043" s="516" t="n"/>
      <c r="L2043" s="537" t="n"/>
      <c r="M2043" s="540" t="n"/>
      <c r="N2043" s="516" t="n"/>
      <c r="O2043" s="537" t="n"/>
      <c r="P2043" s="540" t="n"/>
    </row>
    <row r="2053" ht="15.75" customHeight="1" s="2" thickBot="1"/>
    <row r="2054" ht="15.75" customHeight="1" s="2" thickBot="1">
      <c r="B2054" s="1652" t="inlineStr">
        <is>
          <t>4.4.22</t>
        </is>
      </c>
      <c r="C2054" s="1641" t="n"/>
      <c r="D2054" s="1502" t="n"/>
      <c r="E2054" s="1640" t="inlineStr">
        <is>
          <t>11.4.2022</t>
        </is>
      </c>
      <c r="F2054" s="1641" t="n"/>
      <c r="G2054" s="1502" t="n"/>
      <c r="H2054" s="1640" t="inlineStr">
        <is>
          <t>18.4.22</t>
        </is>
      </c>
      <c r="I2054" s="1641" t="n"/>
      <c r="J2054" s="1502" t="n"/>
      <c r="K2054" s="1640" t="inlineStr">
        <is>
          <t>25.4.22</t>
        </is>
      </c>
      <c r="L2054" s="1641" t="n"/>
      <c r="M2054" s="1502" t="n"/>
      <c r="N2054" s="1660" t="inlineStr">
        <is>
          <t>2.5.22</t>
        </is>
      </c>
      <c r="O2054" s="1641" t="n"/>
      <c r="P2054" s="1502" t="n"/>
    </row>
    <row r="2055" ht="15.75" customHeight="1" s="2" thickBot="1">
      <c r="A2055" s="455" t="n"/>
      <c r="B2055" s="923" t="inlineStr">
        <is>
          <t>LAST YEAR</t>
        </is>
      </c>
      <c r="C2055" s="924" t="inlineStr">
        <is>
          <t>Actual</t>
        </is>
      </c>
      <c r="D2055" s="925" t="inlineStr">
        <is>
          <t>Projected</t>
        </is>
      </c>
      <c r="E2055" s="923" t="inlineStr">
        <is>
          <t>LAST YEAR</t>
        </is>
      </c>
      <c r="F2055" s="924" t="inlineStr">
        <is>
          <t>Actual</t>
        </is>
      </c>
      <c r="G2055" s="925" t="inlineStr">
        <is>
          <t>Projected</t>
        </is>
      </c>
      <c r="H2055" s="923" t="inlineStr">
        <is>
          <t>LAST YEAR</t>
        </is>
      </c>
      <c r="I2055" s="924" t="inlineStr">
        <is>
          <t>Actual</t>
        </is>
      </c>
      <c r="J2055" s="925" t="inlineStr">
        <is>
          <t>Projected</t>
        </is>
      </c>
      <c r="K2055" s="923" t="inlineStr">
        <is>
          <t>LAST YEAR</t>
        </is>
      </c>
      <c r="L2055" s="924" t="inlineStr">
        <is>
          <t>Actual</t>
        </is>
      </c>
      <c r="M2055" s="925" t="inlineStr">
        <is>
          <t>Projected</t>
        </is>
      </c>
      <c r="N2055" s="923" t="inlineStr">
        <is>
          <t>LAST YEAR</t>
        </is>
      </c>
      <c r="O2055" s="924" t="inlineStr">
        <is>
          <t>Actual</t>
        </is>
      </c>
      <c r="P2055" s="925" t="inlineStr">
        <is>
          <t>Projected</t>
        </is>
      </c>
    </row>
    <row r="2056" ht="15.75" customHeight="1" s="2">
      <c r="A2056" s="459" t="inlineStr">
        <is>
          <t>Total Receipts</t>
        </is>
      </c>
      <c r="B2056" s="1653" t="n">
        <v>154726.5</v>
      </c>
      <c r="C2056" s="1631" t="n">
        <v>94243</v>
      </c>
      <c r="D2056" s="1622" t="n">
        <v>93920</v>
      </c>
      <c r="E2056" s="1653" t="n">
        <v>121958.08</v>
      </c>
      <c r="F2056" s="1631" t="n">
        <v>100221.79</v>
      </c>
      <c r="G2056" s="1645" t="n">
        <v>103919</v>
      </c>
      <c r="H2056" s="1653" t="n">
        <v>121424.53</v>
      </c>
      <c r="I2056" s="1631" t="n">
        <v>183038.37</v>
      </c>
      <c r="J2056" s="1622" t="n">
        <v>157658</v>
      </c>
      <c r="K2056" s="1653" t="n">
        <v>90740.17</v>
      </c>
      <c r="L2056" s="1643" t="n">
        <v>160334.59</v>
      </c>
      <c r="M2056" s="1645" t="n">
        <v>140843</v>
      </c>
      <c r="N2056" s="1653" t="n">
        <v>83697</v>
      </c>
      <c r="O2056" s="1631" t="n">
        <v>100811.64</v>
      </c>
      <c r="P2056" s="1622" t="n">
        <v>94471</v>
      </c>
    </row>
    <row r="2057" ht="15.75" customHeight="1" s="2">
      <c r="A2057" s="462" t="inlineStr">
        <is>
          <t>Nett Sales</t>
        </is>
      </c>
      <c r="B2057" s="1646" t="n">
        <v>140660.45</v>
      </c>
      <c r="C2057" s="1632" t="n">
        <v>85676</v>
      </c>
      <c r="D2057" s="1625" t="n">
        <v>85381.8</v>
      </c>
      <c r="E2057" s="1646" t="n">
        <v>110870.98</v>
      </c>
      <c r="F2057" s="1632" t="n">
        <v>91110.72</v>
      </c>
      <c r="G2057" s="1637" t="n">
        <v>94471.60000000001</v>
      </c>
      <c r="H2057" s="1646">
        <f>H2056/1.1</f>
        <v/>
      </c>
      <c r="I2057" s="1632" t="n">
        <v>166398.52</v>
      </c>
      <c r="J2057" s="1625" t="n">
        <v>143325</v>
      </c>
      <c r="K2057" s="1646" t="n">
        <v>82491</v>
      </c>
      <c r="L2057" s="1632" t="n">
        <v>145758.72</v>
      </c>
      <c r="M2057" s="1625" t="n">
        <v>128038.6</v>
      </c>
      <c r="N2057" s="1646" t="n">
        <v>76088</v>
      </c>
      <c r="O2057" s="1632" t="n">
        <v>91646.95</v>
      </c>
      <c r="P2057" s="1625" t="n">
        <v>85883</v>
      </c>
    </row>
    <row r="2058" ht="15.75" customHeight="1" s="2">
      <c r="A2058" s="462" t="inlineStr">
        <is>
          <t>Customers</t>
        </is>
      </c>
      <c r="B2058" s="866" t="n">
        <v>6606</v>
      </c>
      <c r="C2058" s="565" t="n">
        <v>4062</v>
      </c>
      <c r="D2058" s="466" t="n">
        <v>4125</v>
      </c>
      <c r="E2058" s="866" t="n">
        <v>5849</v>
      </c>
      <c r="F2058" s="565" t="n">
        <v>4545</v>
      </c>
      <c r="G2058" s="466" t="n">
        <v>4600</v>
      </c>
      <c r="H2058" s="866" t="n">
        <v>5658</v>
      </c>
      <c r="I2058" s="565" t="n">
        <v>7877</v>
      </c>
      <c r="J2058" s="466" t="n">
        <v>7120</v>
      </c>
      <c r="K2058" s="866" t="n">
        <v>3913</v>
      </c>
      <c r="L2058" s="565" t="n">
        <v>7157</v>
      </c>
      <c r="M2058" s="466" t="n">
        <v>6415</v>
      </c>
      <c r="N2058" s="866" t="n">
        <v>3685</v>
      </c>
      <c r="O2058" s="565" t="n">
        <v>4422</v>
      </c>
      <c r="P2058" s="1655" t="n">
        <v>4225</v>
      </c>
    </row>
    <row r="2059" ht="15.75" customHeight="1" s="2">
      <c r="A2059" s="462" t="inlineStr">
        <is>
          <t>Average Customer Spend</t>
        </is>
      </c>
      <c r="B2059" s="1654">
        <f>B2056/6606</f>
        <v/>
      </c>
      <c r="C2059" s="1635" t="n">
        <v>23.19</v>
      </c>
      <c r="D2059" s="1628" t="n">
        <v>22.77</v>
      </c>
      <c r="E2059" s="1654" t="n">
        <v>20.85</v>
      </c>
      <c r="F2059" s="1635" t="n">
        <v>22.06</v>
      </c>
      <c r="G2059" s="1649" t="n">
        <v>22.59</v>
      </c>
      <c r="H2059" s="1654">
        <f>H2056/5658</f>
        <v/>
      </c>
      <c r="I2059" s="1635" t="n">
        <v>23.24</v>
      </c>
      <c r="J2059" s="1628" t="n">
        <v>22.14</v>
      </c>
      <c r="K2059" s="1654" t="n">
        <v>23.06</v>
      </c>
      <c r="L2059" s="1647" t="n">
        <v>22.88</v>
      </c>
      <c r="M2059" s="1649" t="n">
        <v>21.96</v>
      </c>
      <c r="N2059" s="1654" t="n">
        <v>22.75</v>
      </c>
      <c r="O2059" s="1635" t="n">
        <v>22.91</v>
      </c>
      <c r="P2059" s="1628" t="n">
        <v>22.36</v>
      </c>
    </row>
    <row r="2060" ht="15.75" customHeight="1" s="2">
      <c r="A2060" s="462" t="inlineStr">
        <is>
          <t>Wage % to Total Receipts</t>
        </is>
      </c>
      <c r="B2060" s="890" t="n">
        <v>0.3724</v>
      </c>
      <c r="C2060" s="567" t="n">
        <v>0.3289</v>
      </c>
      <c r="D2060" s="470" t="n">
        <v>0.3805</v>
      </c>
      <c r="E2060" s="890" t="n">
        <v>0.3329</v>
      </c>
      <c r="F2060" s="567" t="n">
        <v>0.3272</v>
      </c>
      <c r="G2060" s="863" t="n">
        <v>0.203</v>
      </c>
      <c r="H2060" s="890" t="n">
        <v>0.3348</v>
      </c>
      <c r="I2060" s="567" t="n">
        <v>0.3411</v>
      </c>
      <c r="J2060" s="470" t="n">
        <v>0.4286</v>
      </c>
      <c r="K2060" s="890" t="n">
        <v>0.4263</v>
      </c>
      <c r="L2060" s="860" t="n">
        <v>0.3004</v>
      </c>
      <c r="M2060" s="863" t="n">
        <v>0.3511</v>
      </c>
      <c r="N2060" s="890" t="n">
        <v>0.3761</v>
      </c>
      <c r="O2060" s="567" t="n">
        <v>0.3021</v>
      </c>
      <c r="P2060" s="470" t="n">
        <v>0.3535</v>
      </c>
    </row>
    <row r="2061" ht="15.75" customHeight="1" s="2">
      <c r="A2061" s="462" t="inlineStr">
        <is>
          <t>Wage % to Nett Sales</t>
        </is>
      </c>
      <c r="B2061" s="890" t="n">
        <v>0.4096</v>
      </c>
      <c r="C2061" s="567" t="n">
        <v>0.3618</v>
      </c>
      <c r="D2061" s="470" t="n">
        <v>0.4186</v>
      </c>
      <c r="E2061" s="890" t="n">
        <v>0.3662</v>
      </c>
      <c r="F2061" s="567" t="n">
        <v>0.3605</v>
      </c>
      <c r="G2061" s="863" t="n">
        <v>0.2233</v>
      </c>
      <c r="H2061" s="890" t="n">
        <v>0.3682</v>
      </c>
      <c r="I2061" s="567" t="n">
        <v>0.3752</v>
      </c>
      <c r="J2061" s="470" t="n">
        <v>0.4715</v>
      </c>
      <c r="K2061" s="890" t="n">
        <v>0.4689</v>
      </c>
      <c r="L2061" s="860" t="n">
        <v>0.3304</v>
      </c>
      <c r="M2061" s="863" t="n">
        <v>0.3862</v>
      </c>
      <c r="N2061" s="890" t="n">
        <v>0.4137</v>
      </c>
      <c r="O2061" s="567" t="n">
        <v>0.3323</v>
      </c>
      <c r="P2061" s="470" t="n">
        <v>0.388</v>
      </c>
    </row>
    <row r="2062" ht="15.75" customHeight="1" s="2">
      <c r="A2062" s="462" t="inlineStr">
        <is>
          <t>Productivity</t>
        </is>
      </c>
      <c r="B2062" s="869" t="n">
        <v>5.46</v>
      </c>
      <c r="C2062" s="568" t="n">
        <v>5.21</v>
      </c>
      <c r="D2062" s="472" t="n">
        <v>4.2</v>
      </c>
      <c r="E2062" s="869" t="n">
        <v>5.12</v>
      </c>
      <c r="F2062" s="568" t="n">
        <v>5.07</v>
      </c>
      <c r="G2062" s="472" t="n">
        <v>8</v>
      </c>
      <c r="H2062" s="869" t="n">
        <v>4.98</v>
      </c>
      <c r="I2062" s="568" t="n">
        <v>6.13</v>
      </c>
      <c r="J2062" s="472" t="n">
        <v>5.3</v>
      </c>
      <c r="K2062" s="869" t="n">
        <v>3.94</v>
      </c>
      <c r="L2062" s="568" t="n">
        <v>5.91</v>
      </c>
      <c r="M2062" s="472" t="n">
        <v>5.3</v>
      </c>
      <c r="N2062" s="869" t="n">
        <v>4.17</v>
      </c>
      <c r="O2062" s="568" t="n">
        <v>5.29</v>
      </c>
      <c r="P2062" s="472" t="n">
        <v>4.7</v>
      </c>
    </row>
    <row r="2063" ht="15.75" customHeight="1" s="2">
      <c r="A2063" s="462" t="inlineStr">
        <is>
          <t>Average Hourly Rate</t>
        </is>
      </c>
      <c r="B2063" s="869" t="n">
        <v>47.59</v>
      </c>
      <c r="C2063" s="568" t="n">
        <v>39.74</v>
      </c>
      <c r="D2063" s="1628" t="n">
        <v>36.75</v>
      </c>
      <c r="E2063" s="869" t="n">
        <v>35.51</v>
      </c>
      <c r="F2063" s="568" t="n">
        <v>36.64</v>
      </c>
      <c r="G2063" s="1628" t="n">
        <v>36.75</v>
      </c>
      <c r="H2063" s="869" t="n">
        <v>35.8</v>
      </c>
      <c r="I2063" s="568" t="n">
        <v>48.63</v>
      </c>
      <c r="J2063" s="1628" t="n">
        <v>50</v>
      </c>
      <c r="K2063" s="869" t="n">
        <v>38.92</v>
      </c>
      <c r="L2063" s="568" t="n">
        <v>39.74</v>
      </c>
      <c r="M2063" s="1649" t="n">
        <v>41</v>
      </c>
      <c r="N2063" s="869" t="n">
        <v>35.65</v>
      </c>
      <c r="O2063" s="568" t="n">
        <v>36.44</v>
      </c>
      <c r="P2063" s="1628" t="n">
        <v>37.25</v>
      </c>
    </row>
    <row r="2064" ht="15.75" customHeight="1" s="2">
      <c r="A2064" s="462" t="inlineStr">
        <is>
          <t>Total hours for productivity</t>
        </is>
      </c>
      <c r="B2064" s="869" t="n">
        <v>1210.75</v>
      </c>
      <c r="C2064" s="568" t="n">
        <v>780</v>
      </c>
      <c r="D2064" s="466" t="n">
        <v>972.5</v>
      </c>
      <c r="E2064" s="869" t="n">
        <v>1143.25</v>
      </c>
      <c r="F2064" s="568" t="n">
        <v>652.5</v>
      </c>
      <c r="G2064" s="466" t="n">
        <v>1082</v>
      </c>
      <c r="H2064" s="869" t="n">
        <v>1135</v>
      </c>
      <c r="I2064" s="568" t="n">
        <v>1284</v>
      </c>
      <c r="J2064" s="472" t="n">
        <v>1351</v>
      </c>
      <c r="K2064" s="869" t="n">
        <v>993.75</v>
      </c>
      <c r="L2064" s="568" t="n">
        <v>1211.75</v>
      </c>
      <c r="M2064" s="466" t="n">
        <v>1206</v>
      </c>
      <c r="N2064" s="869" t="n">
        <v>883</v>
      </c>
      <c r="O2064" s="568" t="n">
        <v>835.75</v>
      </c>
      <c r="P2064" s="466" t="n">
        <v>896.5</v>
      </c>
    </row>
    <row r="2065" ht="15.75" customHeight="1" s="2">
      <c r="A2065" s="462" t="inlineStr">
        <is>
          <t>Training Hours used</t>
        </is>
      </c>
      <c r="B2065" s="870" t="n">
        <v>16</v>
      </c>
      <c r="C2065" s="569" t="n"/>
      <c r="D2065" s="466" t="n"/>
      <c r="E2065" s="870" t="n"/>
      <c r="F2065" s="569" t="n"/>
      <c r="G2065" s="466" t="n"/>
      <c r="H2065" s="870" t="n"/>
      <c r="I2065" s="569" t="n"/>
      <c r="J2065" s="466" t="n"/>
      <c r="K2065" s="870" t="n"/>
      <c r="L2065" s="569" t="n"/>
      <c r="M2065" s="466" t="n"/>
      <c r="N2065" s="870" t="n">
        <v>15</v>
      </c>
      <c r="O2065" s="569" t="n">
        <v>19</v>
      </c>
      <c r="P2065" s="466" t="n"/>
    </row>
    <row r="2066" ht="15.75" customHeight="1" s="2" thickBot="1">
      <c r="A2066" s="474" t="inlineStr">
        <is>
          <t>Number of hours used to cover sick leave</t>
        </is>
      </c>
      <c r="B2066" s="813" t="n"/>
      <c r="C2066" s="570" t="n"/>
      <c r="D2066" s="476" t="n"/>
      <c r="E2066" s="813" t="n">
        <v>43.5</v>
      </c>
      <c r="F2066" s="570" t="n"/>
      <c r="G2066" s="476" t="n"/>
      <c r="H2066" s="813" t="n">
        <v>42.5</v>
      </c>
      <c r="I2066" s="570" t="n"/>
      <c r="J2066" s="476" t="n"/>
      <c r="K2066" s="813" t="n"/>
      <c r="L2066" s="570" t="n"/>
      <c r="M2066" s="476" t="n"/>
      <c r="N2066" s="813" t="n"/>
      <c r="O2066" s="570" t="n">
        <v>34.75</v>
      </c>
      <c r="P2066" s="476" t="n"/>
    </row>
    <row r="2067" ht="15.75" customHeight="1" s="2" thickBot="1">
      <c r="A2067" s="477" t="inlineStr">
        <is>
          <t xml:space="preserve">Minimum Hours </t>
        </is>
      </c>
      <c r="B2067" s="836" t="inlineStr">
        <is>
          <t>60% Hours</t>
        </is>
      </c>
      <c r="C2067" s="816" t="inlineStr">
        <is>
          <t>Projected</t>
        </is>
      </c>
      <c r="D2067" s="817" t="inlineStr">
        <is>
          <t>Rostered</t>
        </is>
      </c>
      <c r="E2067" s="836" t="inlineStr">
        <is>
          <t>60% Hours</t>
        </is>
      </c>
      <c r="F2067" s="816" t="inlineStr">
        <is>
          <t>Projected</t>
        </is>
      </c>
      <c r="G2067" s="817" t="inlineStr">
        <is>
          <t>Rostered</t>
        </is>
      </c>
      <c r="H2067" s="836" t="inlineStr">
        <is>
          <t>60% Hours</t>
        </is>
      </c>
      <c r="I2067" s="816" t="inlineStr">
        <is>
          <t>Projected</t>
        </is>
      </c>
      <c r="J2067" s="817" t="inlineStr">
        <is>
          <t>Rostered</t>
        </is>
      </c>
      <c r="K2067" s="836" t="inlineStr">
        <is>
          <t>60% Hours</t>
        </is>
      </c>
      <c r="L2067" s="816" t="inlineStr">
        <is>
          <t>Projected</t>
        </is>
      </c>
      <c r="M2067" s="817" t="inlineStr">
        <is>
          <t>Rostered</t>
        </is>
      </c>
      <c r="N2067" s="934" t="inlineStr">
        <is>
          <t>60% Hours</t>
        </is>
      </c>
      <c r="O2067" s="935" t="inlineStr">
        <is>
          <t>Projected</t>
        </is>
      </c>
      <c r="P2067" s="936" t="inlineStr">
        <is>
          <t>Rostered</t>
        </is>
      </c>
    </row>
    <row r="2068" ht="15.75" customHeight="1" s="2">
      <c r="A2068" s="479" t="inlineStr">
        <is>
          <t>Floor</t>
        </is>
      </c>
      <c r="B2068" s="855" t="n"/>
      <c r="C2068" s="810" t="n">
        <v>493</v>
      </c>
      <c r="D2068" s="811" t="n">
        <v>533.5</v>
      </c>
      <c r="E2068" s="855" t="n"/>
      <c r="F2068" s="810" t="n">
        <v>551</v>
      </c>
      <c r="G2068" s="811" t="n">
        <v>542</v>
      </c>
      <c r="H2068" s="855" t="n"/>
      <c r="I2068" s="810" t="n"/>
      <c r="J2068" s="811" t="n"/>
      <c r="K2068" s="855" t="n"/>
      <c r="L2068" s="810" t="n">
        <v>558</v>
      </c>
      <c r="M2068" s="811" t="n">
        <v>682</v>
      </c>
      <c r="N2068" s="837" t="n"/>
      <c r="O2068" s="810" t="n"/>
      <c r="P2068" s="811" t="n"/>
    </row>
    <row r="2069" ht="15.75" customHeight="1" s="2" thickBot="1">
      <c r="A2069" s="481" t="inlineStr">
        <is>
          <t>Kitchen</t>
        </is>
      </c>
      <c r="B2069" s="856" t="n"/>
      <c r="C2069" s="813" t="n">
        <v>403</v>
      </c>
      <c r="D2069" s="814" t="n">
        <v>390.05</v>
      </c>
      <c r="E2069" s="856" t="n"/>
      <c r="F2069" s="840" t="n">
        <v>451</v>
      </c>
      <c r="G2069" s="814" t="n">
        <v>410</v>
      </c>
      <c r="H2069" s="856" t="n"/>
      <c r="I2069" s="813" t="n"/>
      <c r="J2069" s="814" t="n"/>
      <c r="K2069" s="856" t="n"/>
      <c r="L2069" s="813" t="n">
        <v>330</v>
      </c>
      <c r="M2069" s="814" t="n">
        <v>519</v>
      </c>
      <c r="N2069" s="838" t="n"/>
      <c r="O2069" s="813" t="n"/>
      <c r="P2069" s="814" t="n"/>
    </row>
    <row r="2070" ht="15.75" customHeight="1" s="2" thickBot="1">
      <c r="A2070" s="834" t="n"/>
      <c r="B2070" s="836" t="inlineStr">
        <is>
          <t xml:space="preserve">Minimum </t>
        </is>
      </c>
      <c r="C2070" s="926" t="n"/>
      <c r="D2070" s="926" t="n"/>
      <c r="E2070" s="839" t="inlineStr">
        <is>
          <t>Minimum</t>
        </is>
      </c>
      <c r="F2070" s="926" t="n"/>
      <c r="G2070" s="926" t="n"/>
      <c r="H2070" s="839" t="inlineStr">
        <is>
          <t>Minimum</t>
        </is>
      </c>
      <c r="I2070" s="926" t="n"/>
      <c r="J2070" s="926" t="n"/>
      <c r="K2070" s="839" t="inlineStr">
        <is>
          <t>Minimum</t>
        </is>
      </c>
      <c r="L2070" s="926" t="n"/>
      <c r="M2070" s="926" t="n"/>
      <c r="N2070" s="839" t="n"/>
      <c r="O2070" s="835" t="n"/>
      <c r="P2070" s="835" t="n"/>
    </row>
    <row r="2071" ht="15.75" customHeight="1" s="2">
      <c r="A2071" s="834" t="n"/>
      <c r="B2071" s="837" t="n"/>
      <c r="C2071" s="926" t="n"/>
      <c r="D2071" s="926" t="n"/>
      <c r="E2071" s="837" t="n"/>
      <c r="F2071" s="926" t="n"/>
      <c r="G2071" s="926" t="n"/>
      <c r="H2071" s="837" t="n"/>
      <c r="I2071" s="926" t="n"/>
      <c r="J2071" s="926" t="n"/>
      <c r="K2071" s="837" t="n"/>
      <c r="L2071" s="926" t="n"/>
      <c r="M2071" s="926" t="n"/>
      <c r="N2071" s="837" t="n"/>
      <c r="O2071" s="835" t="n"/>
      <c r="P2071" s="835" t="n"/>
    </row>
    <row r="2072" ht="15.75" customHeight="1" s="2" thickBot="1">
      <c r="B2072" s="838" t="n"/>
      <c r="C2072" s="927" t="n"/>
      <c r="D2072" s="927" t="n"/>
      <c r="E2072" s="838" t="n"/>
      <c r="F2072" s="927" t="n"/>
      <c r="G2072" s="927" t="n"/>
      <c r="H2072" s="838" t="n"/>
      <c r="I2072" s="927" t="n"/>
      <c r="J2072" s="927" t="n"/>
      <c r="K2072" s="838" t="n"/>
      <c r="L2072" s="927" t="n"/>
      <c r="M2072" s="927" t="n"/>
      <c r="N2072" s="838" t="n"/>
    </row>
    <row r="2073" ht="15.75" customHeight="1" s="2" thickBot="1">
      <c r="A2073" s="506" t="inlineStr">
        <is>
          <t>Training explanation</t>
        </is>
      </c>
      <c r="C2073" s="523" t="inlineStr">
        <is>
          <t>Floor</t>
        </is>
      </c>
      <c r="D2073" s="524" t="inlineStr">
        <is>
          <t>Kitchen</t>
        </is>
      </c>
      <c r="E2073" s="509" t="n"/>
      <c r="F2073" s="507" t="inlineStr">
        <is>
          <t>Floor</t>
        </is>
      </c>
      <c r="G2073" s="508" t="inlineStr">
        <is>
          <t>Kitchen</t>
        </is>
      </c>
      <c r="H2073" s="510" t="n"/>
      <c r="I2073" s="535" t="inlineStr">
        <is>
          <t>floor</t>
        </is>
      </c>
      <c r="J2073" s="511" t="inlineStr">
        <is>
          <t>kitchen</t>
        </is>
      </c>
      <c r="K2073" s="512" t="n"/>
      <c r="L2073" s="535" t="inlineStr">
        <is>
          <t>kitchen</t>
        </is>
      </c>
      <c r="M2073" s="513" t="n"/>
      <c r="N2073" s="512" t="n"/>
      <c r="O2073" s="535" t="inlineStr">
        <is>
          <t>kitchen</t>
        </is>
      </c>
      <c r="P2073" s="513" t="n"/>
    </row>
    <row r="2074" ht="15.75" customHeight="1" s="2">
      <c r="A2074" s="506" t="inlineStr">
        <is>
          <t>Who is being Trained</t>
        </is>
      </c>
      <c r="C2074" s="525" t="n"/>
      <c r="D2074" s="527" t="n"/>
      <c r="E2074" s="514" t="n"/>
      <c r="F2074" s="525" t="n"/>
      <c r="G2074" s="527" t="n"/>
      <c r="H2074" s="515" t="n"/>
      <c r="I2074" s="531" t="inlineStr">
        <is>
          <t>NADIA</t>
        </is>
      </c>
      <c r="J2074" s="824" t="n"/>
      <c r="K2074" s="515" t="n"/>
      <c r="L2074" s="536" t="n"/>
      <c r="M2074" s="532" t="n"/>
      <c r="N2074" s="515" t="n"/>
      <c r="O2074" s="536" t="n"/>
      <c r="P2074" s="532" t="n"/>
    </row>
    <row r="2075" ht="15.75" customHeight="1" s="2">
      <c r="C2075" s="891" t="n"/>
      <c r="D2075" s="526" t="n"/>
      <c r="E2075" s="514" t="n"/>
      <c r="F2075" s="891" t="n"/>
      <c r="G2075" s="526" t="n"/>
      <c r="H2075" s="516" t="n"/>
      <c r="I2075" s="1656" t="inlineStr">
        <is>
          <t xml:space="preserve">PENNY </t>
        </is>
      </c>
      <c r="J2075" s="530" t="n"/>
      <c r="K2075" s="516" t="n"/>
      <c r="L2075" s="542" t="n"/>
      <c r="M2075" s="530" t="n"/>
      <c r="N2075" s="516" t="n"/>
      <c r="O2075" s="542" t="n"/>
      <c r="P2075" s="530" t="n"/>
    </row>
    <row r="2076" ht="15.75" customHeight="1" s="2">
      <c r="C2076" s="550" t="n"/>
      <c r="D2076" s="527" t="n"/>
      <c r="E2076" s="514" t="n"/>
      <c r="F2076" s="531" t="n"/>
      <c r="G2076" s="530" t="n"/>
      <c r="H2076" s="516" t="n"/>
      <c r="I2076" s="537" t="inlineStr">
        <is>
          <t>THOMAS</t>
        </is>
      </c>
      <c r="J2076" s="530" t="n"/>
      <c r="K2076" s="516" t="n"/>
      <c r="L2076" s="1657" t="n"/>
      <c r="M2076" s="539" t="n"/>
      <c r="N2076" s="516" t="n"/>
      <c r="O2076" s="542" t="n"/>
      <c r="P2076" s="539" t="n"/>
    </row>
    <row r="2077" ht="15.75" customHeight="1" s="2">
      <c r="C2077" s="561" t="n"/>
      <c r="D2077" s="561" t="n"/>
      <c r="E2077" s="519" t="n"/>
      <c r="F2077" s="517" t="n"/>
      <c r="G2077" s="1659" t="n"/>
      <c r="H2077" s="516" t="n"/>
      <c r="I2077" s="537" t="n"/>
      <c r="J2077" s="530" t="n"/>
      <c r="K2077" s="516" t="n"/>
      <c r="L2077" s="537" t="n"/>
      <c r="M2077" s="539" t="n"/>
      <c r="N2077" s="516" t="n"/>
      <c r="O2077" s="537" t="n"/>
      <c r="P2077" s="539" t="n"/>
    </row>
    <row r="2078" ht="15.75" customHeight="1" s="2">
      <c r="C2078" s="551" t="n"/>
      <c r="D2078" s="528" t="n"/>
      <c r="E2078" s="519" t="n"/>
      <c r="F2078" s="517" t="n"/>
      <c r="G2078" s="518" t="n"/>
      <c r="H2078" s="516" t="n"/>
      <c r="I2078" s="537" t="n"/>
      <c r="J2078" s="533" t="n"/>
      <c r="K2078" s="516" t="n"/>
      <c r="L2078" s="537" t="n"/>
      <c r="M2078" s="540" t="n"/>
      <c r="N2078" s="516" t="n"/>
      <c r="O2078" s="537" t="n"/>
      <c r="P2078" s="540" t="n"/>
    </row>
    <row r="2079" ht="29.25" customHeight="1" s="2" thickBot="1"/>
    <row r="2080" ht="15.75" customHeight="1" s="2" thickBot="1">
      <c r="B2080" s="1652" t="inlineStr">
        <is>
          <t>9.5.22</t>
        </is>
      </c>
      <c r="C2080" s="1641" t="n"/>
      <c r="D2080" s="1502" t="n"/>
      <c r="E2080" s="1640" t="inlineStr">
        <is>
          <t>16.5.22</t>
        </is>
      </c>
      <c r="F2080" s="1641" t="n"/>
      <c r="G2080" s="1502" t="n"/>
      <c r="H2080" s="1640" t="inlineStr">
        <is>
          <t>23.5.2022</t>
        </is>
      </c>
      <c r="I2080" s="1641" t="n"/>
      <c r="J2080" s="1502" t="n"/>
      <c r="K2080" s="1640" t="inlineStr">
        <is>
          <t>30.5.2022</t>
        </is>
      </c>
      <c r="L2080" s="1641" t="n"/>
      <c r="M2080" s="1502" t="n"/>
      <c r="N2080" s="1660" t="n"/>
      <c r="O2080" s="1641" t="n"/>
      <c r="P2080" s="1502" t="n"/>
    </row>
    <row r="2081" ht="15.75" customHeight="1" s="2" thickBot="1">
      <c r="A2081" s="455" t="n"/>
      <c r="B2081" s="923" t="inlineStr">
        <is>
          <t>LAST YEAR</t>
        </is>
      </c>
      <c r="C2081" s="924" t="inlineStr">
        <is>
          <t>Actual</t>
        </is>
      </c>
      <c r="D2081" s="925" t="inlineStr">
        <is>
          <t>Projected</t>
        </is>
      </c>
      <c r="E2081" s="923" t="inlineStr">
        <is>
          <t>LAST YEAR</t>
        </is>
      </c>
      <c r="F2081" s="924" t="inlineStr">
        <is>
          <t>Actual</t>
        </is>
      </c>
      <c r="G2081" s="925" t="inlineStr">
        <is>
          <t>Projected</t>
        </is>
      </c>
      <c r="H2081" s="923" t="inlineStr">
        <is>
          <t>LAST YEAR</t>
        </is>
      </c>
      <c r="I2081" s="924" t="inlineStr">
        <is>
          <t>Actual</t>
        </is>
      </c>
      <c r="J2081" s="925" t="inlineStr">
        <is>
          <t>Projected</t>
        </is>
      </c>
      <c r="K2081" s="923" t="inlineStr">
        <is>
          <t>LAST YEAR</t>
        </is>
      </c>
      <c r="L2081" s="924" t="inlineStr">
        <is>
          <t>Actual</t>
        </is>
      </c>
      <c r="M2081" s="925" t="inlineStr">
        <is>
          <t>Projected</t>
        </is>
      </c>
      <c r="N2081" s="923" t="inlineStr">
        <is>
          <t>LAST YEAR</t>
        </is>
      </c>
      <c r="O2081" s="924" t="inlineStr">
        <is>
          <t>Actual</t>
        </is>
      </c>
      <c r="P2081" s="925" t="inlineStr">
        <is>
          <t>Projected</t>
        </is>
      </c>
    </row>
    <row r="2082" ht="15.75" customHeight="1" s="2">
      <c r="A2082" s="459" t="inlineStr">
        <is>
          <t>Total Receipts</t>
        </is>
      </c>
      <c r="B2082" s="1631" t="n">
        <v>78563</v>
      </c>
      <c r="C2082" s="1631" t="n">
        <v>95381.06</v>
      </c>
      <c r="D2082" s="1622" t="n">
        <v>96518</v>
      </c>
      <c r="E2082" s="1643" t="n">
        <v>82087</v>
      </c>
      <c r="F2082" s="1631" t="n">
        <v>89734.52</v>
      </c>
      <c r="G2082" s="1645" t="n">
        <v>90275</v>
      </c>
      <c r="H2082" s="1631" t="n">
        <v>95666.98</v>
      </c>
      <c r="I2082" s="1631" t="n">
        <v>87270.74000000001</v>
      </c>
      <c r="J2082" s="1622" t="n">
        <v>94509</v>
      </c>
      <c r="K2082" s="1631" t="n">
        <v>87532</v>
      </c>
      <c r="L2082" s="1643" t="n">
        <v>124501.65</v>
      </c>
      <c r="M2082" s="1645" t="n">
        <v>135901</v>
      </c>
      <c r="N2082" s="1653" t="n">
        <v>80456</v>
      </c>
      <c r="O2082" s="1631" t="n">
        <v>155055.73</v>
      </c>
      <c r="P2082" s="1622" t="n">
        <v>173489</v>
      </c>
    </row>
    <row r="2083" ht="15.75" customHeight="1" s="2">
      <c r="A2083" s="462" t="inlineStr">
        <is>
          <t>Nett Sales</t>
        </is>
      </c>
      <c r="B2083" s="1632" t="n">
        <v>71421</v>
      </c>
      <c r="C2083" s="1632" t="n">
        <v>86710.27</v>
      </c>
      <c r="D2083" s="1625" t="n">
        <v>87743.2</v>
      </c>
      <c r="E2083" s="1632" t="n">
        <v>74625</v>
      </c>
      <c r="F2083" s="1632" t="n">
        <v>81576.84</v>
      </c>
      <c r="G2083" s="1637" t="n">
        <v>82068.2</v>
      </c>
      <c r="H2083" s="1632" t="n">
        <v>86969</v>
      </c>
      <c r="I2083" s="1632" t="n">
        <v>79337.03999999999</v>
      </c>
      <c r="J2083" s="1625" t="n">
        <v>85917</v>
      </c>
      <c r="K2083" s="1632" t="n">
        <v>79575</v>
      </c>
      <c r="L2083" s="1632" t="n">
        <v>113182.73</v>
      </c>
      <c r="M2083" s="1625" t="n">
        <v>123546.6</v>
      </c>
      <c r="N2083" s="1646" t="n">
        <v>73141.87</v>
      </c>
      <c r="O2083" s="1632" t="n">
        <v>140959</v>
      </c>
      <c r="P2083" s="1625" t="n">
        <v>157717</v>
      </c>
    </row>
    <row r="2084" ht="15.75" customHeight="1" s="2">
      <c r="A2084" s="462" t="inlineStr">
        <is>
          <t>Customers</t>
        </is>
      </c>
      <c r="B2084" s="565" t="n">
        <v>3401</v>
      </c>
      <c r="C2084" s="565" t="n">
        <v>4250</v>
      </c>
      <c r="D2084" s="466" t="n">
        <v>4320</v>
      </c>
      <c r="E2084" s="565" t="n">
        <v>3739</v>
      </c>
      <c r="F2084" s="565" t="n">
        <v>3925</v>
      </c>
      <c r="G2084" s="466" t="n">
        <v>4410</v>
      </c>
      <c r="H2084" s="565" t="n">
        <v>4275</v>
      </c>
      <c r="I2084" s="565" t="n">
        <v>3946</v>
      </c>
      <c r="J2084" s="466" t="n">
        <v>4275</v>
      </c>
      <c r="K2084" s="565" t="n">
        <v>3922</v>
      </c>
      <c r="L2084" s="565" t="n">
        <v>5293</v>
      </c>
      <c r="M2084" s="466" t="n">
        <v>5750</v>
      </c>
      <c r="N2084" s="866" t="n">
        <v>3569</v>
      </c>
      <c r="O2084" s="565" t="n">
        <v>6759</v>
      </c>
      <c r="P2084" s="1655" t="n">
        <v>7295</v>
      </c>
    </row>
    <row r="2085" ht="15.75" customHeight="1" s="2">
      <c r="A2085" s="462" t="inlineStr">
        <is>
          <t>Average Customer Spend</t>
        </is>
      </c>
      <c r="B2085" s="1635" t="n">
        <v>23.11</v>
      </c>
      <c r="C2085" s="1635" t="n">
        <v>22.44</v>
      </c>
      <c r="D2085" s="1628" t="n">
        <v>22.34</v>
      </c>
      <c r="E2085" s="1647" t="n">
        <v>21.95</v>
      </c>
      <c r="F2085" s="1635" t="n">
        <v>22.84</v>
      </c>
      <c r="G2085" s="1649" t="n">
        <v>20.47</v>
      </c>
      <c r="H2085" s="1635" t="n">
        <v>22.38</v>
      </c>
      <c r="I2085" s="1635" t="n">
        <v>22.12</v>
      </c>
      <c r="J2085" s="1628" t="n">
        <v>22.11</v>
      </c>
      <c r="K2085" s="1635" t="n">
        <v>22.32</v>
      </c>
      <c r="L2085" s="1647" t="n">
        <v>23.52</v>
      </c>
      <c r="M2085" s="1649" t="n">
        <v>23.64</v>
      </c>
      <c r="N2085" s="1654" t="n">
        <v>22.54300924628748</v>
      </c>
      <c r="O2085" s="1635" t="n">
        <v>22.93</v>
      </c>
      <c r="P2085" s="1628" t="n">
        <v>23.78</v>
      </c>
    </row>
    <row r="2086" ht="15.75" customHeight="1" s="2">
      <c r="A2086" s="462" t="inlineStr">
        <is>
          <t>Wage % to Total Receipts</t>
        </is>
      </c>
      <c r="B2086" s="567" t="n">
        <v>0.4148</v>
      </c>
      <c r="C2086" s="567" t="n">
        <v>0.3047</v>
      </c>
      <c r="D2086" s="470" t="n">
        <v>0.353</v>
      </c>
      <c r="E2086" s="860" t="n">
        <v>0.3874</v>
      </c>
      <c r="F2086" s="567" t="n">
        <v>0.3135</v>
      </c>
      <c r="G2086" s="863" t="n">
        <v>0.431</v>
      </c>
      <c r="H2086" s="567" t="n">
        <v>0.3287</v>
      </c>
      <c r="I2086" s="567" t="n">
        <v>0.3721</v>
      </c>
      <c r="J2086" s="470" t="n">
        <v>0.3266</v>
      </c>
      <c r="K2086" s="567" t="n">
        <v>0.3609</v>
      </c>
      <c r="L2086" s="860" t="n">
        <v>0.2865</v>
      </c>
      <c r="M2086" s="863" t="n">
        <v>0.2802</v>
      </c>
      <c r="N2086" s="890" t="n">
        <v>0.3867</v>
      </c>
      <c r="O2086" s="567" t="n">
        <v>0.2775</v>
      </c>
      <c r="P2086" s="470" t="n">
        <v>0.2611</v>
      </c>
    </row>
    <row r="2087" ht="15.75" customHeight="1" s="2">
      <c r="A2087" s="462" t="inlineStr">
        <is>
          <t>Wage % to Nett Sales</t>
        </is>
      </c>
      <c r="B2087" s="567" t="n">
        <v>0.4562</v>
      </c>
      <c r="C2087" s="567" t="n">
        <v>0.3351</v>
      </c>
      <c r="D2087" s="470" t="n">
        <v>0.3883</v>
      </c>
      <c r="E2087" s="860" t="n">
        <v>0.4261</v>
      </c>
      <c r="F2087" s="567" t="n">
        <v>0.3448</v>
      </c>
      <c r="G2087" s="863" t="n">
        <v>0.4741</v>
      </c>
      <c r="H2087" s="567" t="n">
        <v>0.3616</v>
      </c>
      <c r="I2087" s="567" t="n">
        <v>0.4093</v>
      </c>
      <c r="J2087" s="470" t="n">
        <v>0.3592</v>
      </c>
      <c r="K2087" s="567" t="n">
        <v>0.397</v>
      </c>
      <c r="L2087" s="860" t="n">
        <v>0.3151</v>
      </c>
      <c r="M2087" s="863" t="n">
        <v>0.3082</v>
      </c>
      <c r="N2087" s="890" t="n">
        <v>0.4264</v>
      </c>
      <c r="O2087" s="567" t="n">
        <v>0.3053</v>
      </c>
      <c r="P2087" s="470" t="n">
        <v>0.2872</v>
      </c>
    </row>
    <row r="2088" ht="15.75" customHeight="1" s="2">
      <c r="A2088" s="462" t="inlineStr">
        <is>
          <t>Productivity</t>
        </is>
      </c>
      <c r="B2088" s="568" t="n">
        <v>3.77</v>
      </c>
      <c r="C2088" s="568" t="n">
        <v>5.12</v>
      </c>
      <c r="D2088" s="472" t="n">
        <v>4.8</v>
      </c>
      <c r="E2088" s="568" t="n">
        <v>4.22</v>
      </c>
      <c r="F2088" s="568" t="n">
        <v>4.87</v>
      </c>
      <c r="G2088" s="472" t="n">
        <v>4.25</v>
      </c>
      <c r="H2088" s="568" t="n">
        <v>4.91</v>
      </c>
      <c r="I2088" s="568" t="n">
        <v>4.9</v>
      </c>
      <c r="J2088" s="472" t="n">
        <v>5.2</v>
      </c>
      <c r="K2088" s="568" t="n">
        <v>4.49</v>
      </c>
      <c r="L2088" s="568" t="n">
        <v>5.35</v>
      </c>
      <c r="M2088" s="472" t="n">
        <v>5.7</v>
      </c>
      <c r="N2088" s="869" t="n">
        <v>4.02</v>
      </c>
      <c r="O2088" s="568" t="n">
        <v>5.72</v>
      </c>
      <c r="P2088" s="472" t="n">
        <v>6</v>
      </c>
    </row>
    <row r="2089" ht="15.75" customHeight="1" s="2">
      <c r="A2089" s="462" t="inlineStr">
        <is>
          <t>Average Hourly Rate</t>
        </is>
      </c>
      <c r="B2089" s="568" t="n">
        <v>36.11</v>
      </c>
      <c r="C2089" s="568" t="n">
        <v>35.03</v>
      </c>
      <c r="D2089" s="1628" t="n">
        <v>37.5</v>
      </c>
      <c r="E2089" s="568" t="n">
        <v>35.9</v>
      </c>
      <c r="F2089" s="568" t="n">
        <v>34.9</v>
      </c>
      <c r="G2089" s="1628" t="n">
        <v>37.5</v>
      </c>
      <c r="H2089" s="568" t="n">
        <v>36.1</v>
      </c>
      <c r="I2089" s="568" t="n">
        <v>40.33</v>
      </c>
      <c r="J2089" s="1628" t="n">
        <v>37.5</v>
      </c>
      <c r="K2089" s="568" t="n">
        <v>36.14</v>
      </c>
      <c r="L2089" s="568" t="n">
        <v>36.03</v>
      </c>
      <c r="M2089" s="1649" t="n">
        <v>37.5</v>
      </c>
      <c r="N2089" s="869" t="n">
        <v>35.05</v>
      </c>
      <c r="O2089" s="568" t="n">
        <v>36.51</v>
      </c>
      <c r="P2089" s="1628" t="n">
        <v>37.5</v>
      </c>
    </row>
    <row r="2090" ht="15.75" customHeight="1" s="2">
      <c r="A2090" s="462" t="inlineStr">
        <is>
          <t>Total hours for productivity</t>
        </is>
      </c>
      <c r="B2090" s="568" t="n">
        <v>902.5</v>
      </c>
      <c r="C2090" s="568" t="n">
        <v>829.5</v>
      </c>
      <c r="D2090" s="466" t="n">
        <v>908.5</v>
      </c>
      <c r="E2090" s="568" t="n">
        <v>885.75</v>
      </c>
      <c r="F2090" s="568" t="n">
        <v>806</v>
      </c>
      <c r="G2090" s="466" t="n">
        <v>1038</v>
      </c>
      <c r="H2090" s="568" t="n">
        <v>871.25</v>
      </c>
      <c r="I2090" s="568" t="n">
        <v>805.25</v>
      </c>
      <c r="J2090" s="472" t="n">
        <v>823</v>
      </c>
      <c r="K2090" s="568" t="n">
        <v>874.25</v>
      </c>
      <c r="L2090" s="568" t="n">
        <v>988.5</v>
      </c>
      <c r="M2090" s="466" t="n">
        <v>1015.5</v>
      </c>
      <c r="N2090" s="869" t="n">
        <v>887.75</v>
      </c>
      <c r="O2090" s="568" t="n">
        <v>1182.25</v>
      </c>
      <c r="P2090" s="466" t="n">
        <v>1208</v>
      </c>
    </row>
    <row r="2091" ht="15.75" customHeight="1" s="2">
      <c r="A2091" s="462" t="inlineStr">
        <is>
          <t>Training Hours used</t>
        </is>
      </c>
      <c r="B2091" s="569" t="n"/>
      <c r="C2091" s="569" t="n"/>
      <c r="D2091" s="466" t="n"/>
      <c r="E2091" s="569" t="n">
        <v>21.5</v>
      </c>
      <c r="F2091" s="569" t="n">
        <v>36.5</v>
      </c>
      <c r="G2091" s="466" t="n"/>
      <c r="H2091" s="569" t="n">
        <v>13</v>
      </c>
      <c r="I2091" s="569" t="n">
        <v>35</v>
      </c>
      <c r="J2091" s="466" t="n"/>
      <c r="K2091" s="569" t="n">
        <v>21</v>
      </c>
      <c r="L2091" s="569" t="n">
        <v>88</v>
      </c>
      <c r="M2091" s="466" t="n"/>
      <c r="N2091" s="870" t="n">
        <v>17.5</v>
      </c>
      <c r="O2091" s="569" t="n"/>
      <c r="P2091" s="466" t="n"/>
    </row>
    <row r="2092" ht="15.75" customHeight="1" s="2" thickBot="1">
      <c r="A2092" s="474" t="inlineStr">
        <is>
          <t>Number of hours used to cover sick leave</t>
        </is>
      </c>
      <c r="B2092" s="570" t="n"/>
      <c r="C2092" s="570" t="n"/>
      <c r="D2092" s="476" t="n"/>
      <c r="E2092" s="570" t="n"/>
      <c r="F2092" s="570" t="n"/>
      <c r="G2092" s="476" t="n"/>
      <c r="H2092" s="570" t="n"/>
      <c r="I2092" s="570" t="n"/>
      <c r="J2092" s="476" t="n"/>
      <c r="K2092" s="570" t="n"/>
      <c r="L2092" s="570" t="n"/>
      <c r="M2092" s="476" t="n"/>
      <c r="N2092" s="813" t="n"/>
      <c r="O2092" s="570" t="n"/>
      <c r="P2092" s="476" t="n"/>
    </row>
    <row r="2093" ht="15.75" customHeight="1" s="2" thickBot="1">
      <c r="A2093" s="477" t="inlineStr">
        <is>
          <t xml:space="preserve">Minimum Hours </t>
        </is>
      </c>
      <c r="B2093" s="836" t="inlineStr">
        <is>
          <t>60% Hours</t>
        </is>
      </c>
      <c r="C2093" s="816" t="inlineStr">
        <is>
          <t>Projected</t>
        </is>
      </c>
      <c r="D2093" s="817" t="inlineStr">
        <is>
          <t>Rostered</t>
        </is>
      </c>
      <c r="E2093" s="836" t="inlineStr">
        <is>
          <t>60% Hours</t>
        </is>
      </c>
      <c r="F2093" s="816" t="inlineStr">
        <is>
          <t>Projected</t>
        </is>
      </c>
      <c r="G2093" s="817" t="inlineStr">
        <is>
          <t>Rostered</t>
        </is>
      </c>
      <c r="H2093" s="836" t="inlineStr">
        <is>
          <t>60% Hours</t>
        </is>
      </c>
      <c r="I2093" s="816" t="inlineStr">
        <is>
          <t>Projected</t>
        </is>
      </c>
      <c r="J2093" s="817" t="inlineStr">
        <is>
          <t>Rostered</t>
        </is>
      </c>
      <c r="K2093" s="836" t="inlineStr">
        <is>
          <t>60% Hours</t>
        </is>
      </c>
      <c r="L2093" s="816" t="inlineStr">
        <is>
          <t>Projected</t>
        </is>
      </c>
      <c r="M2093" s="817" t="inlineStr">
        <is>
          <t>Rostered</t>
        </is>
      </c>
      <c r="N2093" s="934" t="inlineStr">
        <is>
          <t>60% Hours</t>
        </is>
      </c>
      <c r="O2093" s="935" t="inlineStr">
        <is>
          <t>Projected</t>
        </is>
      </c>
      <c r="P2093" s="936" t="inlineStr">
        <is>
          <t>Rostered</t>
        </is>
      </c>
    </row>
    <row r="2094" ht="15.75" customHeight="1" s="2">
      <c r="A2094" s="479" t="inlineStr">
        <is>
          <t>Floor</t>
        </is>
      </c>
      <c r="B2094" s="855" t="n"/>
      <c r="C2094" s="810" t="n"/>
      <c r="D2094" s="811" t="n"/>
      <c r="E2094" s="855" t="n"/>
      <c r="F2094" s="810" t="n"/>
      <c r="G2094" s="811" t="n"/>
      <c r="H2094" s="855" t="n"/>
      <c r="I2094" s="810" t="n"/>
      <c r="J2094" s="811" t="n"/>
      <c r="K2094" s="855" t="n"/>
      <c r="L2094" s="810" t="n"/>
      <c r="M2094" s="811" t="n"/>
      <c r="N2094" s="837" t="n"/>
      <c r="O2094" s="810" t="n">
        <v>944</v>
      </c>
      <c r="P2094" s="811" t="n">
        <v>711</v>
      </c>
    </row>
    <row r="2095" ht="15.75" customHeight="1" s="2" thickBot="1">
      <c r="A2095" s="481" t="inlineStr">
        <is>
          <t>Kitchen</t>
        </is>
      </c>
      <c r="B2095" s="856" t="n"/>
      <c r="C2095" s="813" t="n"/>
      <c r="D2095" s="814" t="n"/>
      <c r="E2095" s="856" t="n"/>
      <c r="F2095" s="840" t="n"/>
      <c r="G2095" s="814" t="n"/>
      <c r="H2095" s="856" t="n"/>
      <c r="I2095" s="813" t="n"/>
      <c r="J2095" s="814" t="n"/>
      <c r="K2095" s="856" t="n"/>
      <c r="L2095" s="813" t="n"/>
      <c r="M2095" s="814" t="n"/>
      <c r="N2095" s="838" t="n"/>
      <c r="O2095" s="813" t="n">
        <v>722</v>
      </c>
      <c r="P2095" s="814" t="n">
        <v>497</v>
      </c>
    </row>
    <row r="2096" ht="15.75" customHeight="1" s="2" thickBot="1">
      <c r="A2096" s="834" t="n"/>
      <c r="B2096" s="836" t="inlineStr">
        <is>
          <t xml:space="preserve">Minimum </t>
        </is>
      </c>
      <c r="C2096" s="926" t="n"/>
      <c r="D2096" s="926" t="n"/>
      <c r="E2096" s="839" t="inlineStr">
        <is>
          <t>Minimum</t>
        </is>
      </c>
      <c r="F2096" s="926" t="n"/>
      <c r="G2096" s="926" t="n"/>
      <c r="H2096" s="839" t="inlineStr">
        <is>
          <t>Minimum</t>
        </is>
      </c>
      <c r="I2096" s="926" t="n"/>
      <c r="J2096" s="926" t="n"/>
      <c r="K2096" s="839" t="inlineStr">
        <is>
          <t>Minimum</t>
        </is>
      </c>
      <c r="L2096" s="926" t="n"/>
      <c r="M2096" s="926" t="n"/>
      <c r="N2096" s="839" t="n"/>
      <c r="O2096" s="835" t="n"/>
      <c r="P2096" s="835" t="n"/>
    </row>
    <row r="2097" ht="15.75" customHeight="1" s="2">
      <c r="A2097" s="834" t="n"/>
      <c r="B2097" s="837" t="n"/>
      <c r="C2097" s="926" t="n"/>
      <c r="D2097" s="926" t="n"/>
      <c r="E2097" s="837" t="n"/>
      <c r="F2097" s="926" t="n"/>
      <c r="G2097" s="926" t="n"/>
      <c r="H2097" s="837" t="n"/>
      <c r="I2097" s="926" t="n"/>
      <c r="J2097" s="926" t="n"/>
      <c r="K2097" s="837" t="n"/>
      <c r="L2097" s="926" t="n"/>
      <c r="M2097" s="926" t="n"/>
      <c r="N2097" s="837" t="n"/>
      <c r="O2097" s="835" t="n"/>
      <c r="P2097" s="835" t="n"/>
    </row>
    <row r="2098" ht="15.75" customHeight="1" s="2" thickBot="1">
      <c r="B2098" s="838" t="n"/>
      <c r="C2098" s="927" t="n"/>
      <c r="D2098" s="927" t="n"/>
      <c r="E2098" s="838" t="n"/>
      <c r="F2098" s="927" t="n"/>
      <c r="G2098" s="927" t="n"/>
      <c r="H2098" s="838" t="n"/>
      <c r="I2098" s="927" t="n"/>
      <c r="J2098" s="927" t="n"/>
      <c r="K2098" s="838" t="n"/>
      <c r="L2098" s="927" t="n"/>
      <c r="M2098" s="927" t="n"/>
      <c r="N2098" s="838" t="n"/>
    </row>
    <row r="2099" ht="15.75" customHeight="1" s="2" thickBot="1">
      <c r="A2099" s="506" t="inlineStr">
        <is>
          <t>Training explanation</t>
        </is>
      </c>
      <c r="C2099" s="523" t="inlineStr">
        <is>
          <t>Floor</t>
        </is>
      </c>
      <c r="D2099" s="524" t="inlineStr">
        <is>
          <t>Kitchen</t>
        </is>
      </c>
      <c r="E2099" s="509" t="n"/>
      <c r="F2099" s="507" t="inlineStr">
        <is>
          <t>Floor</t>
        </is>
      </c>
      <c r="G2099" s="508" t="inlineStr">
        <is>
          <t>Kitchen</t>
        </is>
      </c>
      <c r="H2099" s="510" t="n"/>
      <c r="I2099" s="535" t="inlineStr">
        <is>
          <t>floor</t>
        </is>
      </c>
      <c r="J2099" s="511" t="inlineStr">
        <is>
          <t>kitchen</t>
        </is>
      </c>
      <c r="K2099" s="512" t="n"/>
      <c r="L2099" s="535" t="inlineStr">
        <is>
          <t>kitchen</t>
        </is>
      </c>
      <c r="M2099" s="513" t="n"/>
      <c r="N2099" s="512" t="n"/>
      <c r="O2099" s="535" t="inlineStr">
        <is>
          <t>kitchen</t>
        </is>
      </c>
      <c r="P2099" s="513" t="n"/>
    </row>
    <row r="2100" ht="15.75" customHeight="1" s="2">
      <c r="A2100" s="506" t="inlineStr">
        <is>
          <t>Who is being Trained</t>
        </is>
      </c>
      <c r="C2100" s="525" t="n"/>
      <c r="D2100" s="527" t="n"/>
      <c r="E2100" s="514" t="n"/>
      <c r="F2100" s="525" t="n"/>
      <c r="G2100" s="527" t="n"/>
      <c r="H2100" s="515" t="n"/>
      <c r="I2100" s="531" t="inlineStr">
        <is>
          <t>NADIA</t>
        </is>
      </c>
      <c r="J2100" s="824" t="n"/>
      <c r="K2100" s="515" t="n"/>
      <c r="L2100" s="536" t="n"/>
      <c r="M2100" s="532" t="n"/>
      <c r="N2100" s="515" t="n"/>
      <c r="O2100" s="536" t="n"/>
      <c r="P2100" s="532" t="n"/>
    </row>
    <row r="2101" ht="15.75" customHeight="1" s="2">
      <c r="C2101" s="891" t="n"/>
      <c r="D2101" s="526" t="n"/>
      <c r="E2101" s="514" t="n"/>
      <c r="F2101" s="891" t="n"/>
      <c r="G2101" s="526" t="n"/>
      <c r="H2101" s="516" t="n"/>
      <c r="I2101" s="1656" t="inlineStr">
        <is>
          <t xml:space="preserve">PENNY </t>
        </is>
      </c>
      <c r="J2101" s="530" t="n"/>
      <c r="K2101" s="516" t="n"/>
      <c r="L2101" s="542" t="n"/>
      <c r="M2101" s="530" t="n"/>
      <c r="N2101" s="516" t="n"/>
      <c r="O2101" s="542" t="n"/>
      <c r="P2101" s="530" t="n"/>
    </row>
    <row r="2102" ht="15.75" customHeight="1" s="2">
      <c r="C2102" s="550" t="n"/>
      <c r="D2102" s="527" t="n"/>
      <c r="E2102" s="514" t="n"/>
      <c r="F2102" s="531" t="n"/>
      <c r="G2102" s="530" t="n"/>
      <c r="H2102" s="516" t="n"/>
      <c r="I2102" s="537" t="inlineStr">
        <is>
          <t>THOMAS</t>
        </is>
      </c>
      <c r="J2102" s="530" t="n"/>
      <c r="K2102" s="516" t="n"/>
      <c r="L2102" s="1657" t="n"/>
      <c r="M2102" s="539" t="n"/>
      <c r="N2102" s="516" t="n"/>
      <c r="O2102" s="542" t="n"/>
      <c r="P2102" s="539" t="n"/>
    </row>
    <row r="2103" ht="15.75" customHeight="1" s="2">
      <c r="C2103" s="561" t="n"/>
      <c r="D2103" s="561" t="n"/>
      <c r="E2103" s="519" t="n"/>
      <c r="F2103" s="517" t="n"/>
      <c r="G2103" s="1659" t="n"/>
      <c r="H2103" s="516" t="n"/>
      <c r="I2103" s="537" t="n"/>
      <c r="J2103" s="530" t="n"/>
      <c r="K2103" s="516" t="n"/>
      <c r="L2103" s="537" t="n"/>
      <c r="M2103" s="539" t="n"/>
      <c r="N2103" s="516" t="n"/>
      <c r="O2103" s="537" t="n"/>
      <c r="P2103" s="539" t="n"/>
    </row>
    <row r="2104" ht="15.75" customHeight="1" s="2">
      <c r="C2104" s="551" t="n"/>
      <c r="D2104" s="528" t="n"/>
      <c r="E2104" s="519" t="n"/>
      <c r="F2104" s="517" t="n"/>
      <c r="G2104" s="518" t="n"/>
      <c r="H2104" s="516" t="n"/>
      <c r="I2104" s="537" t="n"/>
      <c r="J2104" s="533" t="n"/>
      <c r="K2104" s="516" t="n"/>
      <c r="L2104" s="537" t="n"/>
      <c r="M2104" s="540" t="n"/>
      <c r="N2104" s="516" t="n"/>
      <c r="O2104" s="537" t="n"/>
      <c r="P2104" s="540" t="n"/>
    </row>
    <row r="2108" ht="15.75" customHeight="1" s="2" thickBot="1"/>
    <row r="2109" ht="15.75" customHeight="1" s="2" thickBot="1">
      <c r="B2109" s="1652" t="inlineStr">
        <is>
          <t>13.6.22</t>
        </is>
      </c>
      <c r="C2109" s="1641" t="n"/>
      <c r="D2109" s="1502" t="n"/>
      <c r="E2109" s="1640" t="inlineStr">
        <is>
          <t>20.6.22..</t>
        </is>
      </c>
      <c r="F2109" s="1641" t="n"/>
      <c r="G2109" s="1502" t="n"/>
      <c r="H2109" s="1640" t="inlineStr">
        <is>
          <t>27.6.22</t>
        </is>
      </c>
      <c r="I2109" s="1641" t="n"/>
      <c r="J2109" s="1502" t="n"/>
      <c r="K2109" s="1640" t="inlineStr">
        <is>
          <t>4.7.22</t>
        </is>
      </c>
      <c r="L2109" s="1641" t="n"/>
      <c r="M2109" s="1502" t="n"/>
      <c r="N2109" s="1660" t="inlineStr">
        <is>
          <t>11.7.22</t>
        </is>
      </c>
      <c r="O2109" s="1641" t="n"/>
      <c r="P2109" s="1502" t="n"/>
    </row>
    <row r="2110" ht="15.75" customHeight="1" s="2" thickBot="1">
      <c r="A2110" s="455" t="n"/>
      <c r="B2110" s="923" t="inlineStr">
        <is>
          <t>LAST YEAR</t>
        </is>
      </c>
      <c r="C2110" s="924" t="inlineStr">
        <is>
          <t>Actual</t>
        </is>
      </c>
      <c r="D2110" s="925" t="inlineStr">
        <is>
          <t>Projected</t>
        </is>
      </c>
      <c r="E2110" s="923" t="inlineStr">
        <is>
          <t>LAST YEAR</t>
        </is>
      </c>
      <c r="F2110" s="924" t="inlineStr">
        <is>
          <t>Actual</t>
        </is>
      </c>
      <c r="G2110" s="925" t="inlineStr">
        <is>
          <t>Projected</t>
        </is>
      </c>
      <c r="H2110" s="923" t="inlineStr">
        <is>
          <t>LAST YEAR</t>
        </is>
      </c>
      <c r="I2110" s="924" t="inlineStr">
        <is>
          <t>Actual</t>
        </is>
      </c>
      <c r="J2110" s="925" t="inlineStr">
        <is>
          <t>Projected</t>
        </is>
      </c>
      <c r="K2110" s="923" t="inlineStr">
        <is>
          <t>LAST YEAR</t>
        </is>
      </c>
      <c r="L2110" s="924" t="inlineStr">
        <is>
          <t>Actual</t>
        </is>
      </c>
      <c r="M2110" s="925" t="inlineStr">
        <is>
          <t>Projected</t>
        </is>
      </c>
      <c r="N2110" s="923" t="inlineStr">
        <is>
          <t>LAST YEAR</t>
        </is>
      </c>
      <c r="O2110" s="924" t="inlineStr">
        <is>
          <t>Actual</t>
        </is>
      </c>
      <c r="P2110" s="925" t="inlineStr">
        <is>
          <t>Projected</t>
        </is>
      </c>
    </row>
    <row r="2111" ht="15.75" customHeight="1" s="2">
      <c r="A2111" s="459" t="inlineStr">
        <is>
          <t>Total Receipts</t>
        </is>
      </c>
      <c r="B2111" s="1653" t="n">
        <v>130315.36</v>
      </c>
      <c r="C2111" s="1631" t="n">
        <v>189035.12</v>
      </c>
      <c r="D2111" s="1622" t="n">
        <v>170064</v>
      </c>
      <c r="E2111" s="1644" t="n">
        <v>67944.41</v>
      </c>
      <c r="F2111" s="1631" t="n">
        <v>141897.68</v>
      </c>
      <c r="G2111" s="1645" t="n">
        <v>130870</v>
      </c>
      <c r="H2111" s="1653" t="inlineStr">
        <is>
          <t>NA</t>
        </is>
      </c>
      <c r="I2111" s="1631" t="n">
        <v>105570.95</v>
      </c>
      <c r="J2111" s="1622" t="n">
        <v>91160</v>
      </c>
      <c r="K2111" s="1653" t="inlineStr">
        <is>
          <t>NA</t>
        </is>
      </c>
      <c r="L2111" s="1643" t="n">
        <v>104390.13</v>
      </c>
      <c r="M2111" s="1645" t="n">
        <v>108023</v>
      </c>
      <c r="N2111" s="1653" t="inlineStr">
        <is>
          <t>NA</t>
        </is>
      </c>
      <c r="O2111" s="1631" t="n">
        <v>122148.78</v>
      </c>
      <c r="P2111" s="1622" t="n">
        <v>161068</v>
      </c>
    </row>
    <row r="2112" ht="15.75" customHeight="1" s="2">
      <c r="A2112" s="462" t="inlineStr">
        <is>
          <t>Nett Sales</t>
        </is>
      </c>
      <c r="B2112" s="1646" t="n">
        <v>118468</v>
      </c>
      <c r="C2112" s="1632" t="n">
        <v>171850.12</v>
      </c>
      <c r="D2112" s="1625" t="n">
        <v>154603.4</v>
      </c>
      <c r="E2112" s="1646" t="n">
        <v>61767.65</v>
      </c>
      <c r="F2112" s="1632" t="n">
        <v>128998.06</v>
      </c>
      <c r="G2112" s="1637">
        <f>G2111/1.1</f>
        <v/>
      </c>
      <c r="H2112" s="1646" t="inlineStr">
        <is>
          <t>NA</t>
        </is>
      </c>
      <c r="I2112" s="1632" t="n">
        <v>95995</v>
      </c>
      <c r="J2112" s="1625">
        <f>J2111/1.1</f>
        <v/>
      </c>
      <c r="K2112" s="1646" t="inlineStr">
        <is>
          <t>NA</t>
        </is>
      </c>
      <c r="L2112" s="1632" t="n">
        <v>94900.12</v>
      </c>
      <c r="M2112" s="1625" t="n">
        <v>98202.3</v>
      </c>
      <c r="N2112" s="1646" t="inlineStr">
        <is>
          <t>NA</t>
        </is>
      </c>
      <c r="O2112" s="1632" t="n">
        <v>111044.35</v>
      </c>
      <c r="P2112" s="1625" t="n">
        <v>146425</v>
      </c>
    </row>
    <row r="2113" ht="15.75" customHeight="1" s="2">
      <c r="A2113" s="462" t="inlineStr">
        <is>
          <t>Customers</t>
        </is>
      </c>
      <c r="B2113" s="866" t="n">
        <v>5771</v>
      </c>
      <c r="C2113" s="565" t="n">
        <v>8002</v>
      </c>
      <c r="D2113" s="466" t="n">
        <v>7615</v>
      </c>
      <c r="E2113" s="866" t="n">
        <v>3073</v>
      </c>
      <c r="F2113" s="565" t="n">
        <v>6207</v>
      </c>
      <c r="G2113" s="466" t="n">
        <v>5785</v>
      </c>
      <c r="H2113" s="866" t="inlineStr">
        <is>
          <t>NA</t>
        </is>
      </c>
      <c r="I2113" s="565" t="n">
        <v>4884</v>
      </c>
      <c r="J2113" s="466" t="n">
        <v>4135</v>
      </c>
      <c r="K2113" s="866" t="inlineStr">
        <is>
          <t>NA</t>
        </is>
      </c>
      <c r="L2113" s="565" t="n">
        <v>4736</v>
      </c>
      <c r="M2113" s="466" t="n">
        <v>4940</v>
      </c>
      <c r="N2113" s="866" t="inlineStr">
        <is>
          <t>NA</t>
        </is>
      </c>
      <c r="O2113" s="565" t="n">
        <v>5880</v>
      </c>
      <c r="P2113" s="1655" t="n">
        <v>7480</v>
      </c>
    </row>
    <row r="2114" ht="15.75" customHeight="1" s="2">
      <c r="A2114" s="462" t="inlineStr">
        <is>
          <t>Average Customer Spend</t>
        </is>
      </c>
      <c r="B2114" s="1654" t="n">
        <v>22.51</v>
      </c>
      <c r="C2114" s="1635" t="n">
        <v>23.62</v>
      </c>
      <c r="D2114" s="1628" t="n">
        <v>22.33</v>
      </c>
      <c r="E2114" s="1648" t="n">
        <v>22.11012365766352</v>
      </c>
      <c r="F2114" s="1635" t="n">
        <v>22.86</v>
      </c>
      <c r="G2114" s="1649" t="n">
        <v>22.62</v>
      </c>
      <c r="H2114" s="1654" t="inlineStr">
        <is>
          <t>NA</t>
        </is>
      </c>
      <c r="I2114" s="1635" t="n">
        <v>21.58</v>
      </c>
      <c r="J2114" s="1628" t="n">
        <v>22.05</v>
      </c>
      <c r="K2114" s="1654" t="inlineStr">
        <is>
          <t>NA</t>
        </is>
      </c>
      <c r="L2114" s="1647" t="n">
        <v>22.03</v>
      </c>
      <c r="M2114" s="1649" t="n">
        <v>21.87</v>
      </c>
      <c r="N2114" s="1654" t="inlineStr">
        <is>
          <t>NA</t>
        </is>
      </c>
      <c r="O2114" s="1635" t="n">
        <v>20.78</v>
      </c>
      <c r="P2114" s="1628" t="n">
        <v>21.53</v>
      </c>
    </row>
    <row r="2115" ht="15.75" customHeight="1" s="2">
      <c r="A2115" s="462" t="inlineStr">
        <is>
          <t>Wage % to Total Receipts</t>
        </is>
      </c>
      <c r="B2115" s="890" t="n">
        <v>0.3457</v>
      </c>
      <c r="C2115" s="567" t="n">
        <v>0.2605</v>
      </c>
      <c r="D2115" s="470" t="n">
        <v>0.3367</v>
      </c>
      <c r="E2115" s="868" t="n">
        <v>0.4559</v>
      </c>
      <c r="F2115" s="567" t="n">
        <v>0.2807</v>
      </c>
      <c r="G2115" s="863" t="n">
        <v>0.3102</v>
      </c>
      <c r="H2115" s="890" t="inlineStr">
        <is>
          <t>NA</t>
        </is>
      </c>
      <c r="I2115" s="567" t="n">
        <v>0.3303</v>
      </c>
      <c r="J2115" s="470" t="n">
        <v>0.4098</v>
      </c>
      <c r="K2115" s="890" t="inlineStr">
        <is>
          <t>NA</t>
        </is>
      </c>
      <c r="L2115" s="860" t="n">
        <v>0.3668</v>
      </c>
      <c r="M2115" s="863" t="n">
        <v>0.4035</v>
      </c>
      <c r="N2115" s="890" t="inlineStr">
        <is>
          <t>NA</t>
        </is>
      </c>
      <c r="O2115" s="567" t="n">
        <v>0.3413</v>
      </c>
      <c r="P2115" s="470" t="n">
        <v>0.4098</v>
      </c>
    </row>
    <row r="2116" ht="15.75" customHeight="1" s="2">
      <c r="A2116" s="462" t="inlineStr">
        <is>
          <t>Wage % to Nett Sales</t>
        </is>
      </c>
      <c r="B2116" s="890" t="n">
        <v>0.3803</v>
      </c>
      <c r="C2116" s="567" t="n">
        <v>0.2866</v>
      </c>
      <c r="D2116" s="470" t="n">
        <v>0.3703</v>
      </c>
      <c r="E2116" s="868" t="n">
        <v>0.5059</v>
      </c>
      <c r="F2116" s="567" t="n">
        <v>0.3088</v>
      </c>
      <c r="G2116" s="863" t="n">
        <v>0.3412</v>
      </c>
      <c r="H2116" s="890" t="inlineStr">
        <is>
          <t>NA</t>
        </is>
      </c>
      <c r="I2116" s="567" t="n">
        <v>0.3633</v>
      </c>
      <c r="J2116" s="470" t="n">
        <v>0.4508</v>
      </c>
      <c r="K2116" s="890" t="inlineStr">
        <is>
          <t>NA</t>
        </is>
      </c>
      <c r="L2116" s="860" t="n">
        <v>0.4035</v>
      </c>
      <c r="M2116" s="863" t="n">
        <v>0.4439</v>
      </c>
      <c r="N2116" s="890" t="inlineStr">
        <is>
          <t>NA</t>
        </is>
      </c>
      <c r="O2116" s="567" t="n">
        <v>0.3754</v>
      </c>
      <c r="P2116" s="470" t="n">
        <v>0.4507</v>
      </c>
    </row>
    <row r="2117" ht="15.75" customHeight="1" s="2">
      <c r="A2117" s="462" t="inlineStr">
        <is>
          <t>Productivity</t>
        </is>
      </c>
      <c r="B2117" s="869" t="n">
        <v>5.04</v>
      </c>
      <c r="C2117" s="568" t="n">
        <v>6.14</v>
      </c>
      <c r="D2117" s="472" t="n">
        <v>5.7</v>
      </c>
      <c r="E2117" s="869" t="n">
        <v>3.53</v>
      </c>
      <c r="F2117" s="568" t="n">
        <v>5.62</v>
      </c>
      <c r="G2117" s="472" t="n">
        <v>5.3</v>
      </c>
      <c r="H2117" s="869" t="inlineStr">
        <is>
          <t>NA</t>
        </is>
      </c>
      <c r="I2117" s="568" t="n">
        <v>5.03</v>
      </c>
      <c r="J2117" s="472" t="n">
        <v>4.1</v>
      </c>
      <c r="K2117" s="869" t="inlineStr">
        <is>
          <t>NA</t>
        </is>
      </c>
      <c r="L2117" s="568" t="n">
        <v>4.56</v>
      </c>
      <c r="M2117" s="472" t="n">
        <v>4.25</v>
      </c>
      <c r="N2117" s="869" t="inlineStr">
        <is>
          <t>NA</t>
        </is>
      </c>
      <c r="O2117" s="568" t="n">
        <v>4.95</v>
      </c>
      <c r="P2117" s="472" t="n">
        <v>4.25</v>
      </c>
    </row>
    <row r="2118" ht="15.75" customHeight="1" s="2">
      <c r="A2118" s="462" t="inlineStr">
        <is>
          <t>Average Hourly Rate</t>
        </is>
      </c>
      <c r="B2118" s="869" t="n">
        <v>39.35</v>
      </c>
      <c r="C2118" s="568" t="n">
        <v>37.82</v>
      </c>
      <c r="D2118" s="1628" t="n">
        <v>43</v>
      </c>
      <c r="E2118" s="869" t="n">
        <v>35.87</v>
      </c>
      <c r="F2118" s="568" t="n">
        <v>36.06</v>
      </c>
      <c r="G2118" s="1628" t="n">
        <v>37.5</v>
      </c>
      <c r="H2118" s="869" t="inlineStr">
        <is>
          <t>NA</t>
        </is>
      </c>
      <c r="I2118" s="568" t="n">
        <v>35.95</v>
      </c>
      <c r="J2118" s="1628" t="n">
        <v>37.25</v>
      </c>
      <c r="K2118" s="869" t="inlineStr">
        <is>
          <t>NA</t>
        </is>
      </c>
      <c r="L2118" s="568" t="n">
        <v>36.84</v>
      </c>
      <c r="M2118" s="1649" t="n">
        <v>37.5</v>
      </c>
      <c r="N2118" s="869" t="inlineStr">
        <is>
          <t>NA</t>
        </is>
      </c>
      <c r="O2118" s="568" t="n">
        <v>35.11</v>
      </c>
      <c r="P2118" s="1628" t="n">
        <v>37.5</v>
      </c>
    </row>
    <row r="2119" ht="15.75" customHeight="1" s="2">
      <c r="A2119" s="462" t="inlineStr">
        <is>
          <t>Total hours for productivity</t>
        </is>
      </c>
      <c r="B2119" s="869" t="n">
        <v>1145</v>
      </c>
      <c r="C2119" s="568" t="n">
        <v>1302.25</v>
      </c>
      <c r="D2119" s="466" t="n">
        <v>1331.5</v>
      </c>
      <c r="E2119" s="869" t="n">
        <v>871</v>
      </c>
      <c r="F2119" s="568" t="n">
        <v>1104.75</v>
      </c>
      <c r="G2119" s="466" t="n">
        <v>1082.5</v>
      </c>
      <c r="H2119" s="869" t="inlineStr">
        <is>
          <t>NA</t>
        </is>
      </c>
      <c r="I2119" s="568" t="n">
        <v>970.25</v>
      </c>
      <c r="J2119" s="472" t="inlineStr">
        <is>
          <t>\</t>
        </is>
      </c>
      <c r="K2119" s="869" t="inlineStr">
        <is>
          <t>NA</t>
        </is>
      </c>
      <c r="L2119" s="568" t="n">
        <v>1039.25</v>
      </c>
      <c r="M2119" s="466" t="n">
        <v>1162</v>
      </c>
      <c r="N2119" s="869" t="inlineStr">
        <is>
          <t>NA</t>
        </is>
      </c>
      <c r="O2119" s="568" t="n">
        <v>1187.5</v>
      </c>
      <c r="P2119" s="466" t="n">
        <v>599</v>
      </c>
    </row>
    <row r="2120" ht="15.75" customHeight="1" s="2">
      <c r="A2120" s="462" t="inlineStr">
        <is>
          <t>Training Hours used</t>
        </is>
      </c>
      <c r="B2120" s="870" t="n"/>
      <c r="C2120" s="569" t="n">
        <v>5.5</v>
      </c>
      <c r="D2120" s="466" t="n"/>
      <c r="E2120" s="870" t="n">
        <v>27.5</v>
      </c>
      <c r="F2120" s="569" t="n"/>
      <c r="G2120" s="466" t="n"/>
      <c r="H2120" s="870" t="inlineStr">
        <is>
          <t>NA</t>
        </is>
      </c>
      <c r="I2120" s="569" t="n">
        <v>44.5</v>
      </c>
      <c r="J2120" s="466" t="n"/>
      <c r="K2120" s="870" t="inlineStr">
        <is>
          <t>NA</t>
        </is>
      </c>
      <c r="L2120" s="569" t="n">
        <v>30.25</v>
      </c>
      <c r="M2120" s="466" t="n"/>
      <c r="N2120" s="870" t="inlineStr">
        <is>
          <t>NA</t>
        </is>
      </c>
      <c r="O2120" s="569" t="n"/>
      <c r="P2120" s="466" t="n"/>
    </row>
    <row r="2121" ht="15.75" customHeight="1" s="2" thickBot="1">
      <c r="A2121" s="474" t="inlineStr">
        <is>
          <t>Number of hours used to cover sick leave</t>
        </is>
      </c>
      <c r="B2121" s="813" t="n"/>
      <c r="C2121" s="570" t="n"/>
      <c r="D2121" s="476" t="n"/>
      <c r="E2121" s="813" t="n"/>
      <c r="F2121" s="570" t="n"/>
      <c r="G2121" s="476" t="n"/>
      <c r="H2121" s="813" t="inlineStr">
        <is>
          <t>NA</t>
        </is>
      </c>
      <c r="I2121" s="570" t="n"/>
      <c r="J2121" s="476" t="n"/>
      <c r="K2121" s="813" t="inlineStr">
        <is>
          <t>NA</t>
        </is>
      </c>
      <c r="L2121" s="570" t="n"/>
      <c r="M2121" s="476" t="n"/>
      <c r="N2121" s="813" t="inlineStr">
        <is>
          <t>NA</t>
        </is>
      </c>
      <c r="O2121" s="570" t="n"/>
      <c r="P2121" s="476" t="n"/>
    </row>
    <row r="2122" ht="15.75" customHeight="1" s="2" thickBot="1">
      <c r="A2122" s="477" t="inlineStr">
        <is>
          <t xml:space="preserve">Minimum Hours </t>
        </is>
      </c>
      <c r="B2122" s="836" t="inlineStr">
        <is>
          <t>60% Hours</t>
        </is>
      </c>
      <c r="C2122" s="816" t="inlineStr">
        <is>
          <t>Projected</t>
        </is>
      </c>
      <c r="D2122" s="817" t="inlineStr">
        <is>
          <t>Rostered</t>
        </is>
      </c>
      <c r="E2122" s="836" t="inlineStr">
        <is>
          <t>60% Hours</t>
        </is>
      </c>
      <c r="F2122" s="816" t="inlineStr">
        <is>
          <t>Projected</t>
        </is>
      </c>
      <c r="G2122" s="817" t="inlineStr">
        <is>
          <t>Rostered</t>
        </is>
      </c>
      <c r="H2122" s="836" t="inlineStr">
        <is>
          <t>60% Hours</t>
        </is>
      </c>
      <c r="I2122" s="816" t="inlineStr">
        <is>
          <t>Projected</t>
        </is>
      </c>
      <c r="J2122" s="817" t="inlineStr">
        <is>
          <t>Rostered</t>
        </is>
      </c>
      <c r="K2122" s="836" t="inlineStr">
        <is>
          <t>60% Hours</t>
        </is>
      </c>
      <c r="L2122" s="816" t="inlineStr">
        <is>
          <t>Projected</t>
        </is>
      </c>
      <c r="M2122" s="817" t="inlineStr">
        <is>
          <t>Rostered</t>
        </is>
      </c>
      <c r="N2122" s="934" t="inlineStr">
        <is>
          <t>60% Hours</t>
        </is>
      </c>
      <c r="O2122" s="935" t="inlineStr">
        <is>
          <t>Projected</t>
        </is>
      </c>
      <c r="P2122" s="936" t="inlineStr">
        <is>
          <t>Rostered</t>
        </is>
      </c>
    </row>
    <row r="2123" ht="15.75" customHeight="1" s="2">
      <c r="A2123" s="479" t="inlineStr">
        <is>
          <t>Floor</t>
        </is>
      </c>
      <c r="B2123" s="855" t="n"/>
      <c r="C2123" s="810" t="n">
        <v>985</v>
      </c>
      <c r="D2123" s="811" t="n">
        <v>803</v>
      </c>
      <c r="E2123" s="855" t="n"/>
      <c r="F2123" s="810" t="n">
        <v>749</v>
      </c>
      <c r="G2123" s="811" t="n">
        <v>639</v>
      </c>
      <c r="H2123" s="855" t="n"/>
      <c r="I2123" s="810" t="n">
        <v>535</v>
      </c>
      <c r="J2123" s="811" t="n">
        <v>576</v>
      </c>
      <c r="K2123" s="855" t="n"/>
      <c r="L2123" s="810" t="n"/>
      <c r="M2123" s="811" t="n"/>
      <c r="N2123" s="837" t="n"/>
      <c r="O2123" s="810" t="n"/>
      <c r="P2123" s="811" t="n"/>
    </row>
    <row r="2124" ht="15.75" customHeight="1" s="2" thickBot="1">
      <c r="A2124" s="481" t="inlineStr">
        <is>
          <t>Kitchen</t>
        </is>
      </c>
      <c r="B2124" s="856" t="n"/>
      <c r="C2124" s="813" t="n">
        <v>806</v>
      </c>
      <c r="D2124" s="814" t="n">
        <v>529</v>
      </c>
      <c r="E2124" s="856" t="n"/>
      <c r="F2124" s="840" t="n">
        <v>613</v>
      </c>
      <c r="G2124" s="814" t="n">
        <v>444</v>
      </c>
      <c r="H2124" s="856" t="n"/>
      <c r="I2124" s="813" t="n">
        <v>438</v>
      </c>
      <c r="J2124" s="814" t="n">
        <v>428</v>
      </c>
      <c r="K2124" s="856" t="n"/>
      <c r="L2124" s="813" t="n"/>
      <c r="M2124" s="814" t="n"/>
      <c r="N2124" s="838" t="n"/>
      <c r="O2124" s="813" t="n"/>
      <c r="P2124" s="814" t="n"/>
    </row>
    <row r="2125" ht="15.75" customHeight="1" s="2" thickBot="1">
      <c r="A2125" s="834" t="n"/>
      <c r="B2125" s="836" t="inlineStr">
        <is>
          <t xml:space="preserve">Minimum </t>
        </is>
      </c>
      <c r="C2125" s="926" t="n"/>
      <c r="D2125" s="926" t="n"/>
      <c r="E2125" s="839" t="inlineStr">
        <is>
          <t>Minimum</t>
        </is>
      </c>
      <c r="F2125" s="926" t="n"/>
      <c r="G2125" s="926" t="n"/>
      <c r="H2125" s="839" t="inlineStr">
        <is>
          <t>Minimum</t>
        </is>
      </c>
      <c r="I2125" s="926" t="n"/>
      <c r="J2125" s="926" t="n"/>
      <c r="K2125" s="839" t="inlineStr">
        <is>
          <t>Minimum</t>
        </is>
      </c>
      <c r="L2125" s="926" t="n"/>
      <c r="M2125" s="926" t="n"/>
      <c r="N2125" s="839" t="n"/>
      <c r="O2125" s="835" t="n"/>
      <c r="P2125" s="835" t="n"/>
    </row>
    <row r="2126" ht="15.75" customHeight="1" s="2">
      <c r="A2126" s="834" t="n"/>
      <c r="B2126" s="837" t="n"/>
      <c r="C2126" s="926" t="n"/>
      <c r="D2126" s="926" t="n"/>
      <c r="E2126" s="837" t="n"/>
      <c r="F2126" s="926" t="n"/>
      <c r="G2126" s="926" t="n"/>
      <c r="H2126" s="837" t="n"/>
      <c r="I2126" s="926" t="n"/>
      <c r="J2126" s="926" t="n"/>
      <c r="K2126" s="837" t="n"/>
      <c r="L2126" s="926" t="n"/>
      <c r="M2126" s="926" t="n"/>
      <c r="N2126" s="837" t="n"/>
      <c r="O2126" s="835" t="n"/>
      <c r="P2126" s="835" t="n"/>
    </row>
    <row r="2127" ht="15.75" customHeight="1" s="2" thickBot="1">
      <c r="B2127" s="838" t="n"/>
      <c r="C2127" s="927" t="n"/>
      <c r="D2127" s="927" t="n"/>
      <c r="E2127" s="838" t="n"/>
      <c r="F2127" s="927" t="n"/>
      <c r="G2127" s="927" t="n"/>
      <c r="H2127" s="838" t="n"/>
      <c r="I2127" s="927" t="n"/>
      <c r="J2127" s="927" t="n"/>
      <c r="K2127" s="838" t="n"/>
      <c r="L2127" s="927" t="n"/>
      <c r="M2127" s="927" t="n"/>
      <c r="N2127" s="838" t="n"/>
    </row>
    <row r="2128" ht="15.75" customHeight="1" s="2" thickBot="1">
      <c r="A2128" s="506" t="inlineStr">
        <is>
          <t>Training explanation</t>
        </is>
      </c>
      <c r="C2128" s="523" t="inlineStr">
        <is>
          <t>Floor</t>
        </is>
      </c>
      <c r="D2128" s="524" t="inlineStr">
        <is>
          <t>Kitchen</t>
        </is>
      </c>
      <c r="E2128" s="509" t="n"/>
      <c r="F2128" s="507" t="inlineStr">
        <is>
          <t>Floor</t>
        </is>
      </c>
      <c r="G2128" s="508" t="inlineStr">
        <is>
          <t>Kitchen</t>
        </is>
      </c>
      <c r="H2128" s="510" t="n"/>
      <c r="I2128" s="535" t="inlineStr">
        <is>
          <t>floor</t>
        </is>
      </c>
      <c r="J2128" s="511" t="inlineStr">
        <is>
          <t>kitchen</t>
        </is>
      </c>
      <c r="K2128" s="512" t="n"/>
      <c r="L2128" s="535" t="inlineStr">
        <is>
          <t>kitchen</t>
        </is>
      </c>
      <c r="M2128" s="513" t="n"/>
      <c r="N2128" s="512" t="n"/>
      <c r="O2128" s="535" t="inlineStr">
        <is>
          <t>kitchen</t>
        </is>
      </c>
      <c r="P2128" s="513" t="n"/>
    </row>
    <row r="2129" ht="15.75" customHeight="1" s="2">
      <c r="A2129" s="506" t="inlineStr">
        <is>
          <t>Who is being Trained</t>
        </is>
      </c>
      <c r="C2129" s="525" t="n"/>
      <c r="D2129" s="527" t="n"/>
      <c r="E2129" s="514" t="n"/>
      <c r="F2129" s="525" t="n"/>
      <c r="G2129" s="527" t="n"/>
      <c r="H2129" s="515" t="n"/>
      <c r="I2129" s="531" t="n"/>
      <c r="J2129" s="824" t="n"/>
      <c r="K2129" s="515" t="n"/>
      <c r="L2129" s="536" t="n"/>
      <c r="M2129" s="532" t="n"/>
      <c r="N2129" s="515" t="n"/>
      <c r="O2129" s="536" t="n"/>
      <c r="P2129" s="532" t="n"/>
    </row>
    <row r="2130" ht="15.75" customHeight="1" s="2">
      <c r="C2130" s="891" t="n"/>
      <c r="D2130" s="526" t="n"/>
      <c r="E2130" s="514" t="n"/>
      <c r="F2130" s="891" t="n"/>
      <c r="G2130" s="526" t="n"/>
      <c r="H2130" s="516" t="n"/>
      <c r="I2130" s="1656" t="n"/>
      <c r="J2130" s="530" t="n"/>
      <c r="K2130" s="516" t="n"/>
      <c r="L2130" s="542" t="n"/>
      <c r="M2130" s="530" t="n"/>
      <c r="N2130" s="516" t="n"/>
      <c r="O2130" s="542" t="n"/>
      <c r="P2130" s="530" t="n"/>
    </row>
    <row r="2131" ht="15.75" customHeight="1" s="2">
      <c r="C2131" s="550" t="n"/>
      <c r="D2131" s="527" t="n"/>
      <c r="E2131" s="514" t="n"/>
      <c r="F2131" s="531" t="n"/>
      <c r="G2131" s="530" t="n"/>
      <c r="H2131" s="516" t="n"/>
      <c r="I2131" s="537" t="n"/>
      <c r="J2131" s="530" t="n"/>
      <c r="K2131" s="516" t="n"/>
      <c r="L2131" s="1657" t="n"/>
      <c r="M2131" s="539" t="n"/>
      <c r="N2131" s="516" t="n"/>
      <c r="O2131" s="542" t="n"/>
      <c r="P2131" s="539" t="n"/>
    </row>
    <row r="2132" ht="15.75" customHeight="1" s="2">
      <c r="C2132" s="561" t="n"/>
      <c r="D2132" s="561" t="n"/>
      <c r="E2132" s="519" t="n"/>
      <c r="F2132" s="517" t="n"/>
      <c r="G2132" s="1659" t="n"/>
      <c r="H2132" s="516" t="n"/>
      <c r="I2132" s="537" t="n"/>
      <c r="J2132" s="530" t="n"/>
      <c r="K2132" s="516" t="n"/>
      <c r="L2132" s="537" t="n"/>
      <c r="M2132" s="539" t="n"/>
      <c r="N2132" s="516" t="n"/>
      <c r="O2132" s="537" t="n"/>
      <c r="P2132" s="539" t="n"/>
    </row>
    <row r="2133" ht="15.75" customHeight="1" s="2">
      <c r="C2133" s="551" t="n"/>
      <c r="D2133" s="528" t="n"/>
      <c r="E2133" s="519" t="n"/>
      <c r="F2133" s="517" t="n"/>
      <c r="G2133" s="518" t="n"/>
      <c r="H2133" s="516" t="n"/>
      <c r="I2133" s="537" t="n"/>
      <c r="J2133" s="533" t="n"/>
      <c r="K2133" s="516" t="n"/>
      <c r="L2133" s="537" t="n"/>
      <c r="M2133" s="540" t="n"/>
      <c r="N2133" s="516" t="n"/>
      <c r="O2133" s="537" t="n"/>
      <c r="P2133" s="540" t="n"/>
    </row>
    <row r="2138" ht="15.75" customHeight="1" s="2" thickBot="1"/>
    <row r="2139" ht="15.75" customHeight="1" s="2" thickBot="1">
      <c r="B2139" s="1652" t="inlineStr">
        <is>
          <t>18.7.22</t>
        </is>
      </c>
      <c r="C2139" s="1641" t="n"/>
      <c r="D2139" s="1502" t="n"/>
      <c r="E2139" s="1640" t="inlineStr">
        <is>
          <t>25.7.22</t>
        </is>
      </c>
      <c r="F2139" s="1641" t="n"/>
      <c r="G2139" s="1502" t="n"/>
      <c r="H2139" s="1640" t="inlineStr">
        <is>
          <t>1.8.22</t>
        </is>
      </c>
      <c r="I2139" s="1641" t="n"/>
      <c r="J2139" s="1502" t="n"/>
      <c r="K2139" s="1640" t="inlineStr">
        <is>
          <t>8.8.22</t>
        </is>
      </c>
      <c r="L2139" s="1641" t="n"/>
      <c r="M2139" s="1502" t="n"/>
      <c r="N2139" s="1660" t="inlineStr">
        <is>
          <t>15.08.2022</t>
        </is>
      </c>
      <c r="O2139" s="1641" t="n"/>
      <c r="P2139" s="1502" t="n"/>
    </row>
    <row r="2140" ht="15.75" customHeight="1" s="2" thickBot="1">
      <c r="A2140" s="455" t="n"/>
      <c r="B2140" s="923" t="inlineStr">
        <is>
          <t>LAST YEAR</t>
        </is>
      </c>
      <c r="C2140" s="924" t="inlineStr">
        <is>
          <t>Actual</t>
        </is>
      </c>
      <c r="D2140" s="925" t="inlineStr">
        <is>
          <t>Projected</t>
        </is>
      </c>
      <c r="E2140" s="923" t="inlineStr">
        <is>
          <t>LAST YEAR</t>
        </is>
      </c>
      <c r="F2140" s="924" t="inlineStr">
        <is>
          <t>Actual</t>
        </is>
      </c>
      <c r="G2140" s="925" t="inlineStr">
        <is>
          <t>Projected</t>
        </is>
      </c>
      <c r="H2140" s="923" t="inlineStr">
        <is>
          <t>LAST YEAR</t>
        </is>
      </c>
      <c r="I2140" s="924" t="inlineStr">
        <is>
          <t>Actual</t>
        </is>
      </c>
      <c r="J2140" s="925" t="inlineStr">
        <is>
          <t>Projected</t>
        </is>
      </c>
      <c r="K2140" s="923" t="inlineStr">
        <is>
          <t>LAST YEAR</t>
        </is>
      </c>
      <c r="L2140" s="924" t="inlineStr">
        <is>
          <t>Actual</t>
        </is>
      </c>
      <c r="M2140" s="925" t="inlineStr">
        <is>
          <t>Projected</t>
        </is>
      </c>
      <c r="N2140" s="923" t="inlineStr">
        <is>
          <t>LAST YEAR</t>
        </is>
      </c>
      <c r="O2140" s="924" t="inlineStr">
        <is>
          <t>Actual</t>
        </is>
      </c>
      <c r="P2140" s="925" t="inlineStr">
        <is>
          <t>Projected</t>
        </is>
      </c>
    </row>
    <row r="2141" ht="15.75" customHeight="1" s="2">
      <c r="A2141" s="459" t="inlineStr">
        <is>
          <t>Total Receipts</t>
        </is>
      </c>
      <c r="B2141" s="1653" t="inlineStr">
        <is>
          <t>NA</t>
        </is>
      </c>
      <c r="C2141" s="1631" t="n">
        <v>132710</v>
      </c>
      <c r="D2141" s="1622" t="n">
        <v>137193</v>
      </c>
      <c r="E2141" s="1644" t="inlineStr">
        <is>
          <t>NA</t>
        </is>
      </c>
      <c r="F2141" s="1631" t="n">
        <v>93706.47</v>
      </c>
      <c r="G2141" s="1645" t="n">
        <v>103615</v>
      </c>
      <c r="H2141" s="1644" t="inlineStr">
        <is>
          <t>NA</t>
        </is>
      </c>
      <c r="I2141" s="1631" t="n">
        <v>102662.18</v>
      </c>
      <c r="J2141" s="1622" t="n">
        <v>103615</v>
      </c>
      <c r="K2141" s="1644" t="inlineStr">
        <is>
          <t>NA</t>
        </is>
      </c>
      <c r="L2141" s="1643" t="n">
        <v>96200</v>
      </c>
      <c r="M2141" s="1645" t="n">
        <v>97615</v>
      </c>
      <c r="N2141" s="1644" t="inlineStr">
        <is>
          <t>NA</t>
        </is>
      </c>
      <c r="O2141" s="1631" t="n">
        <v>105965</v>
      </c>
      <c r="P2141" s="1622" t="n">
        <v>101570</v>
      </c>
    </row>
    <row r="2142" ht="15.75" customHeight="1" s="2">
      <c r="A2142" s="462" t="inlineStr">
        <is>
          <t>Nett Sales</t>
        </is>
      </c>
      <c r="B2142" s="1646" t="inlineStr">
        <is>
          <t>NA</t>
        </is>
      </c>
      <c r="C2142" s="1632" t="n">
        <v>120646</v>
      </c>
      <c r="D2142" s="1625" t="n">
        <v>124720.5</v>
      </c>
      <c r="E2142" s="1646" t="inlineStr">
        <is>
          <t>NA</t>
        </is>
      </c>
      <c r="F2142" s="1632" t="n">
        <v>85187.7</v>
      </c>
      <c r="G2142" s="1637" t="n">
        <v>94195.5</v>
      </c>
      <c r="H2142" s="1646" t="inlineStr">
        <is>
          <t>NA</t>
        </is>
      </c>
      <c r="I2142" s="1632" t="n">
        <v>93329.25</v>
      </c>
      <c r="J2142" s="1625" t="n">
        <v>94195.5</v>
      </c>
      <c r="K2142" s="1646" t="inlineStr">
        <is>
          <t>NA</t>
        </is>
      </c>
      <c r="L2142" s="1632" t="n">
        <v>87455</v>
      </c>
      <c r="M2142" s="1625" t="n">
        <v>88740.89999999999</v>
      </c>
      <c r="N2142" s="1646" t="inlineStr">
        <is>
          <t>NA</t>
        </is>
      </c>
      <c r="O2142" s="1632" t="n">
        <v>96332.07000000001</v>
      </c>
      <c r="P2142" s="1625" t="n">
        <v>92336</v>
      </c>
    </row>
    <row r="2143" ht="15.75" customHeight="1" s="2">
      <c r="A2143" s="462" t="inlineStr">
        <is>
          <t>Customers</t>
        </is>
      </c>
      <c r="B2143" s="866" t="inlineStr">
        <is>
          <t>NA</t>
        </is>
      </c>
      <c r="C2143" s="565" t="n">
        <v>6136</v>
      </c>
      <c r="D2143" s="466" t="n">
        <v>6345</v>
      </c>
      <c r="E2143" s="866" t="inlineStr">
        <is>
          <t>NA</t>
        </is>
      </c>
      <c r="F2143" s="565" t="n">
        <v>4248</v>
      </c>
      <c r="G2143" s="466" t="n">
        <v>4750</v>
      </c>
      <c r="H2143" s="866" t="inlineStr">
        <is>
          <t>NA</t>
        </is>
      </c>
      <c r="I2143" s="565" t="n">
        <v>4552</v>
      </c>
      <c r="J2143" s="466" t="n">
        <v>4750</v>
      </c>
      <c r="K2143" s="866" t="inlineStr">
        <is>
          <t>NA</t>
        </is>
      </c>
      <c r="L2143" s="565" t="n">
        <v>4211</v>
      </c>
      <c r="M2143" s="466" t="n">
        <v>4495</v>
      </c>
      <c r="N2143" s="866" t="inlineStr">
        <is>
          <t>NA</t>
        </is>
      </c>
      <c r="O2143" s="565" t="n">
        <v>4747</v>
      </c>
      <c r="P2143" s="1655" t="n">
        <v>4610</v>
      </c>
    </row>
    <row r="2144" ht="15.75" customHeight="1" s="2">
      <c r="A2144" s="462" t="inlineStr">
        <is>
          <t>Average Customer Spend</t>
        </is>
      </c>
      <c r="B2144" s="1654" t="inlineStr">
        <is>
          <t>NA</t>
        </is>
      </c>
      <c r="C2144" s="1635" t="n">
        <v>21.6</v>
      </c>
      <c r="D2144" s="1628" t="n">
        <v>21.62</v>
      </c>
      <c r="E2144" s="1648" t="inlineStr">
        <is>
          <t>NA</t>
        </is>
      </c>
      <c r="F2144" s="1635" t="n">
        <v>943.25</v>
      </c>
      <c r="G2144" s="1649" t="n">
        <v>21.81</v>
      </c>
      <c r="H2144" s="1648" t="inlineStr">
        <is>
          <t>NA</t>
        </is>
      </c>
      <c r="I2144" s="1635" t="n">
        <v>22.55</v>
      </c>
      <c r="J2144" s="1628" t="n">
        <v>21.81</v>
      </c>
      <c r="K2144" s="1648" t="inlineStr">
        <is>
          <t>NA</t>
        </is>
      </c>
      <c r="L2144" s="1647" t="n">
        <v>22.85</v>
      </c>
      <c r="M2144" s="1649" t="n">
        <v>21.72</v>
      </c>
      <c r="N2144" s="1648" t="inlineStr">
        <is>
          <t>NA</t>
        </is>
      </c>
      <c r="O2144" s="1635" t="n">
        <v>22.32</v>
      </c>
      <c r="P2144" s="1628" t="n">
        <v>22.03</v>
      </c>
    </row>
    <row r="2145" ht="15.75" customHeight="1" s="2">
      <c r="A2145" s="462" t="inlineStr">
        <is>
          <t>Wage % to Total Receipts</t>
        </is>
      </c>
      <c r="B2145" s="890" t="inlineStr">
        <is>
          <t>NA</t>
        </is>
      </c>
      <c r="C2145" s="567" t="n">
        <v>0.3256</v>
      </c>
      <c r="D2145" s="470" t="n">
        <v>0.3347</v>
      </c>
      <c r="E2145" s="868" t="inlineStr">
        <is>
          <t>NA</t>
        </is>
      </c>
      <c r="F2145" s="567" t="n">
        <v>0.3737</v>
      </c>
      <c r="G2145" s="863" t="n">
        <v>0.3894</v>
      </c>
      <c r="H2145" s="868" t="inlineStr">
        <is>
          <t>NA</t>
        </is>
      </c>
      <c r="I2145" s="567" t="n">
        <v>0.3301</v>
      </c>
      <c r="J2145" s="470" t="n">
        <v>0.4045</v>
      </c>
      <c r="K2145" s="868" t="inlineStr">
        <is>
          <t>NA</t>
        </is>
      </c>
      <c r="L2145" s="860" t="n">
        <v>0.3492</v>
      </c>
      <c r="M2145" s="863" t="n">
        <v>0.4063</v>
      </c>
      <c r="N2145" s="868" t="inlineStr">
        <is>
          <t>NA</t>
        </is>
      </c>
      <c r="O2145" s="567" t="n">
        <v>0.314</v>
      </c>
      <c r="P2145" s="470" t="n">
        <v>0.4005</v>
      </c>
    </row>
    <row r="2146" ht="15.75" customHeight="1" s="2">
      <c r="A2146" s="462" t="inlineStr">
        <is>
          <t>Wage % to Nett Sales</t>
        </is>
      </c>
      <c r="B2146" s="890" t="inlineStr">
        <is>
          <t>NA</t>
        </is>
      </c>
      <c r="C2146" s="567" t="n">
        <v>0.3582</v>
      </c>
      <c r="D2146" s="470" t="n">
        <v>0.3682</v>
      </c>
      <c r="E2146" s="868" t="inlineStr">
        <is>
          <t>NA</t>
        </is>
      </c>
      <c r="F2146" s="567" t="n">
        <v>0.4111</v>
      </c>
      <c r="G2146" s="863" t="n">
        <v>0.4284</v>
      </c>
      <c r="H2146" s="868" t="inlineStr">
        <is>
          <t>NA</t>
        </is>
      </c>
      <c r="I2146" s="567" t="n">
        <v>0.3631</v>
      </c>
      <c r="J2146" s="470" t="n">
        <v>0.4449</v>
      </c>
      <c r="K2146" s="868" t="inlineStr">
        <is>
          <t>NA</t>
        </is>
      </c>
      <c r="L2146" s="860" t="n">
        <v>0.3842</v>
      </c>
      <c r="M2146" s="863" t="n">
        <v>0.4469</v>
      </c>
      <c r="N2146" s="868" t="inlineStr">
        <is>
          <t>NA</t>
        </is>
      </c>
      <c r="O2146" s="567" t="n">
        <v>0.3453</v>
      </c>
      <c r="P2146" s="470" t="n">
        <v>0.4405</v>
      </c>
    </row>
    <row r="2147" ht="15.75" customHeight="1" s="2">
      <c r="A2147" s="462" t="inlineStr">
        <is>
          <t>Productivity</t>
        </is>
      </c>
      <c r="B2147" s="869" t="inlineStr">
        <is>
          <t>NA</t>
        </is>
      </c>
      <c r="C2147" s="568" t="n">
        <v>5.1</v>
      </c>
      <c r="D2147" s="472" t="n">
        <v>5.2</v>
      </c>
      <c r="E2147" s="869" t="inlineStr">
        <is>
          <t>NA</t>
        </is>
      </c>
      <c r="F2147" s="568" t="n">
        <v>4.5</v>
      </c>
      <c r="G2147" s="472" t="n">
        <v>4.4</v>
      </c>
      <c r="H2147" s="869" t="inlineStr">
        <is>
          <t>NA</t>
        </is>
      </c>
      <c r="I2147" s="568" t="n">
        <v>4.81</v>
      </c>
      <c r="J2147" s="472" t="n">
        <v>4.25</v>
      </c>
      <c r="K2147" s="869" t="inlineStr">
        <is>
          <t>NA</t>
        </is>
      </c>
      <c r="L2147" s="568" t="n">
        <v>4.42</v>
      </c>
      <c r="M2147" s="472" t="n">
        <v>4.25</v>
      </c>
      <c r="N2147" s="869" t="inlineStr">
        <is>
          <t>NA</t>
        </is>
      </c>
      <c r="O2147" s="568" t="n">
        <v>4.82</v>
      </c>
      <c r="P2147" s="472" t="n">
        <v>4.25</v>
      </c>
    </row>
    <row r="2148" ht="15.75" customHeight="1" s="2">
      <c r="A2148" s="462" t="inlineStr">
        <is>
          <t>Average Hourly Rate</t>
        </is>
      </c>
      <c r="B2148" s="869" t="inlineStr">
        <is>
          <t>NA</t>
        </is>
      </c>
      <c r="C2148" s="568" t="n">
        <v>35.91</v>
      </c>
      <c r="D2148" s="1628" t="n">
        <v>37.5</v>
      </c>
      <c r="E2148" s="869" t="inlineStr">
        <is>
          <t>NA</t>
        </is>
      </c>
      <c r="F2148" s="568" t="n">
        <v>37.13</v>
      </c>
      <c r="G2148" s="1628" t="n">
        <v>37.5</v>
      </c>
      <c r="H2148" s="869" t="inlineStr">
        <is>
          <t>NA</t>
        </is>
      </c>
      <c r="I2148" s="568" t="n">
        <v>35.83</v>
      </c>
      <c r="J2148" s="1628" t="n">
        <v>37.5</v>
      </c>
      <c r="K2148" s="869" t="inlineStr">
        <is>
          <t>NA</t>
        </is>
      </c>
      <c r="L2148" s="568" t="n">
        <v>35.27</v>
      </c>
      <c r="M2148" s="1649" t="n">
        <v>37.5</v>
      </c>
      <c r="N2148" s="869" t="inlineStr">
        <is>
          <t>NA</t>
        </is>
      </c>
      <c r="O2148" s="568" t="n">
        <v>35.52</v>
      </c>
      <c r="P2148" s="1628" t="n">
        <v>37.5</v>
      </c>
    </row>
    <row r="2149" ht="15.75" customHeight="1" s="2">
      <c r="A2149" s="462" t="inlineStr">
        <is>
          <t>Total hours for productivity</t>
        </is>
      </c>
      <c r="B2149" s="869" t="inlineStr">
        <is>
          <t>NA</t>
        </is>
      </c>
      <c r="C2149" s="568" t="n">
        <v>1203.25</v>
      </c>
      <c r="D2149" s="466" t="n">
        <v>1224.5</v>
      </c>
      <c r="E2149" s="869" t="inlineStr">
        <is>
          <t>NA</t>
        </is>
      </c>
      <c r="F2149" s="568" t="n">
        <v>22.06</v>
      </c>
      <c r="G2149" s="466" t="n">
        <v>1076</v>
      </c>
      <c r="H2149" s="869" t="inlineStr">
        <is>
          <t>NA</t>
        </is>
      </c>
      <c r="I2149" s="568" t="n">
        <v>946</v>
      </c>
      <c r="J2149" s="472" t="n">
        <v>1118</v>
      </c>
      <c r="K2149" s="869" t="inlineStr">
        <is>
          <t>NA</t>
        </is>
      </c>
      <c r="L2149" s="568" t="n">
        <v>952.5</v>
      </c>
      <c r="M2149" s="466" t="n">
        <v>1058</v>
      </c>
      <c r="N2149" s="869" t="inlineStr">
        <is>
          <t>NA</t>
        </is>
      </c>
      <c r="O2149" s="568" t="n">
        <v>985</v>
      </c>
      <c r="P2149" s="466" t="n">
        <v>1085</v>
      </c>
    </row>
    <row r="2150" ht="15.75" customHeight="1" s="2">
      <c r="A2150" s="462" t="inlineStr">
        <is>
          <t>Training Hours used</t>
        </is>
      </c>
      <c r="B2150" s="870" t="inlineStr">
        <is>
          <t>NA</t>
        </is>
      </c>
      <c r="C2150" s="569" t="n">
        <v>55</v>
      </c>
      <c r="D2150" s="466" t="n"/>
      <c r="E2150" s="870" t="inlineStr">
        <is>
          <t>NA</t>
        </is>
      </c>
      <c r="F2150" s="569" t="n"/>
      <c r="G2150" s="466" t="n"/>
      <c r="H2150" s="870" t="inlineStr">
        <is>
          <t>NA</t>
        </is>
      </c>
      <c r="I2150" s="569" t="n"/>
      <c r="J2150" s="466" t="n"/>
      <c r="K2150" s="870" t="inlineStr">
        <is>
          <t>NA</t>
        </is>
      </c>
      <c r="L2150" s="569" t="n"/>
      <c r="M2150" s="466" t="n"/>
      <c r="N2150" s="870" t="inlineStr">
        <is>
          <t>NA</t>
        </is>
      </c>
      <c r="O2150" s="569" t="n"/>
      <c r="P2150" s="466" t="n"/>
    </row>
    <row r="2151" ht="15.75" customHeight="1" s="2" thickBot="1">
      <c r="A2151" s="474" t="inlineStr">
        <is>
          <t>Number of hours used to cover sick leave</t>
        </is>
      </c>
      <c r="B2151" s="813" t="inlineStr">
        <is>
          <t>NA</t>
        </is>
      </c>
      <c r="C2151" s="570" t="n">
        <v>43.5</v>
      </c>
      <c r="D2151" s="476" t="n"/>
      <c r="E2151" s="813" t="inlineStr">
        <is>
          <t>NA</t>
        </is>
      </c>
      <c r="F2151" s="570" t="n"/>
      <c r="G2151" s="476" t="n"/>
      <c r="H2151" s="813" t="inlineStr">
        <is>
          <t>NA</t>
        </is>
      </c>
      <c r="I2151" s="570" t="n"/>
      <c r="J2151" s="476" t="n"/>
      <c r="K2151" s="813" t="inlineStr">
        <is>
          <t>NA</t>
        </is>
      </c>
      <c r="L2151" s="570" t="n"/>
      <c r="M2151" s="476" t="n"/>
      <c r="N2151" s="813" t="inlineStr">
        <is>
          <t>NA</t>
        </is>
      </c>
      <c r="O2151" s="570" t="n"/>
      <c r="P2151" s="476" t="n"/>
    </row>
    <row r="2152" ht="15.75" customHeight="1" s="2" thickBot="1">
      <c r="A2152" s="477" t="inlineStr">
        <is>
          <t xml:space="preserve">Minimum Hours </t>
        </is>
      </c>
      <c r="B2152" s="836" t="inlineStr">
        <is>
          <t>60% Hours</t>
        </is>
      </c>
      <c r="C2152" s="816" t="inlineStr">
        <is>
          <t>Projected</t>
        </is>
      </c>
      <c r="D2152" s="817" t="inlineStr">
        <is>
          <t>Rostered</t>
        </is>
      </c>
      <c r="E2152" s="836" t="inlineStr">
        <is>
          <t>60% Hours</t>
        </is>
      </c>
      <c r="F2152" s="816" t="inlineStr">
        <is>
          <t>Projected</t>
        </is>
      </c>
      <c r="G2152" s="817" t="inlineStr">
        <is>
          <t>Rostered</t>
        </is>
      </c>
      <c r="H2152" s="836" t="inlineStr">
        <is>
          <t>60% Hours</t>
        </is>
      </c>
      <c r="I2152" s="816" t="inlineStr">
        <is>
          <t>Projected</t>
        </is>
      </c>
      <c r="J2152" s="817" t="inlineStr">
        <is>
          <t>Rostered</t>
        </is>
      </c>
      <c r="K2152" s="836" t="inlineStr">
        <is>
          <t>60% Hours</t>
        </is>
      </c>
      <c r="L2152" s="816" t="inlineStr">
        <is>
          <t>Projected</t>
        </is>
      </c>
      <c r="M2152" s="817" t="inlineStr">
        <is>
          <t>Rostered</t>
        </is>
      </c>
      <c r="N2152" s="934" t="inlineStr">
        <is>
          <t>60% Hours</t>
        </is>
      </c>
      <c r="O2152" s="935" t="inlineStr">
        <is>
          <t>Projected</t>
        </is>
      </c>
      <c r="P2152" s="936" t="inlineStr">
        <is>
          <t>Rostered</t>
        </is>
      </c>
    </row>
    <row r="2153" ht="15.75" customHeight="1" s="2">
      <c r="A2153" s="479" t="inlineStr">
        <is>
          <t>Floor</t>
        </is>
      </c>
      <c r="B2153" s="855" t="n"/>
      <c r="C2153" s="810" t="n">
        <v>821</v>
      </c>
      <c r="D2153" s="811" t="n">
        <v>678</v>
      </c>
      <c r="E2153" s="855" t="n"/>
      <c r="F2153" s="810" t="n">
        <v>615</v>
      </c>
      <c r="G2153" s="811" t="n">
        <v>589</v>
      </c>
      <c r="H2153" s="855" t="n"/>
      <c r="I2153" s="810" t="n"/>
      <c r="J2153" s="811" t="n"/>
      <c r="K2153" s="855" t="n"/>
      <c r="L2153" s="810" t="n"/>
      <c r="M2153" s="811" t="n"/>
      <c r="N2153" s="837" t="n"/>
      <c r="O2153" s="810" t="n"/>
      <c r="P2153" s="811" t="n"/>
    </row>
    <row r="2154" ht="15.75" customHeight="1" s="2" thickBot="1">
      <c r="A2154" s="481" t="inlineStr">
        <is>
          <t>Kitchen</t>
        </is>
      </c>
      <c r="B2154" s="856" t="n"/>
      <c r="C2154" s="813" t="n">
        <v>672</v>
      </c>
      <c r="D2154" s="814" t="n">
        <v>547</v>
      </c>
      <c r="E2154" s="856" t="n"/>
      <c r="F2154" s="840" t="n">
        <v>503</v>
      </c>
      <c r="G2154" s="814" t="n">
        <v>488</v>
      </c>
      <c r="H2154" s="856" t="n"/>
      <c r="I2154" s="813" t="n"/>
      <c r="J2154" s="814" t="n"/>
      <c r="K2154" s="856" t="n"/>
      <c r="L2154" s="813" t="n"/>
      <c r="M2154" s="814" t="n"/>
      <c r="N2154" s="838" t="n"/>
      <c r="O2154" s="813" t="n"/>
      <c r="P2154" s="814" t="n"/>
    </row>
    <row r="2155" ht="15.75" customHeight="1" s="2" thickBot="1">
      <c r="A2155" s="834" t="n"/>
      <c r="B2155" s="836" t="n"/>
      <c r="C2155" s="926" t="n"/>
      <c r="D2155" s="926" t="n"/>
      <c r="E2155" s="839" t="n"/>
      <c r="F2155" s="926" t="n"/>
      <c r="G2155" s="926" t="n"/>
      <c r="H2155" s="839" t="n"/>
      <c r="I2155" s="926" t="n"/>
      <c r="J2155" s="926" t="n"/>
      <c r="K2155" s="839" t="n"/>
      <c r="L2155" s="926" t="n"/>
      <c r="M2155" s="926" t="n"/>
      <c r="N2155" s="839" t="n"/>
      <c r="O2155" s="835" t="n"/>
      <c r="P2155" s="835" t="n"/>
    </row>
    <row r="2156" ht="15.75" customHeight="1" s="2">
      <c r="A2156" s="506" t="inlineStr">
        <is>
          <t>Training explanation</t>
        </is>
      </c>
      <c r="B2156" s="837" t="n"/>
      <c r="C2156" s="926" t="n"/>
      <c r="D2156" s="926" t="n"/>
      <c r="E2156" s="837" t="n"/>
      <c r="F2156" s="926" t="n"/>
      <c r="G2156" s="926" t="n"/>
      <c r="H2156" s="837" t="n"/>
      <c r="I2156" s="926" t="n"/>
      <c r="J2156" s="926" t="n"/>
      <c r="K2156" s="837" t="n"/>
      <c r="L2156" s="926" t="n"/>
      <c r="M2156" s="926" t="n"/>
      <c r="N2156" s="837" t="n"/>
      <c r="O2156" s="835" t="n"/>
      <c r="P2156" s="835" t="n"/>
    </row>
    <row r="2157" ht="15.75" customHeight="1" s="2" thickBot="1">
      <c r="A2157" s="506" t="inlineStr">
        <is>
          <t>Who is being Trained</t>
        </is>
      </c>
      <c r="B2157" s="838" t="n"/>
      <c r="C2157" s="927" t="n"/>
      <c r="D2157" s="927" t="n"/>
      <c r="E2157" s="838" t="n"/>
      <c r="F2157" s="927" t="n"/>
      <c r="G2157" s="927" t="n"/>
      <c r="H2157" s="838" t="n"/>
      <c r="I2157" s="927" t="n"/>
      <c r="J2157" s="927" t="n"/>
      <c r="K2157" s="838" t="n"/>
      <c r="L2157" s="927" t="n"/>
      <c r="M2157" s="927" t="n"/>
      <c r="N2157" s="838" t="n"/>
    </row>
    <row r="2158" ht="15.75" customHeight="1" s="2" thickBot="1">
      <c r="A2158" s="506" t="n"/>
      <c r="C2158" s="523" t="inlineStr">
        <is>
          <t>floor</t>
        </is>
      </c>
      <c r="D2158" s="524" t="inlineStr">
        <is>
          <t>kitchen</t>
        </is>
      </c>
      <c r="E2158" s="509" t="n"/>
      <c r="F2158" s="507" t="inlineStr">
        <is>
          <t>floor</t>
        </is>
      </c>
      <c r="G2158" s="508" t="inlineStr">
        <is>
          <t>kitchen</t>
        </is>
      </c>
      <c r="H2158" s="510" t="n"/>
      <c r="I2158" s="535" t="inlineStr">
        <is>
          <t>floor</t>
        </is>
      </c>
      <c r="J2158" s="511" t="inlineStr">
        <is>
          <t>kitchen</t>
        </is>
      </c>
      <c r="K2158" s="512" t="n"/>
      <c r="L2158" s="535" t="inlineStr">
        <is>
          <t>floor</t>
        </is>
      </c>
      <c r="M2158" s="513" t="inlineStr">
        <is>
          <t>kitchen</t>
        </is>
      </c>
      <c r="N2158" s="512" t="n"/>
      <c r="O2158" s="535" t="inlineStr">
        <is>
          <t>floor</t>
        </is>
      </c>
      <c r="P2158" s="513" t="inlineStr">
        <is>
          <t>kitchen</t>
        </is>
      </c>
    </row>
    <row r="2159" ht="15.75" customHeight="1" s="2">
      <c r="A2159" s="506" t="n"/>
      <c r="C2159" s="525" t="n"/>
      <c r="D2159" s="527" t="n"/>
      <c r="E2159" s="514" t="n"/>
      <c r="F2159" s="525" t="n"/>
      <c r="G2159" s="527" t="n"/>
      <c r="H2159" s="515" t="n"/>
      <c r="I2159" s="531" t="n"/>
      <c r="J2159" s="824" t="n"/>
      <c r="K2159" s="515" t="n"/>
      <c r="L2159" s="536" t="n"/>
      <c r="M2159" s="532" t="n"/>
      <c r="N2159" s="515" t="n"/>
      <c r="O2159" s="536" t="n"/>
      <c r="P2159" s="532" t="n"/>
    </row>
    <row r="2160" ht="15.75" customHeight="1" s="2">
      <c r="C2160" s="891" t="n"/>
      <c r="D2160" s="526" t="n"/>
      <c r="E2160" s="514" t="n"/>
      <c r="F2160" s="891" t="n"/>
      <c r="G2160" s="526" t="n"/>
      <c r="H2160" s="516" t="n"/>
      <c r="I2160" s="1656" t="n"/>
      <c r="J2160" s="530" t="n"/>
      <c r="K2160" s="516" t="n"/>
      <c r="L2160" s="542" t="n"/>
      <c r="M2160" s="530" t="n"/>
      <c r="N2160" s="516" t="n"/>
      <c r="O2160" s="542" t="n"/>
      <c r="P2160" s="530" t="n"/>
    </row>
    <row r="2161" ht="15.75" customHeight="1" s="2">
      <c r="C2161" s="550" t="n"/>
      <c r="D2161" s="527" t="n"/>
      <c r="E2161" s="514" t="n"/>
      <c r="F2161" s="531" t="n"/>
      <c r="G2161" s="530" t="n"/>
      <c r="H2161" s="516" t="n"/>
      <c r="I2161" s="537" t="n"/>
      <c r="J2161" s="530" t="n"/>
      <c r="K2161" s="516" t="n"/>
      <c r="L2161" s="1657" t="n"/>
      <c r="M2161" s="539" t="n"/>
      <c r="N2161" s="516" t="n"/>
      <c r="O2161" s="542" t="n"/>
      <c r="P2161" s="539" t="n"/>
    </row>
    <row r="2162" ht="15.75" customHeight="1" s="2">
      <c r="C2162" s="561" t="n"/>
      <c r="D2162" s="561" t="n"/>
      <c r="E2162" s="519" t="n"/>
      <c r="F2162" s="517" t="n"/>
      <c r="G2162" s="1659" t="n"/>
      <c r="H2162" s="516" t="n"/>
      <c r="I2162" s="537" t="n"/>
      <c r="J2162" s="530" t="n"/>
      <c r="K2162" s="516" t="n"/>
      <c r="L2162" s="537" t="n"/>
      <c r="M2162" s="539" t="n"/>
      <c r="N2162" s="516" t="n"/>
      <c r="O2162" s="537" t="n"/>
      <c r="P2162" s="539" t="n"/>
    </row>
    <row r="2163" ht="15.75" customHeight="1" s="2">
      <c r="C2163" s="551" t="n"/>
      <c r="D2163" s="528" t="n"/>
      <c r="E2163" s="519" t="n"/>
      <c r="F2163" s="517" t="n"/>
      <c r="G2163" s="518" t="n"/>
      <c r="H2163" s="516" t="n"/>
      <c r="I2163" s="537" t="n"/>
      <c r="J2163" s="533" t="n"/>
      <c r="K2163" s="516" t="n"/>
      <c r="L2163" s="537" t="n"/>
      <c r="M2163" s="540" t="n"/>
      <c r="N2163" s="516" t="n"/>
      <c r="O2163" s="537" t="n"/>
      <c r="P2163" s="540" t="n"/>
    </row>
    <row r="2168" ht="15.75" customHeight="1" s="2" thickBot="1"/>
    <row r="2169" ht="15.75" customHeight="1" s="2" thickBot="1">
      <c r="B2169" s="1652" t="inlineStr">
        <is>
          <t>22.08.2022</t>
        </is>
      </c>
      <c r="C2169" s="1641" t="n"/>
      <c r="D2169" s="1502" t="n"/>
      <c r="E2169" s="1640" t="inlineStr">
        <is>
          <t>29.8.22</t>
        </is>
      </c>
      <c r="F2169" s="1641" t="n"/>
      <c r="G2169" s="1502" t="n"/>
      <c r="H2169" s="1640" t="inlineStr">
        <is>
          <t>5.9.22</t>
        </is>
      </c>
      <c r="I2169" s="1641" t="n"/>
      <c r="J2169" s="1502" t="n"/>
      <c r="K2169" s="1640" t="inlineStr">
        <is>
          <t>19.9.2022</t>
        </is>
      </c>
      <c r="L2169" s="1641" t="n"/>
      <c r="M2169" s="1502" t="n"/>
      <c r="N2169" s="1660" t="inlineStr">
        <is>
          <t>26.9.22</t>
        </is>
      </c>
      <c r="O2169" s="1641" t="n"/>
      <c r="P2169" s="1502" t="n"/>
    </row>
    <row r="2170" ht="15.75" customHeight="1" s="2" thickBot="1">
      <c r="A2170" s="455" t="n"/>
      <c r="B2170" s="923" t="inlineStr">
        <is>
          <t>LAST YEAR</t>
        </is>
      </c>
      <c r="C2170" s="924" t="inlineStr">
        <is>
          <t>Actual</t>
        </is>
      </c>
      <c r="D2170" s="925" t="inlineStr">
        <is>
          <t>Projected</t>
        </is>
      </c>
      <c r="E2170" s="923" t="inlineStr">
        <is>
          <t>LAST YEAR</t>
        </is>
      </c>
      <c r="F2170" s="924" t="inlineStr">
        <is>
          <t>Actual</t>
        </is>
      </c>
      <c r="G2170" s="925" t="inlineStr">
        <is>
          <t>Projected</t>
        </is>
      </c>
      <c r="H2170" s="923" t="inlineStr">
        <is>
          <t>LAST YEAR</t>
        </is>
      </c>
      <c r="I2170" s="924" t="inlineStr">
        <is>
          <t>Actual</t>
        </is>
      </c>
      <c r="J2170" s="925" t="inlineStr">
        <is>
          <t>Projected</t>
        </is>
      </c>
      <c r="K2170" s="923" t="inlineStr">
        <is>
          <t>LAST YEAR</t>
        </is>
      </c>
      <c r="L2170" s="924" t="inlineStr">
        <is>
          <t>Actual</t>
        </is>
      </c>
      <c r="M2170" s="925" t="inlineStr">
        <is>
          <t>Projected</t>
        </is>
      </c>
      <c r="N2170" s="923" t="inlineStr">
        <is>
          <t>LAST YEAR</t>
        </is>
      </c>
      <c r="O2170" s="924" t="inlineStr">
        <is>
          <t>Actual</t>
        </is>
      </c>
      <c r="P2170" s="925" t="inlineStr">
        <is>
          <t>Projected</t>
        </is>
      </c>
    </row>
    <row r="2171" ht="15.75" customHeight="1" s="2">
      <c r="A2171" s="459" t="inlineStr">
        <is>
          <t>Total Receipts</t>
        </is>
      </c>
      <c r="B2171" s="1653" t="inlineStr">
        <is>
          <t>NA</t>
        </is>
      </c>
      <c r="C2171" s="1631" t="n">
        <v>102737.68</v>
      </c>
      <c r="D2171" s="1622" t="n">
        <v>97436</v>
      </c>
      <c r="E2171" s="1644" t="inlineStr">
        <is>
          <t>NA</t>
        </is>
      </c>
      <c r="F2171" s="1631" t="n">
        <v>99491.98</v>
      </c>
      <c r="G2171" s="1645" t="n">
        <v>102574</v>
      </c>
      <c r="H2171" s="1644" t="inlineStr">
        <is>
          <t>NA</t>
        </is>
      </c>
      <c r="I2171" s="1631" t="n">
        <v>106936.13</v>
      </c>
      <c r="J2171" s="1622" t="n">
        <v>107520</v>
      </c>
      <c r="K2171" s="1644" t="inlineStr">
        <is>
          <t>NA</t>
        </is>
      </c>
      <c r="L2171" s="1643" t="n">
        <v>116935.36</v>
      </c>
      <c r="M2171" s="1645" t="n">
        <v>100355</v>
      </c>
      <c r="N2171" s="1644" t="inlineStr">
        <is>
          <t>NA</t>
        </is>
      </c>
      <c r="O2171" s="1631" t="n">
        <v>146676.01</v>
      </c>
      <c r="P2171" s="1622" t="n">
        <v>127624</v>
      </c>
    </row>
    <row r="2172" ht="15.75" customHeight="1" s="2">
      <c r="A2172" s="462" t="inlineStr">
        <is>
          <t>Nett Sales</t>
        </is>
      </c>
      <c r="B2172" s="1646" t="inlineStr">
        <is>
          <t>NA</t>
        </is>
      </c>
      <c r="C2172" s="1632" t="n">
        <v>93397.89</v>
      </c>
      <c r="D2172" s="1625" t="n">
        <v>88578.39999999999</v>
      </c>
      <c r="E2172" s="1646" t="inlineStr">
        <is>
          <t>NA</t>
        </is>
      </c>
      <c r="F2172" s="1632" t="n">
        <v>90447.25</v>
      </c>
      <c r="G2172" s="1637" t="n">
        <v>93249.10000000001</v>
      </c>
      <c r="H2172" s="1646" t="inlineStr">
        <is>
          <t>NA</t>
        </is>
      </c>
      <c r="I2172" s="1632" t="n">
        <v>97214.66</v>
      </c>
      <c r="J2172" s="1625" t="n">
        <v>97745.5</v>
      </c>
      <c r="K2172" s="1646" t="inlineStr">
        <is>
          <t>NA</t>
        </is>
      </c>
      <c r="L2172" s="1632" t="n">
        <v>106304.8727272727</v>
      </c>
      <c r="M2172" s="1625" t="n">
        <v>91231.8</v>
      </c>
      <c r="N2172" s="1646" t="inlineStr">
        <is>
          <t>NA</t>
        </is>
      </c>
      <c r="O2172" s="1632" t="n">
        <v>133341.83</v>
      </c>
      <c r="P2172" s="1625" t="n">
        <v>116021.5</v>
      </c>
    </row>
    <row r="2173" ht="15.75" customHeight="1" s="2">
      <c r="A2173" s="462" t="inlineStr">
        <is>
          <t>Customers</t>
        </is>
      </c>
      <c r="B2173" s="866" t="inlineStr">
        <is>
          <t>NA</t>
        </is>
      </c>
      <c r="C2173" s="565" t="n">
        <v>4562</v>
      </c>
      <c r="D2173" s="466" t="n">
        <v>4445</v>
      </c>
      <c r="E2173" s="866" t="inlineStr">
        <is>
          <t>NA</t>
        </is>
      </c>
      <c r="F2173" s="565" t="n">
        <v>4482</v>
      </c>
      <c r="G2173" s="466" t="n">
        <v>4580</v>
      </c>
      <c r="H2173" s="866" t="inlineStr">
        <is>
          <t>NA</t>
        </is>
      </c>
      <c r="I2173" s="565" t="n">
        <v>4896</v>
      </c>
      <c r="J2173" s="466" t="n">
        <v>4800</v>
      </c>
      <c r="K2173" s="866" t="inlineStr">
        <is>
          <t>NA</t>
        </is>
      </c>
      <c r="L2173" s="565" t="n">
        <v>4931</v>
      </c>
      <c r="M2173" s="466" t="n">
        <v>4570</v>
      </c>
      <c r="N2173" s="866" t="inlineStr">
        <is>
          <t>NA</t>
        </is>
      </c>
      <c r="O2173" s="565" t="n">
        <v>6222</v>
      </c>
      <c r="P2173" s="1655" t="n">
        <v>5710</v>
      </c>
    </row>
    <row r="2174" ht="15.75" customHeight="1" s="2">
      <c r="A2174" s="462" t="inlineStr">
        <is>
          <t>Average Customer Spend</t>
        </is>
      </c>
      <c r="B2174" s="1654" t="inlineStr">
        <is>
          <t>NA</t>
        </is>
      </c>
      <c r="C2174" s="1635" t="n">
        <v>22.52</v>
      </c>
      <c r="D2174" s="1628" t="n">
        <v>21.92</v>
      </c>
      <c r="E2174" s="1648" t="inlineStr">
        <is>
          <t>NA</t>
        </is>
      </c>
      <c r="F2174" s="1635" t="n">
        <v>22.21</v>
      </c>
      <c r="G2174" s="1649" t="n">
        <v>22.4</v>
      </c>
      <c r="H2174" s="1648" t="inlineStr">
        <is>
          <t>NA</t>
        </is>
      </c>
      <c r="I2174" s="1635" t="n">
        <v>21.93</v>
      </c>
      <c r="J2174" s="1628" t="n">
        <v>22.4</v>
      </c>
      <c r="K2174" s="1648" t="inlineStr">
        <is>
          <t>NA</t>
        </is>
      </c>
      <c r="L2174" s="1647" t="n">
        <v>23.71</v>
      </c>
      <c r="M2174" s="1649" t="n">
        <v>21.96</v>
      </c>
      <c r="N2174" s="1648" t="inlineStr">
        <is>
          <t>NA</t>
        </is>
      </c>
      <c r="O2174" s="1635" t="n">
        <v>23.57</v>
      </c>
      <c r="P2174" s="1628" t="n">
        <v>23.35</v>
      </c>
    </row>
    <row r="2175" ht="15.75" customHeight="1" s="2">
      <c r="A2175" s="462" t="inlineStr">
        <is>
          <t>Wage % to Total Receipts</t>
        </is>
      </c>
      <c r="B2175" s="890" t="inlineStr">
        <is>
          <t>NA</t>
        </is>
      </c>
      <c r="C2175" s="567" t="n">
        <v>0.3321</v>
      </c>
      <c r="D2175" s="470" t="n">
        <v>0.3972</v>
      </c>
      <c r="E2175" s="868" t="inlineStr">
        <is>
          <t>NA</t>
        </is>
      </c>
      <c r="F2175" s="567" t="n">
        <v>0.3434</v>
      </c>
      <c r="G2175" s="863" t="n">
        <v>0.3887</v>
      </c>
      <c r="H2175" s="868" t="inlineStr">
        <is>
          <t>NA</t>
        </is>
      </c>
      <c r="I2175" s="567" t="n">
        <v>0.3261</v>
      </c>
      <c r="J2175" s="470" t="n">
        <v>0.3887</v>
      </c>
      <c r="K2175" s="868" t="inlineStr">
        <is>
          <t>NA</t>
        </is>
      </c>
      <c r="L2175" s="860" t="n">
        <v>0.3263</v>
      </c>
      <c r="M2175" s="863" t="n">
        <v>0.3965</v>
      </c>
      <c r="N2175" s="868" t="inlineStr">
        <is>
          <t>NA</t>
        </is>
      </c>
      <c r="O2175" s="567" t="n">
        <v>0.3136</v>
      </c>
      <c r="P2175" s="470" t="n">
        <v>0.4316</v>
      </c>
    </row>
    <row r="2176" ht="15.75" customHeight="1" s="2">
      <c r="A2176" s="462" t="inlineStr">
        <is>
          <t>Wage % to Nett Sales</t>
        </is>
      </c>
      <c r="B2176" s="890" t="inlineStr">
        <is>
          <t>NA</t>
        </is>
      </c>
      <c r="C2176" s="567" t="n">
        <v>0.3653</v>
      </c>
      <c r="D2176" s="470" t="n">
        <v>0.4369</v>
      </c>
      <c r="E2176" s="868" t="inlineStr">
        <is>
          <t>NA</t>
        </is>
      </c>
      <c r="F2176" s="567" t="n">
        <v>0.3738</v>
      </c>
      <c r="G2176" s="863" t="n">
        <v>0.4276</v>
      </c>
      <c r="H2176" s="868" t="inlineStr">
        <is>
          <t>NA</t>
        </is>
      </c>
      <c r="I2176" s="567" t="n">
        <v>0.3587</v>
      </c>
      <c r="J2176" s="470" t="n">
        <v>0.4275</v>
      </c>
      <c r="K2176" s="868" t="inlineStr">
        <is>
          <t>NA</t>
        </is>
      </c>
      <c r="L2176" s="860" t="n">
        <v>0.3589</v>
      </c>
      <c r="M2176" s="863" t="n">
        <v>0.4361</v>
      </c>
      <c r="N2176" s="868" t="inlineStr">
        <is>
          <t>NA</t>
        </is>
      </c>
      <c r="O2176" s="567" t="n">
        <v>0.345</v>
      </c>
      <c r="P2176" s="470" t="n">
        <v>0.4748</v>
      </c>
    </row>
    <row r="2177" ht="15.75" customHeight="1" s="2">
      <c r="A2177" s="462" t="inlineStr">
        <is>
          <t>Productivity</t>
        </is>
      </c>
      <c r="B2177" s="869" t="inlineStr">
        <is>
          <t>NA</t>
        </is>
      </c>
      <c r="C2177" s="568" t="n">
        <v>4.88</v>
      </c>
      <c r="D2177" s="472" t="n">
        <v>4.25</v>
      </c>
      <c r="E2177" s="869" t="inlineStr">
        <is>
          <t>NA</t>
        </is>
      </c>
      <c r="F2177" s="568" t="n">
        <v>4.64</v>
      </c>
      <c r="G2177" s="472" t="n">
        <v>8.4</v>
      </c>
      <c r="H2177" s="869" t="inlineStr">
        <is>
          <t>NA</t>
        </is>
      </c>
      <c r="I2177" s="568" t="n">
        <v>5.02</v>
      </c>
      <c r="J2177" s="472" t="n">
        <v>4.25</v>
      </c>
      <c r="K2177" s="869" t="inlineStr">
        <is>
          <t>NA</t>
        </is>
      </c>
      <c r="L2177" s="568" t="n">
        <v>4.81</v>
      </c>
      <c r="M2177" s="472" t="n">
        <v>4.4</v>
      </c>
      <c r="N2177" s="869" t="inlineStr">
        <is>
          <t>NA</t>
        </is>
      </c>
      <c r="O2177" s="568" t="n">
        <v>5.5</v>
      </c>
      <c r="P2177" s="472" t="n">
        <v>4.5</v>
      </c>
    </row>
    <row r="2178" ht="15.75" customHeight="1" s="2">
      <c r="A2178" s="462" t="inlineStr">
        <is>
          <t>Average Hourly Rate</t>
        </is>
      </c>
      <c r="B2178" s="869" t="inlineStr">
        <is>
          <t>NA</t>
        </is>
      </c>
      <c r="C2178" s="568" t="n">
        <v>36.52</v>
      </c>
      <c r="D2178" s="1628" t="n">
        <v>37</v>
      </c>
      <c r="E2178" s="869" t="inlineStr">
        <is>
          <t>NA</t>
        </is>
      </c>
      <c r="F2178" s="568" t="n">
        <v>35.34</v>
      </c>
      <c r="G2178" s="1628" t="n">
        <v>37</v>
      </c>
      <c r="H2178" s="869" t="inlineStr">
        <is>
          <t>NA</t>
        </is>
      </c>
      <c r="I2178" s="568" t="n">
        <v>35.73</v>
      </c>
      <c r="J2178" s="1628" t="n">
        <v>37</v>
      </c>
      <c r="K2178" s="869" t="inlineStr">
        <is>
          <t>NA</t>
        </is>
      </c>
      <c r="L2178" s="568" t="n">
        <v>37.2</v>
      </c>
      <c r="M2178" s="1649" t="n">
        <v>37</v>
      </c>
      <c r="N2178" s="869" t="inlineStr">
        <is>
          <t>NA</t>
        </is>
      </c>
      <c r="O2178" s="568" t="n">
        <v>40.64</v>
      </c>
      <c r="P2178" s="1628" t="n">
        <v>41</v>
      </c>
    </row>
    <row r="2179" ht="15.75" customHeight="1" s="2">
      <c r="A2179" s="462" t="inlineStr">
        <is>
          <t>Total hours for productivity</t>
        </is>
      </c>
      <c r="B2179" s="869" t="inlineStr">
        <is>
          <t>NA</t>
        </is>
      </c>
      <c r="C2179" s="568" t="n">
        <v>934.25</v>
      </c>
      <c r="D2179" s="466" t="n">
        <v>1046</v>
      </c>
      <c r="E2179" s="869" t="inlineStr">
        <is>
          <t>NA</t>
        </is>
      </c>
      <c r="F2179" s="568" t="n">
        <v>946.75</v>
      </c>
      <c r="G2179" s="466" t="n">
        <v>1078</v>
      </c>
      <c r="H2179" s="869" t="inlineStr">
        <is>
          <t>NA</t>
        </is>
      </c>
      <c r="I2179" s="568" t="n">
        <v>975.75</v>
      </c>
      <c r="J2179" s="472" t="n">
        <v>1129</v>
      </c>
      <c r="K2179" s="869" t="inlineStr">
        <is>
          <t>NA</t>
        </is>
      </c>
      <c r="L2179" s="568" t="n">
        <v>1025.5</v>
      </c>
      <c r="M2179" s="466" t="n">
        <v>1075</v>
      </c>
      <c r="N2179" s="869" t="inlineStr">
        <is>
          <t>NA</t>
        </is>
      </c>
      <c r="O2179" s="568" t="n">
        <v>1132</v>
      </c>
      <c r="P2179" s="466" t="n">
        <v>1269</v>
      </c>
    </row>
    <row r="2180" ht="15.75" customHeight="1" s="2">
      <c r="A2180" s="462" t="inlineStr">
        <is>
          <t>Training Hours used</t>
        </is>
      </c>
      <c r="B2180" s="870" t="inlineStr">
        <is>
          <t>NA</t>
        </is>
      </c>
      <c r="C2180" s="569" t="n"/>
      <c r="D2180" s="466" t="n"/>
      <c r="E2180" s="870" t="inlineStr">
        <is>
          <t>NA</t>
        </is>
      </c>
      <c r="F2180" s="569" t="n"/>
      <c r="G2180" s="466" t="n"/>
      <c r="H2180" s="870" t="inlineStr">
        <is>
          <t>NA</t>
        </is>
      </c>
      <c r="I2180" s="569" t="n">
        <v>83</v>
      </c>
      <c r="J2180" s="466" t="n"/>
      <c r="K2180" s="870" t="inlineStr">
        <is>
          <t>NA</t>
        </is>
      </c>
      <c r="L2180" s="569" t="n"/>
      <c r="M2180" s="466" t="n"/>
      <c r="N2180" s="870" t="inlineStr">
        <is>
          <t>NA</t>
        </is>
      </c>
      <c r="O2180" s="569" t="n"/>
      <c r="P2180" s="466" t="n"/>
    </row>
    <row r="2181" ht="15.75" customHeight="1" s="2" thickBot="1">
      <c r="A2181" s="474" t="inlineStr">
        <is>
          <t>Number of hours used to cover sick leave</t>
        </is>
      </c>
      <c r="B2181" s="813" t="inlineStr">
        <is>
          <t>NA</t>
        </is>
      </c>
      <c r="C2181" s="570" t="n"/>
      <c r="D2181" s="476" t="n"/>
      <c r="E2181" s="813" t="inlineStr">
        <is>
          <t>NA</t>
        </is>
      </c>
      <c r="F2181" s="570" t="n"/>
      <c r="G2181" s="476" t="n"/>
      <c r="H2181" s="813" t="inlineStr">
        <is>
          <t>NA</t>
        </is>
      </c>
      <c r="I2181" s="570" t="n"/>
      <c r="J2181" s="476" t="n"/>
      <c r="K2181" s="813" t="inlineStr">
        <is>
          <t>NA</t>
        </is>
      </c>
      <c r="L2181" s="570" t="n"/>
      <c r="M2181" s="476" t="n"/>
      <c r="N2181" s="813" t="inlineStr">
        <is>
          <t>NA</t>
        </is>
      </c>
      <c r="O2181" s="570" t="n"/>
      <c r="P2181" s="476" t="n"/>
    </row>
    <row r="2182" ht="15.75" customHeight="1" s="2" thickBot="1">
      <c r="A2182" s="477" t="inlineStr">
        <is>
          <t xml:space="preserve">Minimum Hours </t>
        </is>
      </c>
      <c r="B2182" s="836" t="inlineStr">
        <is>
          <t>60% Hours</t>
        </is>
      </c>
      <c r="C2182" s="816" t="inlineStr">
        <is>
          <t>Projected</t>
        </is>
      </c>
      <c r="D2182" s="817" t="inlineStr">
        <is>
          <t>Rostered</t>
        </is>
      </c>
      <c r="E2182" s="836" t="inlineStr">
        <is>
          <t>60% Hours</t>
        </is>
      </c>
      <c r="F2182" s="816" t="inlineStr">
        <is>
          <t>Projected</t>
        </is>
      </c>
      <c r="G2182" s="817" t="inlineStr">
        <is>
          <t>Rostered</t>
        </is>
      </c>
      <c r="H2182" s="836" t="inlineStr">
        <is>
          <t>60% Hours</t>
        </is>
      </c>
      <c r="I2182" s="816" t="inlineStr">
        <is>
          <t>Projected</t>
        </is>
      </c>
      <c r="J2182" s="817" t="inlineStr">
        <is>
          <t>Rostered</t>
        </is>
      </c>
      <c r="K2182" s="836" t="inlineStr">
        <is>
          <t>60% Hours</t>
        </is>
      </c>
      <c r="L2182" s="816" t="inlineStr">
        <is>
          <t>Projected</t>
        </is>
      </c>
      <c r="M2182" s="817" t="inlineStr">
        <is>
          <t>Rostered</t>
        </is>
      </c>
      <c r="N2182" s="934" t="inlineStr">
        <is>
          <t>60% Hours</t>
        </is>
      </c>
      <c r="O2182" s="935" t="inlineStr">
        <is>
          <t>Projected</t>
        </is>
      </c>
      <c r="P2182" s="936" t="inlineStr">
        <is>
          <t>Rostered</t>
        </is>
      </c>
    </row>
    <row r="2183" ht="15.75" customHeight="1" s="2">
      <c r="A2183" s="479" t="inlineStr">
        <is>
          <t>Floor</t>
        </is>
      </c>
      <c r="B2183" s="855" t="n"/>
      <c r="C2183" s="810" t="n">
        <v>821</v>
      </c>
      <c r="D2183" s="811" t="n">
        <v>678</v>
      </c>
      <c r="E2183" s="855" t="n"/>
      <c r="F2183" s="810" t="n">
        <v>615</v>
      </c>
      <c r="G2183" s="811" t="n">
        <v>589</v>
      </c>
      <c r="H2183" s="855" t="n"/>
      <c r="I2183" s="810" t="n"/>
      <c r="J2183" s="811" t="n"/>
      <c r="K2183" s="855" t="n"/>
      <c r="L2183" s="810" t="n">
        <v>591</v>
      </c>
      <c r="M2183" s="811" t="n">
        <v>584</v>
      </c>
      <c r="N2183" s="837" t="n"/>
      <c r="O2183" s="810" t="n">
        <v>739</v>
      </c>
      <c r="P2183" s="811" t="n">
        <v>706</v>
      </c>
    </row>
    <row r="2184" ht="15.75" customHeight="1" s="2" thickBot="1">
      <c r="A2184" s="481" t="inlineStr">
        <is>
          <t>Kitchen</t>
        </is>
      </c>
      <c r="B2184" s="856" t="n"/>
      <c r="C2184" s="813" t="n">
        <v>672</v>
      </c>
      <c r="D2184" s="814" t="n">
        <v>547</v>
      </c>
      <c r="E2184" s="856" t="n"/>
      <c r="F2184" s="840" t="n">
        <v>503</v>
      </c>
      <c r="G2184" s="814" t="n">
        <v>488</v>
      </c>
      <c r="H2184" s="856" t="n"/>
      <c r="I2184" s="813" t="n"/>
      <c r="J2184" s="814" t="n"/>
      <c r="K2184" s="856" t="n"/>
      <c r="L2184" s="813" t="n">
        <v>484</v>
      </c>
      <c r="M2184" s="814" t="n">
        <v>455</v>
      </c>
      <c r="N2184" s="838" t="n"/>
      <c r="O2184" s="813" t="n">
        <v>605</v>
      </c>
      <c r="P2184" s="814" t="n">
        <v>564</v>
      </c>
    </row>
    <row r="2185" ht="15.75" customHeight="1" s="2" thickBot="1">
      <c r="A2185" s="834" t="n"/>
      <c r="B2185" s="836" t="n"/>
      <c r="C2185" s="926" t="n"/>
      <c r="D2185" s="926" t="n"/>
      <c r="E2185" s="839" t="n"/>
      <c r="F2185" s="926" t="n"/>
      <c r="G2185" s="926" t="n"/>
      <c r="H2185" s="839" t="n"/>
      <c r="I2185" s="926" t="n"/>
      <c r="J2185" s="926" t="n"/>
      <c r="K2185" s="839" t="n"/>
      <c r="L2185" s="926" t="n"/>
      <c r="M2185" s="926" t="n"/>
      <c r="N2185" s="839" t="n"/>
      <c r="O2185" s="835" t="n"/>
      <c r="P2185" s="835" t="n"/>
    </row>
    <row r="2186" ht="15.75" customHeight="1" s="2">
      <c r="A2186" s="506" t="inlineStr">
        <is>
          <t>Training explanation</t>
        </is>
      </c>
      <c r="B2186" s="837" t="n"/>
      <c r="C2186" s="926" t="n"/>
      <c r="D2186" s="926" t="n"/>
      <c r="E2186" s="837" t="n"/>
      <c r="F2186" s="926" t="n"/>
      <c r="G2186" s="926" t="n"/>
      <c r="H2186" s="837" t="n"/>
      <c r="I2186" s="926" t="n"/>
      <c r="J2186" s="926" t="n"/>
      <c r="K2186" s="837" t="n"/>
      <c r="L2186" s="926" t="n"/>
      <c r="M2186" s="926" t="n"/>
      <c r="N2186" s="837" t="n"/>
      <c r="O2186" s="835" t="n"/>
      <c r="P2186" s="835" t="n"/>
    </row>
    <row r="2187" ht="15.75" customHeight="1" s="2" thickBot="1">
      <c r="A2187" s="506" t="inlineStr">
        <is>
          <t>Who is being Trained</t>
        </is>
      </c>
      <c r="B2187" s="838" t="n"/>
      <c r="C2187" s="927" t="n"/>
      <c r="D2187" s="927" t="n"/>
      <c r="E2187" s="838" t="n"/>
      <c r="F2187" s="927" t="n"/>
      <c r="G2187" s="927" t="n"/>
      <c r="H2187" s="838" t="n"/>
      <c r="I2187" s="927" t="n"/>
      <c r="J2187" s="927" t="n"/>
      <c r="K2187" s="838" t="n"/>
      <c r="L2187" s="927" t="n"/>
      <c r="M2187" s="927" t="n"/>
      <c r="N2187" s="838" t="n"/>
    </row>
    <row r="2188" ht="15.75" customHeight="1" s="2" thickBot="1">
      <c r="A2188" s="506" t="n"/>
      <c r="C2188" s="523" t="inlineStr">
        <is>
          <t>floor</t>
        </is>
      </c>
      <c r="D2188" s="524" t="inlineStr">
        <is>
          <t>kitchen</t>
        </is>
      </c>
      <c r="E2188" s="509" t="n"/>
      <c r="F2188" s="507" t="inlineStr">
        <is>
          <t>floor</t>
        </is>
      </c>
      <c r="G2188" s="508" t="inlineStr">
        <is>
          <t>kitchen</t>
        </is>
      </c>
      <c r="H2188" s="510" t="n"/>
      <c r="I2188" s="535" t="inlineStr">
        <is>
          <t>floor</t>
        </is>
      </c>
      <c r="J2188" s="511" t="inlineStr">
        <is>
          <t>kitchen</t>
        </is>
      </c>
      <c r="K2188" s="512" t="n"/>
      <c r="L2188" s="535" t="inlineStr">
        <is>
          <t>floor</t>
        </is>
      </c>
      <c r="M2188" s="513" t="inlineStr">
        <is>
          <t>kitchen</t>
        </is>
      </c>
      <c r="N2188" s="512" t="n"/>
      <c r="O2188" s="535" t="inlineStr">
        <is>
          <t>floor</t>
        </is>
      </c>
      <c r="P2188" s="513" t="inlineStr">
        <is>
          <t>kitchen</t>
        </is>
      </c>
    </row>
    <row r="2189" ht="15.75" customHeight="1" s="2">
      <c r="A2189" s="506" t="n"/>
      <c r="C2189" s="525" t="n"/>
      <c r="D2189" s="527" t="n"/>
      <c r="E2189" s="514" t="n"/>
      <c r="F2189" s="525" t="n"/>
      <c r="G2189" s="527" t="n"/>
      <c r="H2189" s="515" t="n"/>
      <c r="I2189" s="531" t="n"/>
      <c r="J2189" s="824" t="n"/>
      <c r="K2189" s="515" t="n"/>
      <c r="L2189" s="536" t="n"/>
      <c r="M2189" s="532" t="n"/>
      <c r="N2189" s="515" t="n"/>
      <c r="O2189" s="536" t="n"/>
      <c r="P2189" s="532" t="n"/>
    </row>
    <row r="2190" ht="15.75" customHeight="1" s="2">
      <c r="C2190" s="891" t="n"/>
      <c r="D2190" s="526" t="n"/>
      <c r="E2190" s="514" t="n"/>
      <c r="F2190" s="891" t="n"/>
      <c r="G2190" s="526" t="n"/>
      <c r="H2190" s="516" t="n"/>
      <c r="I2190" s="1656" t="n"/>
      <c r="J2190" s="530" t="n"/>
      <c r="K2190" s="516" t="n"/>
      <c r="L2190" s="542" t="n"/>
      <c r="M2190" s="530" t="n"/>
      <c r="N2190" s="516" t="n"/>
      <c r="O2190" s="542" t="n"/>
      <c r="P2190" s="530" t="n"/>
    </row>
    <row r="2191" ht="15.75" customHeight="1" s="2">
      <c r="C2191" s="550" t="n"/>
      <c r="D2191" s="527" t="n"/>
      <c r="E2191" s="514" t="n"/>
      <c r="F2191" s="531" t="n"/>
      <c r="G2191" s="530" t="n"/>
      <c r="H2191" s="516" t="n"/>
      <c r="I2191" s="537" t="n"/>
      <c r="J2191" s="530" t="n"/>
      <c r="K2191" s="516" t="n"/>
      <c r="L2191" s="1657" t="n"/>
      <c r="M2191" s="539" t="n"/>
      <c r="N2191" s="516" t="n"/>
      <c r="O2191" s="542" t="n"/>
      <c r="P2191" s="539" t="n"/>
    </row>
    <row r="2192" ht="15.75" customHeight="1" s="2">
      <c r="C2192" s="561" t="n"/>
      <c r="D2192" s="561" t="n"/>
      <c r="E2192" s="519" t="n"/>
      <c r="F2192" s="517" t="n"/>
      <c r="G2192" s="1659" t="n"/>
      <c r="H2192" s="516" t="n"/>
      <c r="I2192" s="537" t="n"/>
      <c r="J2192" s="530" t="n"/>
      <c r="K2192" s="516" t="n"/>
      <c r="L2192" s="537" t="n"/>
      <c r="M2192" s="539" t="n"/>
      <c r="N2192" s="516" t="n"/>
      <c r="O2192" s="537" t="n"/>
      <c r="P2192" s="539" t="n"/>
    </row>
    <row r="2193" ht="15.75" customHeight="1" s="2">
      <c r="C2193" s="551" t="n"/>
      <c r="D2193" s="528" t="n"/>
      <c r="E2193" s="519" t="n"/>
      <c r="F2193" s="517" t="n"/>
      <c r="G2193" s="518" t="n"/>
      <c r="H2193" s="516" t="n"/>
      <c r="I2193" s="537" t="n"/>
      <c r="J2193" s="533" t="n"/>
      <c r="K2193" s="516" t="n"/>
      <c r="L2193" s="537" t="n"/>
      <c r="M2193" s="540" t="n"/>
      <c r="N2193" s="516" t="n"/>
      <c r="O2193" s="537" t="n"/>
      <c r="P2193" s="540" t="n"/>
    </row>
    <row r="2196" ht="15.75" customHeight="1" s="2" thickBot="1"/>
    <row r="2197" ht="15.75" customHeight="1" s="2" thickBot="1">
      <c r="B2197" s="1652" t="inlineStr">
        <is>
          <t>3.10.2022</t>
        </is>
      </c>
      <c r="C2197" s="1641" t="n"/>
      <c r="D2197" s="1502" t="n"/>
      <c r="E2197" s="1640" t="inlineStr">
        <is>
          <t>10.10.2022</t>
        </is>
      </c>
      <c r="F2197" s="1641" t="n"/>
      <c r="G2197" s="1502" t="n"/>
      <c r="H2197" s="1640" t="inlineStr">
        <is>
          <t>17.10.2022</t>
        </is>
      </c>
      <c r="I2197" s="1641" t="n"/>
      <c r="J2197" s="1502" t="n"/>
      <c r="K2197" s="1640" t="inlineStr">
        <is>
          <t>24.10.2022</t>
        </is>
      </c>
      <c r="L2197" s="1641" t="n"/>
      <c r="M2197" s="1502" t="n"/>
      <c r="N2197" s="1660" t="inlineStr">
        <is>
          <t>31.10.22</t>
        </is>
      </c>
      <c r="O2197" s="1641" t="n"/>
      <c r="P2197" s="1502" t="n"/>
    </row>
    <row r="2198" ht="15.75" customHeight="1" s="2" thickBot="1">
      <c r="A2198" s="455" t="n"/>
      <c r="B2198" s="923" t="inlineStr">
        <is>
          <t>LAST YEAR</t>
        </is>
      </c>
      <c r="C2198" s="924" t="inlineStr">
        <is>
          <t>Actual</t>
        </is>
      </c>
      <c r="D2198" s="925" t="inlineStr">
        <is>
          <t>Projected</t>
        </is>
      </c>
      <c r="E2198" s="923" t="inlineStr">
        <is>
          <t>LAST YEAR</t>
        </is>
      </c>
      <c r="F2198" s="924" t="inlineStr">
        <is>
          <t>Actual</t>
        </is>
      </c>
      <c r="G2198" s="925" t="inlineStr">
        <is>
          <t>Projected</t>
        </is>
      </c>
      <c r="H2198" s="923" t="inlineStr">
        <is>
          <t>LAST YEAR</t>
        </is>
      </c>
      <c r="I2198" s="924" t="inlineStr">
        <is>
          <t>Actual</t>
        </is>
      </c>
      <c r="J2198" s="925" t="inlineStr">
        <is>
          <t>Projected</t>
        </is>
      </c>
      <c r="K2198" s="923" t="inlineStr">
        <is>
          <t>LAST YEAR</t>
        </is>
      </c>
      <c r="L2198" s="924" t="inlineStr">
        <is>
          <t>Actual</t>
        </is>
      </c>
      <c r="M2198" s="925" t="inlineStr">
        <is>
          <t>Projected</t>
        </is>
      </c>
      <c r="N2198" s="923" t="inlineStr">
        <is>
          <t>LAST YEAR</t>
        </is>
      </c>
      <c r="O2198" s="924" t="inlineStr">
        <is>
          <t>Actual</t>
        </is>
      </c>
      <c r="P2198" s="925" t="inlineStr">
        <is>
          <t>Projected</t>
        </is>
      </c>
    </row>
    <row r="2199" ht="15.75" customHeight="1" s="2">
      <c r="A2199" s="459" t="inlineStr">
        <is>
          <t>Total Receipts</t>
        </is>
      </c>
      <c r="B2199" s="1653" t="inlineStr">
        <is>
          <t>NA</t>
        </is>
      </c>
      <c r="C2199" s="1643" t="n">
        <v>173300</v>
      </c>
      <c r="D2199" s="1622" t="n">
        <v>170253</v>
      </c>
      <c r="E2199" s="1653" t="inlineStr">
        <is>
          <t>NA</t>
        </is>
      </c>
      <c r="F2199" s="1643" t="n">
        <v>127270.77</v>
      </c>
      <c r="G2199" s="1645" t="n">
        <v>149765</v>
      </c>
      <c r="H2199" s="1644" t="inlineStr">
        <is>
          <t>NA</t>
        </is>
      </c>
      <c r="I2199" s="1631" t="n">
        <v>119235</v>
      </c>
      <c r="J2199" s="1645" t="n">
        <v>111480</v>
      </c>
      <c r="K2199" s="1644" t="n">
        <v>69521.24000000001</v>
      </c>
      <c r="L2199" s="1643" t="n">
        <v>104755.75</v>
      </c>
      <c r="M2199" s="1645" t="n">
        <v>113040</v>
      </c>
      <c r="N2199" s="1644" t="n">
        <v>109946.57</v>
      </c>
      <c r="O2199" s="1631" t="n">
        <v>119066.2</v>
      </c>
      <c r="P2199" s="1622" t="n">
        <v>109815</v>
      </c>
    </row>
    <row r="2200" ht="15.75" customHeight="1" s="2">
      <c r="A2200" s="462" t="inlineStr">
        <is>
          <t>Nett Sales</t>
        </is>
      </c>
      <c r="B2200" s="1646" t="inlineStr">
        <is>
          <t>NA</t>
        </is>
      </c>
      <c r="C2200" s="1632" t="n">
        <v>157546</v>
      </c>
      <c r="D2200" s="1625" t="n">
        <v>154775.7</v>
      </c>
      <c r="E2200" s="1653" t="inlineStr">
        <is>
          <t>NA</t>
        </is>
      </c>
      <c r="F2200" s="1632" t="n">
        <v>115700.7</v>
      </c>
      <c r="G2200" s="1637" t="n">
        <v>136150</v>
      </c>
      <c r="H2200" s="1644" t="inlineStr">
        <is>
          <t>NA</t>
        </is>
      </c>
      <c r="I2200" s="1632" t="n">
        <v>108396.03</v>
      </c>
      <c r="J2200" s="1625" t="n">
        <v>101345.5</v>
      </c>
      <c r="K2200" s="1646" t="n">
        <v>63201.13</v>
      </c>
      <c r="L2200" s="1632" t="n">
        <v>95232.5</v>
      </c>
      <c r="M2200" s="1625" t="n">
        <v>102763.6</v>
      </c>
      <c r="N2200" s="1646" t="n">
        <v>99951.42727272728</v>
      </c>
      <c r="O2200" s="1632" t="n">
        <v>108242</v>
      </c>
      <c r="P2200" s="1625" t="n">
        <v>99831</v>
      </c>
    </row>
    <row r="2201" ht="15.75" customHeight="1" s="2">
      <c r="A2201" s="462" t="inlineStr">
        <is>
          <t>Customers</t>
        </is>
      </c>
      <c r="B2201" s="866" t="inlineStr">
        <is>
          <t>NA</t>
        </is>
      </c>
      <c r="C2201" s="565" t="n">
        <v>7303</v>
      </c>
      <c r="D2201" s="466" t="n">
        <v>7110</v>
      </c>
      <c r="E2201" s="1653" t="inlineStr">
        <is>
          <t>NA</t>
        </is>
      </c>
      <c r="F2201" s="565" t="n">
        <v>5300</v>
      </c>
      <c r="G2201" s="466" t="n">
        <v>6410</v>
      </c>
      <c r="H2201" s="1644" t="inlineStr">
        <is>
          <t>NA</t>
        </is>
      </c>
      <c r="I2201" s="565" t="n">
        <v>4635</v>
      </c>
      <c r="J2201" s="466" t="n">
        <v>4740</v>
      </c>
      <c r="K2201" s="866" t="n">
        <v>2753</v>
      </c>
      <c r="L2201" s="565" t="n">
        <v>4319</v>
      </c>
      <c r="M2201" s="466" t="n">
        <v>4800</v>
      </c>
      <c r="N2201" s="866" t="n">
        <v>4400</v>
      </c>
      <c r="O2201" s="565" t="n">
        <v>4816</v>
      </c>
      <c r="P2201" s="1655" t="n">
        <v>4665</v>
      </c>
    </row>
    <row r="2202" ht="15.75" customHeight="1" s="2">
      <c r="A2202" s="462" t="inlineStr">
        <is>
          <t>Average Customer Spend</t>
        </is>
      </c>
      <c r="B2202" s="1654" t="inlineStr">
        <is>
          <t>NA</t>
        </is>
      </c>
      <c r="C2202" s="1647" t="n">
        <v>23.73</v>
      </c>
      <c r="D2202" s="1628" t="n">
        <v>23.95</v>
      </c>
      <c r="E2202" s="1653" t="inlineStr">
        <is>
          <t>NA</t>
        </is>
      </c>
      <c r="F2202" s="1647" t="n">
        <v>24.01</v>
      </c>
      <c r="G2202" s="1649" t="n">
        <v>23.36</v>
      </c>
      <c r="H2202" s="1644" t="inlineStr">
        <is>
          <t>NA</t>
        </is>
      </c>
      <c r="I2202" s="1635" t="n">
        <v>25.73</v>
      </c>
      <c r="J2202" s="1649" t="n">
        <v>23.52</v>
      </c>
      <c r="K2202" s="1648" t="n">
        <v>25.23</v>
      </c>
      <c r="L2202" s="1647" t="n">
        <v>24.25</v>
      </c>
      <c r="M2202" s="1649" t="n">
        <v>23.55</v>
      </c>
      <c r="N2202" s="1648" t="n">
        <v>36.39</v>
      </c>
      <c r="O2202" s="1635" t="n">
        <v>24.72</v>
      </c>
      <c r="P2202" s="1628" t="n">
        <v>23.54</v>
      </c>
    </row>
    <row r="2203" ht="15.75" customHeight="1" s="2">
      <c r="A2203" s="462" t="inlineStr">
        <is>
          <t>Wage % to Total Receipts</t>
        </is>
      </c>
      <c r="B2203" s="890" t="inlineStr">
        <is>
          <t>NA</t>
        </is>
      </c>
      <c r="C2203" s="860" t="n">
        <v>0.286</v>
      </c>
      <c r="D2203" s="470" t="n">
        <v>0.4029</v>
      </c>
      <c r="E2203" s="1653" t="inlineStr">
        <is>
          <t>NA</t>
        </is>
      </c>
      <c r="F2203" s="860" t="n">
        <v>0.3084</v>
      </c>
      <c r="G2203" s="863" t="n">
        <v>0.3827</v>
      </c>
      <c r="H2203" s="1644" t="inlineStr">
        <is>
          <t>NA</t>
        </is>
      </c>
      <c r="I2203" s="567" t="n">
        <v>0.3051</v>
      </c>
      <c r="J2203" s="863" t="n">
        <v>0.3153</v>
      </c>
      <c r="K2203" s="868" t="n">
        <v>0.4143</v>
      </c>
      <c r="L2203" s="860" t="n">
        <v>0.3402</v>
      </c>
      <c r="M2203" s="863" t="n">
        <v>0.3173</v>
      </c>
      <c r="N2203" s="868" t="n">
        <v>0.3236</v>
      </c>
      <c r="O2203" s="567" t="n">
        <v>0.298</v>
      </c>
      <c r="P2203" s="470" t="n">
        <v>0.3332</v>
      </c>
    </row>
    <row r="2204" ht="15.75" customHeight="1" s="2">
      <c r="A2204" s="462" t="inlineStr">
        <is>
          <t>Wage % to Nett Sales</t>
        </is>
      </c>
      <c r="B2204" s="890" t="inlineStr">
        <is>
          <t>NA</t>
        </is>
      </c>
      <c r="C2204" s="860" t="n">
        <v>0.3146</v>
      </c>
      <c r="D2204" s="470" t="n">
        <v>0.4432</v>
      </c>
      <c r="E2204" s="1653" t="inlineStr">
        <is>
          <t>NA</t>
        </is>
      </c>
      <c r="F2204" s="860" t="n">
        <v>0.3392</v>
      </c>
      <c r="G2204" s="863" t="n">
        <v>0.421</v>
      </c>
      <c r="H2204" s="1644" t="inlineStr">
        <is>
          <t>NA</t>
        </is>
      </c>
      <c r="I2204" s="567" t="n">
        <v>0.3356</v>
      </c>
      <c r="J2204" s="863" t="n">
        <v>0.3468</v>
      </c>
      <c r="K2204" s="868" t="n">
        <v>0.4557</v>
      </c>
      <c r="L2204" s="860" t="n">
        <v>0.3742</v>
      </c>
      <c r="M2204" s="863" t="n">
        <v>0.3491</v>
      </c>
      <c r="N2204" s="868" t="n">
        <v>0.356</v>
      </c>
      <c r="O2204" s="567" t="n">
        <v>0.3278</v>
      </c>
      <c r="P2204" s="470" t="n">
        <v>0.366</v>
      </c>
    </row>
    <row r="2205" ht="15.75" customHeight="1" s="2">
      <c r="A2205" s="462" t="inlineStr">
        <is>
          <t>Productivity</t>
        </is>
      </c>
      <c r="B2205" s="869" t="inlineStr">
        <is>
          <t>NA</t>
        </is>
      </c>
      <c r="C2205" s="568" t="n">
        <v>5.68</v>
      </c>
      <c r="D2205" s="472" t="n">
        <v>5.3</v>
      </c>
      <c r="E2205" s="1653" t="inlineStr">
        <is>
          <t>NA</t>
        </is>
      </c>
      <c r="F2205" s="568" t="n">
        <v>4.68</v>
      </c>
      <c r="G2205" s="472" t="n">
        <v>4.25</v>
      </c>
      <c r="H2205" s="1644" t="inlineStr">
        <is>
          <t>NA</t>
        </is>
      </c>
      <c r="I2205" s="568" t="n">
        <v>4.7</v>
      </c>
      <c r="J2205" s="472" t="n">
        <v>5.1</v>
      </c>
      <c r="K2205" s="869" t="n">
        <v>3.33</v>
      </c>
      <c r="L2205" s="568" t="n">
        <v>4.07</v>
      </c>
      <c r="M2205" s="472" t="n">
        <v>5</v>
      </c>
      <c r="N2205" s="869" t="n">
        <v>4.54</v>
      </c>
      <c r="O2205" s="568" t="n">
        <v>4.78</v>
      </c>
      <c r="P2205" s="472" t="n">
        <v>4.8</v>
      </c>
    </row>
    <row r="2206" ht="15.75" customHeight="1" s="2">
      <c r="A2206" s="462" t="inlineStr">
        <is>
          <t>Average Hourly Rate</t>
        </is>
      </c>
      <c r="B2206" s="869" t="inlineStr">
        <is>
          <t>NA</t>
        </is>
      </c>
      <c r="C2206" s="568" t="n">
        <v>38.52</v>
      </c>
      <c r="D2206" s="1628" t="n">
        <v>41</v>
      </c>
      <c r="E2206" s="1653" t="inlineStr">
        <is>
          <t>NA</t>
        </is>
      </c>
      <c r="F2206" s="568" t="n">
        <v>34.67</v>
      </c>
      <c r="G2206" s="1628" t="n">
        <v>38</v>
      </c>
      <c r="H2206" s="1644" t="inlineStr">
        <is>
          <t>NA</t>
        </is>
      </c>
      <c r="I2206" s="568" t="n">
        <v>36.88</v>
      </c>
      <c r="J2206" s="1649" t="n">
        <v>38</v>
      </c>
      <c r="K2206" s="869" t="n">
        <v>34.79</v>
      </c>
      <c r="L2206" s="568" t="n">
        <v>33.59</v>
      </c>
      <c r="M2206" s="1649" t="n">
        <v>37</v>
      </c>
      <c r="N2206" s="869" t="n">
        <v>36.39</v>
      </c>
      <c r="O2206" s="568" t="n">
        <v>35.23</v>
      </c>
      <c r="P2206" s="1628" t="n">
        <v>38</v>
      </c>
    </row>
    <row r="2207" ht="15.75" customHeight="1" s="2">
      <c r="A2207" s="462" t="inlineStr">
        <is>
          <t>Total hours for productivity</t>
        </is>
      </c>
      <c r="B2207" s="869" t="inlineStr">
        <is>
          <t>NA</t>
        </is>
      </c>
      <c r="C2207" s="568" t="n">
        <v>1286.75</v>
      </c>
      <c r="D2207" s="466" t="n">
        <v>1673</v>
      </c>
      <c r="E2207" s="1653" t="inlineStr">
        <is>
          <t>NA</t>
        </is>
      </c>
      <c r="F2207" s="568" t="n">
        <v>1132</v>
      </c>
      <c r="G2207" s="466" t="n">
        <v>1508</v>
      </c>
      <c r="H2207" s="1644" t="inlineStr">
        <is>
          <t>NA</t>
        </is>
      </c>
      <c r="I2207" s="568" t="n">
        <v>986.25</v>
      </c>
      <c r="J2207" s="472" t="n">
        <v>925</v>
      </c>
      <c r="K2207" s="869" t="n">
        <v>827.75</v>
      </c>
      <c r="L2207" s="568" t="n">
        <v>1061</v>
      </c>
      <c r="M2207" s="466" t="n">
        <v>969.5</v>
      </c>
      <c r="N2207" s="869" t="n">
        <v>977.75</v>
      </c>
      <c r="O2207" s="568" t="n">
        <v>1007.25</v>
      </c>
      <c r="P2207" s="466" t="n">
        <v>963</v>
      </c>
    </row>
    <row r="2208" ht="15.75" customHeight="1" s="2">
      <c r="A2208" s="462" t="inlineStr">
        <is>
          <t>Training Hours used</t>
        </is>
      </c>
      <c r="B2208" s="870" t="inlineStr">
        <is>
          <t>NA</t>
        </is>
      </c>
      <c r="C2208" s="569" t="n"/>
      <c r="D2208" s="466" t="n"/>
      <c r="E2208" s="1653" t="inlineStr">
        <is>
          <t>NA</t>
        </is>
      </c>
      <c r="F2208" s="569" t="n"/>
      <c r="G2208" s="466" t="n"/>
      <c r="H2208" s="1644" t="inlineStr">
        <is>
          <t>NA</t>
        </is>
      </c>
      <c r="I2208" s="569" t="n"/>
      <c r="J2208" s="466" t="n"/>
      <c r="K2208" s="870" t="n">
        <v>36</v>
      </c>
      <c r="L2208" s="569" t="n"/>
      <c r="M2208" s="466" t="n"/>
      <c r="N2208" s="870" t="n">
        <v>63.5</v>
      </c>
      <c r="O2208" s="569" t="n">
        <v>3</v>
      </c>
      <c r="P2208" s="466" t="n"/>
    </row>
    <row r="2209" ht="15.75" customHeight="1" s="2" thickBot="1">
      <c r="A2209" s="474" t="inlineStr">
        <is>
          <t>Number of hours used to cover sick leave</t>
        </is>
      </c>
      <c r="B2209" s="813" t="inlineStr">
        <is>
          <t>NA</t>
        </is>
      </c>
      <c r="C2209" s="570" t="n"/>
      <c r="D2209" s="476" t="n"/>
      <c r="E2209" s="1653" t="inlineStr">
        <is>
          <t>NA</t>
        </is>
      </c>
      <c r="F2209" s="570" t="n"/>
      <c r="G2209" s="476" t="n"/>
      <c r="H2209" s="1644" t="inlineStr">
        <is>
          <t>NA</t>
        </is>
      </c>
      <c r="I2209" s="570" t="n"/>
      <c r="J2209" s="476" t="n"/>
      <c r="K2209" s="813" t="n">
        <v>0</v>
      </c>
      <c r="L2209" s="570" t="n"/>
      <c r="M2209" s="476" t="n"/>
      <c r="N2209" s="813" t="n">
        <v>17.5</v>
      </c>
      <c r="O2209" s="570" t="n"/>
      <c r="P2209" s="476" t="n"/>
    </row>
    <row r="2210" ht="15.75" customHeight="1" s="2" thickBot="1">
      <c r="A2210" s="477" t="inlineStr">
        <is>
          <t xml:space="preserve">Minimum Hours </t>
        </is>
      </c>
      <c r="B2210" s="836" t="inlineStr">
        <is>
          <t>60% Hours</t>
        </is>
      </c>
      <c r="C2210" s="816" t="inlineStr">
        <is>
          <t>Projected</t>
        </is>
      </c>
      <c r="D2210" s="817" t="inlineStr">
        <is>
          <t>Rostered</t>
        </is>
      </c>
      <c r="E2210" s="836" t="inlineStr">
        <is>
          <t>60% Hours</t>
        </is>
      </c>
      <c r="F2210" s="816" t="inlineStr">
        <is>
          <t>Projected</t>
        </is>
      </c>
      <c r="G2210" s="817" t="inlineStr">
        <is>
          <t>Rostered</t>
        </is>
      </c>
      <c r="H2210" s="836" t="inlineStr">
        <is>
          <t>60% Hours</t>
        </is>
      </c>
      <c r="I2210" s="816" t="inlineStr">
        <is>
          <t>Projected</t>
        </is>
      </c>
      <c r="J2210" s="817" t="inlineStr">
        <is>
          <t>Rostered</t>
        </is>
      </c>
      <c r="K2210" s="836" t="inlineStr">
        <is>
          <t>60% Hours</t>
        </is>
      </c>
      <c r="L2210" s="816" t="inlineStr">
        <is>
          <t>Projected</t>
        </is>
      </c>
      <c r="M2210" s="817" t="inlineStr">
        <is>
          <t>Rostered</t>
        </is>
      </c>
      <c r="N2210" s="934" t="inlineStr">
        <is>
          <t>60% Hours</t>
        </is>
      </c>
      <c r="O2210" s="935" t="inlineStr">
        <is>
          <t>Projected</t>
        </is>
      </c>
      <c r="P2210" s="936" t="inlineStr">
        <is>
          <t>Rostered</t>
        </is>
      </c>
    </row>
    <row r="2211" ht="15.75" customHeight="1" s="2">
      <c r="A2211" s="479" t="inlineStr">
        <is>
          <t>Floor</t>
        </is>
      </c>
      <c r="B2211" s="855" t="n"/>
      <c r="C2211" s="810" t="n">
        <v>765</v>
      </c>
      <c r="D2211" s="811" t="n">
        <v>765</v>
      </c>
      <c r="E2211" s="855" t="n"/>
      <c r="F2211" s="810" t="n">
        <v>675</v>
      </c>
      <c r="G2211" s="811" t="n"/>
      <c r="H2211" s="855" t="n"/>
      <c r="I2211" s="810" t="n">
        <v>510</v>
      </c>
      <c r="J2211" s="811" t="n"/>
      <c r="K2211" s="855" t="n"/>
      <c r="L2211" s="810" t="n">
        <v>525</v>
      </c>
      <c r="M2211" s="811" t="n"/>
      <c r="N2211" s="837" t="n"/>
      <c r="O2211" s="810" t="n"/>
      <c r="P2211" s="811" t="n"/>
    </row>
    <row r="2212" ht="15.75" customHeight="1" s="2" thickBot="1">
      <c r="A2212" s="481" t="inlineStr">
        <is>
          <t>Kitchen</t>
        </is>
      </c>
      <c r="B2212" s="856" t="n"/>
      <c r="C2212" s="813" t="n">
        <v>574</v>
      </c>
      <c r="D2212" s="814" t="n">
        <v>566.5</v>
      </c>
      <c r="E2212" s="856" t="n"/>
      <c r="F2212" s="840" t="n">
        <v>548</v>
      </c>
      <c r="G2212" s="814" t="n"/>
      <c r="H2212" s="856" t="n"/>
      <c r="I2212" s="813" t="n">
        <v>415</v>
      </c>
      <c r="J2212" s="814" t="n"/>
      <c r="K2212" s="856" t="n"/>
      <c r="L2212" s="813" t="n">
        <v>445</v>
      </c>
      <c r="M2212" s="814" t="n"/>
      <c r="N2212" s="838" t="n"/>
      <c r="O2212" s="813" t="n"/>
      <c r="P2212" s="814" t="n"/>
    </row>
    <row r="2213" ht="15.75" customHeight="1" s="2" thickBot="1">
      <c r="A2213" s="834" t="n"/>
      <c r="B2213" s="836" t="n"/>
      <c r="C2213" s="926" t="n"/>
      <c r="D2213" s="926" t="n"/>
      <c r="E2213" s="839" t="n"/>
      <c r="F2213" s="926" t="n"/>
      <c r="G2213" s="926" t="n"/>
      <c r="H2213" s="839" t="n"/>
      <c r="I2213" s="926" t="n"/>
      <c r="J2213" s="926" t="n"/>
      <c r="K2213" s="839" t="n"/>
      <c r="L2213" s="926" t="n"/>
      <c r="M2213" s="926" t="n"/>
      <c r="N2213" s="839" t="n"/>
      <c r="O2213" s="835" t="n"/>
      <c r="P2213" s="835" t="n"/>
    </row>
    <row r="2214" ht="15.75" customHeight="1" s="2">
      <c r="A2214" s="506" t="inlineStr">
        <is>
          <t>Training explanation</t>
        </is>
      </c>
      <c r="B2214" s="837" t="n"/>
      <c r="C2214" s="926" t="n"/>
      <c r="D2214" s="926" t="n"/>
      <c r="E2214" s="837" t="n"/>
      <c r="F2214" s="926" t="n"/>
      <c r="G2214" s="926" t="n"/>
      <c r="H2214" s="837" t="n"/>
      <c r="I2214" s="926" t="n"/>
      <c r="J2214" s="926" t="n"/>
      <c r="K2214" s="837" t="n"/>
      <c r="L2214" s="926" t="n"/>
      <c r="M2214" s="926" t="n"/>
      <c r="N2214" s="837" t="n"/>
      <c r="O2214" s="835" t="n"/>
      <c r="P2214" s="835" t="n"/>
    </row>
    <row r="2215" ht="15.75" customHeight="1" s="2" thickBot="1">
      <c r="A2215" s="506" t="inlineStr">
        <is>
          <t>Who is being Trained</t>
        </is>
      </c>
      <c r="B2215" s="838" t="n"/>
      <c r="C2215" s="927" t="n"/>
      <c r="D2215" s="927" t="n"/>
      <c r="E2215" s="838" t="n"/>
      <c r="F2215" s="927" t="n"/>
      <c r="G2215" s="927" t="n"/>
      <c r="H2215" s="838" t="n"/>
      <c r="I2215" s="927" t="n"/>
      <c r="J2215" s="927" t="n"/>
      <c r="K2215" s="838" t="n"/>
      <c r="L2215" s="927" t="n"/>
      <c r="M2215" s="927" t="n"/>
      <c r="N2215" s="838" t="n"/>
    </row>
    <row r="2216" ht="15.75" customHeight="1" s="2" thickBot="1">
      <c r="A2216" s="506" t="n"/>
      <c r="C2216" s="523" t="inlineStr">
        <is>
          <t>floor</t>
        </is>
      </c>
      <c r="D2216" s="524" t="inlineStr">
        <is>
          <t>kitchen</t>
        </is>
      </c>
      <c r="E2216" s="509" t="n"/>
      <c r="F2216" s="507" t="inlineStr">
        <is>
          <t>floor</t>
        </is>
      </c>
      <c r="G2216" s="508" t="inlineStr">
        <is>
          <t>kitchen</t>
        </is>
      </c>
      <c r="H2216" s="510" t="n"/>
      <c r="I2216" s="535" t="inlineStr">
        <is>
          <t>floor</t>
        </is>
      </c>
      <c r="J2216" s="511" t="inlineStr">
        <is>
          <t>kitchen</t>
        </is>
      </c>
      <c r="K2216" s="512" t="n"/>
      <c r="L2216" s="535" t="inlineStr">
        <is>
          <t>floor</t>
        </is>
      </c>
      <c r="M2216" s="513" t="inlineStr">
        <is>
          <t>kitchen</t>
        </is>
      </c>
      <c r="N2216" s="512" t="n"/>
      <c r="O2216" s="535" t="inlineStr">
        <is>
          <t>floor</t>
        </is>
      </c>
      <c r="P2216" s="513" t="inlineStr">
        <is>
          <t>kitchen</t>
        </is>
      </c>
    </row>
    <row r="2217" ht="15.75" customHeight="1" s="2">
      <c r="A2217" s="506" t="n"/>
      <c r="C2217" s="525" t="n"/>
      <c r="D2217" s="527" t="n"/>
      <c r="E2217" s="514" t="n"/>
      <c r="F2217" s="525" t="n"/>
      <c r="G2217" s="527" t="n"/>
      <c r="H2217" s="515" t="n"/>
      <c r="I2217" s="531" t="n"/>
      <c r="J2217" s="824" t="n"/>
      <c r="K2217" s="515" t="n"/>
      <c r="L2217" s="536" t="n"/>
      <c r="M2217" s="532" t="n"/>
      <c r="N2217" s="515" t="n"/>
      <c r="O2217" s="536" t="n"/>
      <c r="P2217" s="532" t="n"/>
    </row>
    <row r="2218" ht="15.75" customHeight="1" s="2">
      <c r="C2218" s="891" t="n"/>
      <c r="D2218" s="526" t="n"/>
      <c r="E2218" s="514" t="n"/>
      <c r="F2218" s="891" t="n"/>
      <c r="G2218" s="526" t="n"/>
      <c r="H2218" s="516" t="n"/>
      <c r="I2218" s="1656" t="n"/>
      <c r="J2218" s="530" t="n"/>
      <c r="K2218" s="516" t="n"/>
      <c r="L2218" s="542" t="n"/>
      <c r="M2218" s="530" t="n"/>
      <c r="N2218" s="516" t="n"/>
      <c r="O2218" s="542" t="n"/>
      <c r="P2218" s="530" t="n"/>
    </row>
    <row r="2219" ht="15.75" customHeight="1" s="2">
      <c r="C2219" s="550" t="n"/>
      <c r="D2219" s="527" t="n"/>
      <c r="E2219" s="514" t="n"/>
      <c r="F2219" s="531" t="n"/>
      <c r="G2219" s="530" t="n"/>
      <c r="H2219" s="516" t="n"/>
      <c r="I2219" s="537" t="n"/>
      <c r="J2219" s="530" t="n"/>
      <c r="K2219" s="516" t="n"/>
      <c r="L2219" s="1657" t="n"/>
      <c r="M2219" s="539" t="n"/>
      <c r="N2219" s="516" t="n"/>
      <c r="O2219" s="542" t="n"/>
      <c r="P2219" s="539" t="n"/>
    </row>
    <row r="2220" ht="15.75" customHeight="1" s="2">
      <c r="C2220" s="561" t="n"/>
      <c r="D2220" s="561" t="n"/>
      <c r="E2220" s="519" t="n"/>
      <c r="F2220" s="517" t="n"/>
      <c r="G2220" s="1659" t="n"/>
      <c r="H2220" s="516" t="n"/>
      <c r="I2220" s="537" t="n"/>
      <c r="J2220" s="530" t="n"/>
      <c r="K2220" s="516" t="n"/>
      <c r="L2220" s="537" t="n"/>
      <c r="M2220" s="539" t="n"/>
      <c r="N2220" s="516" t="n"/>
      <c r="O2220" s="537" t="n"/>
      <c r="P2220" s="539" t="n"/>
    </row>
    <row r="2221" ht="15.75" customHeight="1" s="2">
      <c r="C2221" s="551" t="n"/>
      <c r="D2221" s="528" t="n"/>
      <c r="E2221" s="519" t="n"/>
      <c r="F2221" s="517" t="n"/>
      <c r="G2221" s="518" t="n"/>
      <c r="H2221" s="516" t="n"/>
      <c r="I2221" s="537" t="n"/>
      <c r="J2221" s="533" t="n"/>
      <c r="K2221" s="516" t="n"/>
      <c r="L2221" s="537" t="n"/>
      <c r="M2221" s="540" t="n"/>
      <c r="N2221" s="516" t="n"/>
      <c r="O2221" s="537" t="n"/>
      <c r="P2221" s="540" t="n"/>
    </row>
    <row r="2224" ht="15.75" customHeight="1" s="2" thickBot="1"/>
    <row r="2225" ht="15.75" customHeight="1" s="2" thickBot="1">
      <c r="B2225" s="1652" t="inlineStr">
        <is>
          <t>7.11.2022</t>
        </is>
      </c>
      <c r="C2225" s="1641" t="n"/>
      <c r="D2225" s="1502" t="n"/>
      <c r="E2225" s="1640" t="inlineStr">
        <is>
          <t>14.11.2022</t>
        </is>
      </c>
      <c r="F2225" s="1641" t="n"/>
      <c r="G2225" s="1502" t="n"/>
      <c r="H2225" s="1640" t="inlineStr">
        <is>
          <t>21.11.2022</t>
        </is>
      </c>
      <c r="I2225" s="1641" t="n"/>
      <c r="J2225" s="1502" t="n"/>
      <c r="K2225" s="1640" t="inlineStr">
        <is>
          <t>28.11.2022</t>
        </is>
      </c>
      <c r="L2225" s="1641" t="n"/>
      <c r="M2225" s="1502" t="n"/>
      <c r="N2225" s="1660" t="inlineStr">
        <is>
          <t>5.12.22</t>
        </is>
      </c>
      <c r="O2225" s="1641" t="n"/>
      <c r="P2225" s="1502" t="n"/>
    </row>
    <row r="2226" ht="15.75" customHeight="1" s="2" thickBot="1">
      <c r="A2226" s="455" t="n"/>
      <c r="B2226" s="923" t="inlineStr">
        <is>
          <t>LAST YEAR</t>
        </is>
      </c>
      <c r="C2226" s="924" t="inlineStr">
        <is>
          <t>Actual</t>
        </is>
      </c>
      <c r="D2226" s="925" t="inlineStr">
        <is>
          <t>Projected</t>
        </is>
      </c>
      <c r="E2226" s="923" t="inlineStr">
        <is>
          <t>LAST YEAR</t>
        </is>
      </c>
      <c r="F2226" s="924" t="inlineStr">
        <is>
          <t>Actual</t>
        </is>
      </c>
      <c r="G2226" s="925" t="inlineStr">
        <is>
          <t>Projected</t>
        </is>
      </c>
      <c r="H2226" s="923" t="inlineStr">
        <is>
          <t>LAST YEAR</t>
        </is>
      </c>
      <c r="I2226" s="924" t="inlineStr">
        <is>
          <t>Actual</t>
        </is>
      </c>
      <c r="J2226" s="925" t="inlineStr">
        <is>
          <t>Projected</t>
        </is>
      </c>
      <c r="K2226" s="923" t="inlineStr">
        <is>
          <t>LAST YEAR</t>
        </is>
      </c>
      <c r="L2226" s="924" t="inlineStr">
        <is>
          <t>Actual</t>
        </is>
      </c>
      <c r="M2226" s="925" t="inlineStr">
        <is>
          <t>Projected</t>
        </is>
      </c>
      <c r="N2226" s="923" t="inlineStr">
        <is>
          <t>LAST YEAR</t>
        </is>
      </c>
      <c r="O2226" s="924" t="inlineStr">
        <is>
          <t>Actual</t>
        </is>
      </c>
      <c r="P2226" s="925" t="inlineStr">
        <is>
          <t>Projected</t>
        </is>
      </c>
    </row>
    <row r="2227" ht="15.75" customHeight="1" s="2">
      <c r="A2227" s="459" t="inlineStr">
        <is>
          <t>Total Receipts</t>
        </is>
      </c>
      <c r="B2227" s="1644" t="n">
        <v>75025.86</v>
      </c>
      <c r="C2227" s="1643" t="n">
        <v>117066.9</v>
      </c>
      <c r="D2227" s="1622" t="n">
        <v>108750</v>
      </c>
      <c r="E2227" s="1653" t="n">
        <v>80456.21000000001</v>
      </c>
      <c r="F2227" s="1643" t="n">
        <v>111138.31</v>
      </c>
      <c r="G2227" s="1645" t="n">
        <v>105105</v>
      </c>
      <c r="H2227" s="1653" t="n">
        <v>82174.11</v>
      </c>
      <c r="I2227" s="1631" t="n">
        <v>122088</v>
      </c>
      <c r="J2227" s="1645" t="n">
        <v>103010</v>
      </c>
      <c r="K2227" s="1653" t="n">
        <v>85038</v>
      </c>
      <c r="L2227" s="1643" t="n">
        <v>120781.64</v>
      </c>
      <c r="M2227" s="1645" t="n">
        <v>108370</v>
      </c>
      <c r="N2227" s="1644" t="n">
        <v>101087</v>
      </c>
      <c r="O2227" s="1631" t="n">
        <v>134738.3</v>
      </c>
      <c r="P2227" s="1622" t="n">
        <v>132183</v>
      </c>
    </row>
    <row r="2228" ht="15.75" customHeight="1" s="2">
      <c r="A2228" s="462" t="inlineStr">
        <is>
          <t>Nett Sales</t>
        </is>
      </c>
      <c r="B2228" s="1646" t="n">
        <v>68205.33</v>
      </c>
      <c r="C2228" s="1632" t="n">
        <v>106424.45</v>
      </c>
      <c r="D2228" s="1625" t="n">
        <v>98863.60000000001</v>
      </c>
      <c r="E2228" s="1646">
        <f>E2227/1.1</f>
        <v/>
      </c>
      <c r="F2228" s="1632">
        <f>F2227/1.1</f>
        <v/>
      </c>
      <c r="G2228" s="1637" t="n">
        <v>95550</v>
      </c>
      <c r="H2228" s="1646" t="n">
        <v>74703</v>
      </c>
      <c r="I2228" s="1632">
        <f>I2227/1.1</f>
        <v/>
      </c>
      <c r="J2228" s="1625" t="n">
        <v>93645.5</v>
      </c>
      <c r="K2228" s="1646" t="n">
        <v>77307</v>
      </c>
      <c r="L2228" s="1632">
        <f>L2227/1.1</f>
        <v/>
      </c>
      <c r="M2228" s="1625" t="n">
        <v>98518.2</v>
      </c>
      <c r="N2228" s="1646" t="n">
        <v>91897</v>
      </c>
      <c r="O2228" s="1632" t="n">
        <v>122489.36</v>
      </c>
      <c r="P2228" s="1625" t="n">
        <v>120165</v>
      </c>
    </row>
    <row r="2229" ht="15.75" customHeight="1" s="2">
      <c r="A2229" s="462" t="inlineStr">
        <is>
          <t>Customers</t>
        </is>
      </c>
      <c r="B2229" s="866" t="n">
        <v>3074</v>
      </c>
      <c r="C2229" s="565" t="n">
        <v>4632</v>
      </c>
      <c r="D2229" s="466" t="n">
        <v>4520</v>
      </c>
      <c r="E2229" s="866" t="n">
        <v>3511</v>
      </c>
      <c r="F2229" s="565" t="n">
        <v>4419</v>
      </c>
      <c r="G2229" s="466" t="n">
        <v>4455</v>
      </c>
      <c r="H2229" s="866" t="n">
        <v>3448</v>
      </c>
      <c r="I2229" s="565" t="n">
        <v>4859</v>
      </c>
      <c r="J2229" s="466" t="n">
        <v>4370</v>
      </c>
      <c r="K2229" s="866" t="n">
        <v>3647</v>
      </c>
      <c r="L2229" s="565" t="n">
        <v>5069</v>
      </c>
      <c r="M2229" s="466" t="n">
        <v>4600</v>
      </c>
      <c r="N2229" s="866" t="n">
        <v>4570</v>
      </c>
      <c r="O2229" s="565" t="n">
        <v>5487</v>
      </c>
      <c r="P2229" s="1655" t="n">
        <v>5275</v>
      </c>
    </row>
    <row r="2230" ht="15.75" customHeight="1" s="2">
      <c r="A2230" s="462" t="inlineStr">
        <is>
          <t>Average Customer Spend</t>
        </is>
      </c>
      <c r="B2230" s="1648" t="n">
        <v>24.41</v>
      </c>
      <c r="C2230" s="1647">
        <f>C2227/4632</f>
        <v/>
      </c>
      <c r="D2230" s="1628" t="n">
        <v>24.06</v>
      </c>
      <c r="E2230" s="1654">
        <f>E2227/3511</f>
        <v/>
      </c>
      <c r="F2230" s="1647">
        <f>F2227/4419</f>
        <v/>
      </c>
      <c r="G2230" s="1649" t="n">
        <v>23.59</v>
      </c>
      <c r="H2230" s="1654" t="n">
        <v>23.85</v>
      </c>
      <c r="I2230" s="1635">
        <f>I2227/I2229</f>
        <v/>
      </c>
      <c r="J2230" s="1649" t="n">
        <v>23.57</v>
      </c>
      <c r="K2230" s="1654" t="n">
        <v>23.7</v>
      </c>
      <c r="L2230" s="1647">
        <f>L2227/5069</f>
        <v/>
      </c>
      <c r="M2230" s="1649" t="n">
        <v>23.56</v>
      </c>
      <c r="N2230" s="1648" t="n">
        <v>21.88</v>
      </c>
      <c r="O2230" s="1635" t="n">
        <v>24.56</v>
      </c>
      <c r="P2230" s="1628" t="n">
        <v>25.06</v>
      </c>
    </row>
    <row r="2231" ht="15.75" customHeight="1" s="2">
      <c r="A2231" s="462" t="inlineStr">
        <is>
          <t>Wage % to Total Receipts</t>
        </is>
      </c>
      <c r="B2231" s="868" t="n">
        <v>0.4007</v>
      </c>
      <c r="C2231" s="860" t="n">
        <v>0.3077</v>
      </c>
      <c r="D2231" s="470" t="n">
        <v>0.3355</v>
      </c>
      <c r="E2231" s="890" t="n">
        <v>0.4009</v>
      </c>
      <c r="F2231" s="860" t="n">
        <v>0.3174</v>
      </c>
      <c r="G2231" s="863" t="n">
        <v>0.3696</v>
      </c>
      <c r="H2231" s="890" t="n">
        <v>0.4026</v>
      </c>
      <c r="I2231" s="567" t="n">
        <v>0.2822</v>
      </c>
      <c r="J2231" s="863" t="n">
        <v>0.3595</v>
      </c>
      <c r="K2231" s="890" t="n">
        <v>0.3561</v>
      </c>
      <c r="L2231" s="860" t="n">
        <v>0.3021</v>
      </c>
      <c r="M2231" s="863" t="n">
        <v>0.3725</v>
      </c>
      <c r="N2231" s="868" t="n">
        <v>0.3155</v>
      </c>
      <c r="O2231" s="567" t="n">
        <v>0.3073</v>
      </c>
      <c r="P2231" s="470" t="n">
        <v>0.3176</v>
      </c>
    </row>
    <row r="2232" ht="15.75" customHeight="1" s="2">
      <c r="A2232" s="462" t="inlineStr">
        <is>
          <t>Wage % to Nett Sales</t>
        </is>
      </c>
      <c r="B2232" s="868" t="n">
        <v>0.4408</v>
      </c>
      <c r="C2232" s="860" t="n">
        <v>0.3377</v>
      </c>
      <c r="D2232" s="470" t="n">
        <v>0.369</v>
      </c>
      <c r="E2232" s="890" t="n">
        <v>0.441</v>
      </c>
      <c r="F2232" s="860" t="n">
        <v>0.3492</v>
      </c>
      <c r="G2232" s="863" t="n">
        <v>0.4066</v>
      </c>
      <c r="H2232" s="890" t="n">
        <v>0.4428</v>
      </c>
      <c r="I2232" s="567" t="n">
        <v>0.3104</v>
      </c>
      <c r="J2232" s="863" t="n">
        <v>0.3955</v>
      </c>
      <c r="K2232" s="890" t="n">
        <v>0.3918</v>
      </c>
      <c r="L2232" s="860" t="n">
        <v>0.3323</v>
      </c>
      <c r="M2232" s="863" t="n">
        <v>0.4097</v>
      </c>
      <c r="N2232" s="868" t="n">
        <v>0.3471</v>
      </c>
      <c r="O2232" s="567" t="n">
        <v>0.338</v>
      </c>
      <c r="P2232" s="470" t="n">
        <v>0.3494</v>
      </c>
    </row>
    <row r="2233" ht="15.75" customHeight="1" s="2">
      <c r="A2233" s="462" t="inlineStr">
        <is>
          <t>Productivity</t>
        </is>
      </c>
      <c r="B2233" s="869" t="n">
        <v>3.75</v>
      </c>
      <c r="C2233" s="568" t="n">
        <v>4.97</v>
      </c>
      <c r="D2233" s="472" t="n">
        <v>4.6</v>
      </c>
      <c r="E2233" s="869" t="n">
        <v>4.02</v>
      </c>
      <c r="F2233" s="568" t="n">
        <v>4.78</v>
      </c>
      <c r="G2233" s="472" t="n">
        <v>4.4</v>
      </c>
      <c r="H2233" s="869" t="n">
        <v>4.12</v>
      </c>
      <c r="I2233" s="568" t="n">
        <v>5.41</v>
      </c>
      <c r="J2233" s="472" t="n">
        <v>4.5</v>
      </c>
      <c r="K2233" s="869" t="n">
        <v>4.55</v>
      </c>
      <c r="L2233" s="568" t="n">
        <v>5.31</v>
      </c>
      <c r="M2233" s="472" t="n">
        <v>4.4</v>
      </c>
      <c r="N2233" s="869" t="n">
        <v>5.18</v>
      </c>
      <c r="O2233" s="568" t="n">
        <v>4.96</v>
      </c>
      <c r="P2233" s="472" t="n">
        <v>4.8</v>
      </c>
    </row>
    <row r="2234" ht="15.75" customHeight="1" s="2">
      <c r="A2234" s="462" t="inlineStr">
        <is>
          <t>Average Hourly Rate</t>
        </is>
      </c>
      <c r="B2234" s="869" t="n">
        <v>36.63</v>
      </c>
      <c r="C2234" s="568" t="n">
        <v>38.56</v>
      </c>
      <c r="D2234" s="1628" t="n">
        <v>37</v>
      </c>
      <c r="E2234" s="869" t="n">
        <v>36.96</v>
      </c>
      <c r="F2234" s="568" t="n">
        <v>38.15</v>
      </c>
      <c r="G2234" s="1628" t="n">
        <v>38.5</v>
      </c>
      <c r="H2234" s="869" t="n">
        <v>39.57</v>
      </c>
      <c r="I2234" s="568" t="n">
        <v>38.38</v>
      </c>
      <c r="J2234" s="1649" t="n">
        <v>38.5</v>
      </c>
      <c r="K2234" s="869" t="n">
        <v>37.81</v>
      </c>
      <c r="L2234" s="568" t="n">
        <v>38.24</v>
      </c>
      <c r="M2234" s="1649" t="n">
        <v>38.5</v>
      </c>
      <c r="N2234" s="869" t="n">
        <v>36.12</v>
      </c>
      <c r="O2234" s="568" t="n">
        <v>37.45</v>
      </c>
      <c r="P2234" s="1628" t="n">
        <v>38.5</v>
      </c>
    </row>
    <row r="2235" ht="15.75" customHeight="1" s="2">
      <c r="A2235" s="462" t="inlineStr">
        <is>
          <t>Total hours for productivity</t>
        </is>
      </c>
      <c r="B2235" s="869" t="n">
        <v>820.75</v>
      </c>
      <c r="C2235" s="568" t="n">
        <v>932</v>
      </c>
      <c r="D2235" s="466" t="n">
        <v>986</v>
      </c>
      <c r="E2235" s="869" t="n">
        <v>872.75</v>
      </c>
      <c r="F2235" s="568" t="n">
        <v>1022.25</v>
      </c>
      <c r="G2235" s="466" t="n">
        <v>1009</v>
      </c>
      <c r="H2235" s="869" t="n">
        <v>836</v>
      </c>
      <c r="I2235" s="568" t="n">
        <v>897.75</v>
      </c>
      <c r="J2235" s="472" t="n">
        <v>962</v>
      </c>
      <c r="K2235" s="869" t="n">
        <v>801</v>
      </c>
      <c r="L2235" s="568" t="n">
        <v>954.25</v>
      </c>
      <c r="M2235" s="466" t="n">
        <v>1048.5</v>
      </c>
      <c r="N2235" s="869" t="n">
        <v>883</v>
      </c>
      <c r="O2235" s="568" t="n">
        <v>1105.5</v>
      </c>
      <c r="P2235" s="466" t="n">
        <v>1139.5</v>
      </c>
    </row>
    <row r="2236" ht="15.75" customHeight="1" s="2">
      <c r="A2236" s="462" t="inlineStr">
        <is>
          <t>Training Hours used</t>
        </is>
      </c>
      <c r="B2236" s="870" t="n">
        <v>42.5</v>
      </c>
      <c r="C2236" s="569" t="n">
        <v>8</v>
      </c>
      <c r="D2236" s="466" t="n"/>
      <c r="E2236" s="1653" t="n"/>
      <c r="F2236" s="569" t="n">
        <v>3</v>
      </c>
      <c r="G2236" s="466" t="n"/>
      <c r="H2236" s="870" t="n">
        <v>80.25</v>
      </c>
      <c r="I2236" s="569" t="n">
        <v>0</v>
      </c>
      <c r="J2236" s="466" t="n"/>
      <c r="K2236" s="870" t="n">
        <v>29.25</v>
      </c>
      <c r="L2236" s="569" t="n">
        <v>0</v>
      </c>
      <c r="M2236" s="466" t="n"/>
      <c r="N2236" s="870" t="n">
        <v>45</v>
      </c>
      <c r="O2236" s="569" t="n"/>
      <c r="P2236" s="466" t="n"/>
    </row>
    <row r="2237" ht="15.75" customHeight="1" s="2" thickBot="1">
      <c r="A2237" s="474" t="inlineStr">
        <is>
          <t>Number of hours used to cover sick leave</t>
        </is>
      </c>
      <c r="B2237" s="813" t="n">
        <v>4.5</v>
      </c>
      <c r="C2237" s="570" t="n">
        <v>19.5</v>
      </c>
      <c r="D2237" s="476" t="n"/>
      <c r="E2237" s="1653" t="n"/>
      <c r="F2237" s="570" t="n">
        <v>8</v>
      </c>
      <c r="G2237" s="476" t="n"/>
      <c r="H2237" s="813" t="n">
        <v>31.5</v>
      </c>
      <c r="I2237" s="570" t="n">
        <v>20.75</v>
      </c>
      <c r="J2237" s="476" t="n"/>
      <c r="K2237" s="813" t="n">
        <v>20.5</v>
      </c>
      <c r="L2237" s="570" t="n">
        <v>10</v>
      </c>
      <c r="M2237" s="476" t="n"/>
      <c r="N2237" s="813" t="n"/>
      <c r="O2237" s="570" t="n"/>
      <c r="P2237" s="476" t="n"/>
    </row>
    <row r="2238" ht="15.75" customHeight="1" s="2" thickBot="1">
      <c r="A2238" s="477" t="inlineStr">
        <is>
          <t xml:space="preserve">Minimum Hours </t>
        </is>
      </c>
      <c r="B2238" s="816" t="inlineStr">
        <is>
          <t>Projected</t>
        </is>
      </c>
      <c r="C2238" s="816" t="inlineStr">
        <is>
          <t>Projected</t>
        </is>
      </c>
      <c r="D2238" s="817" t="inlineStr">
        <is>
          <t>Rostered</t>
        </is>
      </c>
      <c r="E2238" s="836" t="inlineStr">
        <is>
          <t>60% Hours</t>
        </is>
      </c>
      <c r="F2238" s="816" t="inlineStr">
        <is>
          <t>Projected</t>
        </is>
      </c>
      <c r="G2238" s="817" t="inlineStr">
        <is>
          <t>Rostered</t>
        </is>
      </c>
      <c r="H2238" s="836" t="inlineStr">
        <is>
          <t>60% Hours</t>
        </is>
      </c>
      <c r="I2238" s="816" t="inlineStr">
        <is>
          <t>Projected</t>
        </is>
      </c>
      <c r="J2238" s="817" t="inlineStr">
        <is>
          <t>Rostered</t>
        </is>
      </c>
      <c r="K2238" s="836" t="inlineStr">
        <is>
          <t>60% Hours</t>
        </is>
      </c>
      <c r="L2238" s="816" t="inlineStr">
        <is>
          <t>Projected</t>
        </is>
      </c>
      <c r="M2238" s="817" t="inlineStr">
        <is>
          <t>Rostered</t>
        </is>
      </c>
      <c r="N2238" s="934" t="inlineStr">
        <is>
          <t>60% Hours</t>
        </is>
      </c>
      <c r="O2238" s="935" t="inlineStr">
        <is>
          <t>Projected</t>
        </is>
      </c>
      <c r="P2238" s="936" t="inlineStr">
        <is>
          <t>Rostered</t>
        </is>
      </c>
    </row>
    <row r="2239" ht="15.75" customHeight="1" s="2">
      <c r="A2239" s="479" t="inlineStr">
        <is>
          <t>Floor</t>
        </is>
      </c>
      <c r="B2239" s="810" t="n"/>
      <c r="C2239" s="810" t="n">
        <v>523</v>
      </c>
      <c r="D2239" s="811" t="n">
        <v>557</v>
      </c>
      <c r="E2239" s="855" t="n"/>
      <c r="F2239" s="810" t="n">
        <v>516</v>
      </c>
      <c r="G2239" s="811" t="n">
        <v>577</v>
      </c>
      <c r="H2239" s="855" t="n"/>
      <c r="I2239" s="810" t="n">
        <v>506</v>
      </c>
      <c r="J2239" s="811" t="n">
        <v>546</v>
      </c>
      <c r="K2239" s="855" t="n"/>
      <c r="L2239" s="810" t="n">
        <v>533</v>
      </c>
      <c r="M2239" s="811" t="n">
        <v>599</v>
      </c>
      <c r="N2239" s="837" t="n"/>
      <c r="O2239" s="810" t="n">
        <v>639</v>
      </c>
      <c r="P2239" s="811" t="n">
        <v>645</v>
      </c>
    </row>
    <row r="2240" ht="15.75" customHeight="1" s="2" thickBot="1">
      <c r="A2240" s="481" t="inlineStr">
        <is>
          <t>Kitchen</t>
        </is>
      </c>
      <c r="B2240" s="813" t="n"/>
      <c r="C2240" s="813" t="n">
        <v>428</v>
      </c>
      <c r="D2240" s="814" t="n">
        <v>430</v>
      </c>
      <c r="E2240" s="856" t="n"/>
      <c r="F2240" s="840" t="n">
        <v>422</v>
      </c>
      <c r="G2240" s="814" t="n">
        <v>432</v>
      </c>
      <c r="H2240" s="856" t="n"/>
      <c r="I2240" s="813" t="n">
        <v>414</v>
      </c>
      <c r="J2240" s="814" t="n">
        <v>416</v>
      </c>
      <c r="K2240" s="856" t="n"/>
      <c r="L2240" s="813" t="n">
        <v>436</v>
      </c>
      <c r="M2240" s="814" t="n">
        <v>450</v>
      </c>
      <c r="N2240" s="838" t="n"/>
      <c r="O2240" s="813" t="n">
        <v>523</v>
      </c>
      <c r="P2240" s="814" t="n">
        <v>495</v>
      </c>
    </row>
    <row r="2241" ht="15.75" customHeight="1" s="2" thickBot="1">
      <c r="A2241" s="834" t="n"/>
      <c r="B2241" s="836" t="n"/>
      <c r="C2241" s="926" t="n"/>
      <c r="D2241" s="926" t="n"/>
      <c r="E2241" s="839" t="n"/>
      <c r="F2241" s="926" t="n"/>
      <c r="G2241" s="926" t="n"/>
      <c r="H2241" s="839" t="n"/>
      <c r="I2241" s="926" t="n"/>
      <c r="J2241" s="926" t="n"/>
      <c r="K2241" s="839" t="n"/>
      <c r="L2241" s="926" t="n"/>
      <c r="M2241" s="926" t="n"/>
      <c r="N2241" s="839" t="n"/>
      <c r="O2241" s="835" t="n"/>
      <c r="P2241" s="835" t="n"/>
    </row>
    <row r="2242" ht="15.75" customHeight="1" s="2">
      <c r="A2242" s="506" t="inlineStr">
        <is>
          <t>Training explanation</t>
        </is>
      </c>
      <c r="B2242" s="837" t="n"/>
      <c r="C2242" s="926" t="n"/>
      <c r="D2242" s="926" t="n"/>
      <c r="E2242" s="837" t="n"/>
      <c r="F2242" s="926" t="n"/>
      <c r="G2242" s="926" t="n"/>
      <c r="H2242" s="837" t="n"/>
      <c r="I2242" s="926" t="n"/>
      <c r="J2242" s="926" t="n"/>
      <c r="K2242" s="837" t="n"/>
      <c r="L2242" s="926" t="n"/>
      <c r="M2242" s="926" t="n"/>
      <c r="N2242" s="837" t="n"/>
      <c r="O2242" s="835" t="n"/>
      <c r="P2242" s="835" t="n"/>
    </row>
    <row r="2243" ht="15.75" customHeight="1" s="2" thickBot="1">
      <c r="A2243" s="506" t="inlineStr">
        <is>
          <t>Who is being Trained</t>
        </is>
      </c>
      <c r="B2243" s="838" t="n"/>
      <c r="C2243" s="927" t="n"/>
      <c r="D2243" s="927" t="n"/>
      <c r="E2243" s="838" t="n"/>
      <c r="F2243" s="927" t="n"/>
      <c r="G2243" s="927" t="n"/>
      <c r="H2243" s="838" t="n"/>
      <c r="I2243" s="927" t="n"/>
      <c r="J2243" s="927" t="n"/>
      <c r="K2243" s="838" t="n"/>
      <c r="L2243" s="927" t="n"/>
      <c r="M2243" s="927" t="n"/>
      <c r="N2243" s="838" t="n"/>
    </row>
    <row r="2244" ht="15.75" customHeight="1" s="2" thickBot="1">
      <c r="A2244" s="506" t="n"/>
      <c r="C2244" s="523" t="inlineStr">
        <is>
          <t>floor</t>
        </is>
      </c>
      <c r="D2244" s="524" t="inlineStr">
        <is>
          <t>kitchen</t>
        </is>
      </c>
      <c r="E2244" s="509" t="n"/>
      <c r="F2244" s="507" t="inlineStr">
        <is>
          <t>floor</t>
        </is>
      </c>
      <c r="G2244" s="508" t="inlineStr">
        <is>
          <t>kitchen</t>
        </is>
      </c>
      <c r="H2244" s="510" t="n"/>
      <c r="I2244" s="535" t="inlineStr">
        <is>
          <t>floor</t>
        </is>
      </c>
      <c r="J2244" s="511" t="inlineStr">
        <is>
          <t>kitchen</t>
        </is>
      </c>
      <c r="K2244" s="512" t="n"/>
      <c r="L2244" s="535" t="inlineStr">
        <is>
          <t>floor</t>
        </is>
      </c>
      <c r="M2244" s="513" t="inlineStr">
        <is>
          <t>kitchen</t>
        </is>
      </c>
      <c r="N2244" s="512" t="n"/>
      <c r="O2244" s="535" t="inlineStr">
        <is>
          <t>floor</t>
        </is>
      </c>
      <c r="P2244" s="513" t="inlineStr">
        <is>
          <t>kitchen</t>
        </is>
      </c>
    </row>
    <row r="2245" ht="15.75" customHeight="1" s="2">
      <c r="A2245" s="506" t="n"/>
      <c r="C2245" s="525" t="n"/>
      <c r="D2245" s="527" t="n"/>
      <c r="E2245" s="514" t="n"/>
      <c r="F2245" s="525" t="n"/>
      <c r="G2245" s="527" t="n"/>
      <c r="H2245" s="515" t="n"/>
      <c r="I2245" s="531" t="n"/>
      <c r="J2245" s="824" t="n"/>
      <c r="K2245" s="515" t="n"/>
      <c r="L2245" s="536" t="n"/>
      <c r="M2245" s="532" t="n"/>
      <c r="N2245" s="515" t="n"/>
      <c r="O2245" s="536" t="n"/>
      <c r="P2245" s="532" t="n"/>
    </row>
    <row r="2246" ht="15.75" customHeight="1" s="2">
      <c r="C2246" s="891" t="n"/>
      <c r="D2246" s="526" t="n"/>
      <c r="E2246" s="514" t="n"/>
      <c r="F2246" s="891" t="n"/>
      <c r="G2246" s="526" t="n"/>
      <c r="H2246" s="516" t="n"/>
      <c r="I2246" s="1656" t="n"/>
      <c r="J2246" s="530" t="n"/>
      <c r="K2246" s="516" t="n"/>
      <c r="L2246" s="542" t="n"/>
      <c r="M2246" s="530" t="n"/>
      <c r="N2246" s="516" t="n"/>
      <c r="O2246" s="542" t="n"/>
      <c r="P2246" s="530" t="n"/>
    </row>
    <row r="2247" ht="15.75" customHeight="1" s="2">
      <c r="C2247" s="550" t="n"/>
      <c r="D2247" s="527" t="n"/>
      <c r="E2247" s="514" t="n"/>
      <c r="F2247" s="531" t="n"/>
      <c r="G2247" s="530" t="n"/>
      <c r="H2247" s="516" t="n"/>
      <c r="I2247" s="537" t="n"/>
      <c r="J2247" s="530" t="n"/>
      <c r="K2247" s="516" t="n"/>
      <c r="L2247" s="1657" t="n"/>
      <c r="M2247" s="539" t="n"/>
      <c r="N2247" s="516" t="n"/>
      <c r="O2247" s="542" t="n"/>
      <c r="P2247" s="539" t="n"/>
    </row>
    <row r="2248" ht="15.75" customHeight="1" s="2">
      <c r="C2248" s="561" t="n"/>
      <c r="D2248" s="561" t="n"/>
      <c r="E2248" s="519" t="n"/>
      <c r="F2248" s="517" t="n"/>
      <c r="G2248" s="1659" t="n"/>
      <c r="H2248" s="516" t="n"/>
      <c r="I2248" s="537" t="n"/>
      <c r="J2248" s="530" t="n"/>
      <c r="K2248" s="516" t="n"/>
      <c r="L2248" s="537" t="n"/>
      <c r="M2248" s="539" t="n"/>
      <c r="N2248" s="516" t="n"/>
      <c r="O2248" s="537" t="n"/>
      <c r="P2248" s="539" t="n"/>
    </row>
    <row r="2249" ht="15.75" customHeight="1" s="2">
      <c r="C2249" s="551" t="n"/>
      <c r="D2249" s="528" t="n"/>
      <c r="E2249" s="519" t="n"/>
      <c r="F2249" s="517" t="n"/>
      <c r="G2249" s="518" t="n"/>
      <c r="H2249" s="516" t="n"/>
      <c r="I2249" s="537" t="n"/>
      <c r="J2249" s="533" t="n"/>
      <c r="K2249" s="516" t="n"/>
      <c r="L2249" s="537" t="n"/>
      <c r="M2249" s="540" t="n"/>
      <c r="N2249" s="516" t="n"/>
      <c r="O2249" s="537" t="n"/>
      <c r="P2249" s="540" t="n"/>
    </row>
    <row r="2250" ht="15.75" customHeight="1" s="2" thickBot="1"/>
    <row r="2251" ht="15.75" customHeight="1" s="2" thickBot="1">
      <c r="B2251" s="1652" t="inlineStr">
        <is>
          <t>12.12.22</t>
        </is>
      </c>
      <c r="C2251" s="1641" t="n"/>
      <c r="D2251" s="1502" t="n"/>
      <c r="E2251" s="1640" t="inlineStr">
        <is>
          <t>19.12.22</t>
        </is>
      </c>
      <c r="F2251" s="1641" t="n"/>
      <c r="G2251" s="1502" t="n"/>
      <c r="H2251" s="1640" t="inlineStr">
        <is>
          <t>26.12.22</t>
        </is>
      </c>
      <c r="I2251" s="1641" t="n"/>
      <c r="J2251" s="1502" t="n"/>
    </row>
    <row r="2252" ht="15.75" customHeight="1" s="2" thickBot="1">
      <c r="A2252" s="455" t="n"/>
      <c r="B2252" s="923" t="inlineStr">
        <is>
          <t>LAST YEAR</t>
        </is>
      </c>
      <c r="C2252" s="924" t="inlineStr">
        <is>
          <t>Actual</t>
        </is>
      </c>
      <c r="D2252" s="925" t="inlineStr">
        <is>
          <t>Projected</t>
        </is>
      </c>
      <c r="E2252" s="923" t="inlineStr">
        <is>
          <t>LAST YEAR</t>
        </is>
      </c>
      <c r="F2252" s="924" t="inlineStr">
        <is>
          <t>Actual</t>
        </is>
      </c>
      <c r="G2252" s="925" t="inlineStr">
        <is>
          <t>Projected</t>
        </is>
      </c>
      <c r="H2252" s="923" t="inlineStr">
        <is>
          <t>LAST YEAR</t>
        </is>
      </c>
      <c r="I2252" s="924" t="inlineStr">
        <is>
          <t>Actual</t>
        </is>
      </c>
      <c r="J2252" s="925" t="inlineStr">
        <is>
          <t>Projected</t>
        </is>
      </c>
    </row>
    <row r="2253" ht="15.75" customHeight="1" s="2">
      <c r="A2253" s="459" t="inlineStr">
        <is>
          <t>Total Receipts</t>
        </is>
      </c>
      <c r="B2253" s="1644" t="n">
        <v>119029</v>
      </c>
      <c r="C2253" s="1643" t="n">
        <v>147012.05</v>
      </c>
      <c r="D2253" s="1622" t="n">
        <v>146155</v>
      </c>
      <c r="E2253" s="1653" t="n">
        <v>108191</v>
      </c>
      <c r="F2253" s="1643" t="n">
        <v>161970</v>
      </c>
      <c r="G2253" s="1645" t="n">
        <v>149049</v>
      </c>
      <c r="H2253" s="1643" t="n">
        <v>115480</v>
      </c>
      <c r="I2253" s="1643" t="n">
        <v>209627.19</v>
      </c>
      <c r="J2253" s="1645" t="n">
        <v>199280</v>
      </c>
    </row>
    <row r="2254" ht="15.75" customHeight="1" s="2">
      <c r="A2254" s="462" t="inlineStr">
        <is>
          <t>Nett Sales</t>
        </is>
      </c>
      <c r="B2254" s="1646" t="n">
        <v>108208</v>
      </c>
      <c r="C2254" s="1632" t="n">
        <v>133647.32</v>
      </c>
      <c r="D2254" s="1625">
        <f>D2253/1.1</f>
        <v/>
      </c>
      <c r="E2254" s="1646" t="n">
        <v>98355</v>
      </c>
      <c r="F2254" s="1632" t="n">
        <v>147246</v>
      </c>
      <c r="G2254" s="1637">
        <f>G2253/1.1</f>
        <v/>
      </c>
      <c r="H2254" s="1632" t="n">
        <v>104982.6</v>
      </c>
      <c r="I2254" s="1632" t="n">
        <v>190570.17</v>
      </c>
      <c r="J2254" s="1625" t="n">
        <v>181163.4</v>
      </c>
    </row>
    <row r="2255" ht="15.75" customHeight="1" s="2">
      <c r="A2255" s="462" t="inlineStr">
        <is>
          <t>Customers</t>
        </is>
      </c>
      <c r="B2255" s="866" t="n">
        <v>4976</v>
      </c>
      <c r="C2255" s="565" t="n">
        <v>5954</v>
      </c>
      <c r="D2255" s="466" t="n">
        <v>5830</v>
      </c>
      <c r="E2255" s="866" t="n">
        <v>4805</v>
      </c>
      <c r="F2255" s="565" t="n">
        <v>6635</v>
      </c>
      <c r="G2255" s="466" t="n">
        <v>6085</v>
      </c>
      <c r="H2255" s="565" t="n">
        <v>4685</v>
      </c>
      <c r="I2255" s="565" t="n">
        <v>8201</v>
      </c>
      <c r="J2255" s="466" t="n">
        <v>7665</v>
      </c>
    </row>
    <row r="2256" ht="15.75" customHeight="1" s="2">
      <c r="A2256" s="462" t="inlineStr">
        <is>
          <t>Average Customer Spend</t>
        </is>
      </c>
      <c r="B2256" s="1648" t="n">
        <v>23.93</v>
      </c>
      <c r="C2256" s="1647" t="n">
        <v>24.69</v>
      </c>
      <c r="D2256" s="1628" t="n">
        <v>25.07</v>
      </c>
      <c r="E2256" s="1654" t="n">
        <v>22.52</v>
      </c>
      <c r="F2256" s="1647" t="n">
        <v>24.41</v>
      </c>
      <c r="G2256" s="1649" t="n">
        <v>24.5</v>
      </c>
      <c r="H2256" s="1647" t="n">
        <v>24.65</v>
      </c>
      <c r="I2256" s="1647" t="n">
        <v>25.56</v>
      </c>
      <c r="J2256" s="1649" t="n">
        <v>26</v>
      </c>
    </row>
    <row r="2257" ht="15.75" customHeight="1" s="2">
      <c r="A2257" s="462" t="inlineStr">
        <is>
          <t>Wage % to Total Receipts</t>
        </is>
      </c>
      <c r="B2257" s="868" t="n">
        <v>0.2882</v>
      </c>
      <c r="C2257" s="860" t="n">
        <v>0.2793</v>
      </c>
      <c r="D2257" s="470" t="n">
        <v>0.2899</v>
      </c>
      <c r="E2257" s="890" t="n">
        <v>0.3425</v>
      </c>
      <c r="F2257" s="860" t="n">
        <v>0.2979</v>
      </c>
      <c r="G2257" s="863" t="n">
        <v>0.2842</v>
      </c>
      <c r="H2257" s="860" t="n">
        <v>0.4445</v>
      </c>
      <c r="I2257" s="860" t="n">
        <v>0.3423</v>
      </c>
      <c r="J2257" s="863" t="n">
        <v>0.3723</v>
      </c>
    </row>
    <row r="2258" ht="15.75" customHeight="1" s="2">
      <c r="A2258" s="462" t="inlineStr">
        <is>
          <t>Wage % to Nett Sales</t>
        </is>
      </c>
      <c r="B2258" s="868" t="n">
        <v>0.3171</v>
      </c>
      <c r="C2258" s="860" t="n">
        <v>0.3072</v>
      </c>
      <c r="D2258" s="470" t="n">
        <v>0.3189</v>
      </c>
      <c r="E2258" s="890" t="n">
        <v>0.3766</v>
      </c>
      <c r="F2258" s="860" t="n">
        <v>0.3277</v>
      </c>
      <c r="G2258" s="863" t="n">
        <v>0.3126</v>
      </c>
      <c r="H2258" s="860" t="n">
        <v>0.4889</v>
      </c>
      <c r="I2258" s="860" t="n">
        <v>0.3765</v>
      </c>
      <c r="J2258" s="863" t="n">
        <v>0.3385</v>
      </c>
    </row>
    <row r="2259" ht="15.75" customHeight="1" s="2">
      <c r="A2259" s="462" t="inlineStr">
        <is>
          <t>Productivity</t>
        </is>
      </c>
      <c r="B2259" s="869" t="n">
        <v>5.32</v>
      </c>
      <c r="C2259" s="568" t="n">
        <v>5.2</v>
      </c>
      <c r="D2259" s="472" t="n">
        <v>5.3</v>
      </c>
      <c r="E2259" s="869" t="n">
        <v>4.7</v>
      </c>
      <c r="F2259" s="568" t="n">
        <v>4.87</v>
      </c>
      <c r="G2259" s="472" t="n">
        <v>4.75</v>
      </c>
      <c r="H2259" s="568" t="n">
        <v>4.2</v>
      </c>
      <c r="I2259" s="568" t="n">
        <v>5.23</v>
      </c>
      <c r="J2259" s="472" t="n">
        <v>5</v>
      </c>
    </row>
    <row r="2260" ht="15.75" customHeight="1" s="2">
      <c r="A2260" s="462" t="inlineStr">
        <is>
          <t>Average Hourly Rate</t>
        </is>
      </c>
      <c r="B2260" s="869" t="n">
        <v>36.66</v>
      </c>
      <c r="C2260" s="568" t="n">
        <v>35.85</v>
      </c>
      <c r="D2260" s="1628" t="n">
        <v>38.5</v>
      </c>
      <c r="E2260" s="869" t="n">
        <v>36.28</v>
      </c>
      <c r="F2260" s="568" t="n">
        <v>35.42</v>
      </c>
      <c r="G2260" s="1649" t="n">
        <v>38.5</v>
      </c>
      <c r="H2260" s="568" t="n">
        <v>45.99</v>
      </c>
      <c r="I2260" s="568" t="n">
        <v>45.74</v>
      </c>
      <c r="J2260" s="1649" t="n">
        <v>44</v>
      </c>
    </row>
    <row r="2261" ht="15.75" customHeight="1" s="2">
      <c r="A2261" s="462" t="inlineStr">
        <is>
          <t>Total hours for productivity</t>
        </is>
      </c>
      <c r="B2261" s="869" t="n">
        <v>935.75</v>
      </c>
      <c r="C2261" s="568" t="n">
        <v>1145.25</v>
      </c>
      <c r="D2261" s="466" t="n">
        <v>1110.5</v>
      </c>
      <c r="E2261" s="869" t="n">
        <v>1021</v>
      </c>
      <c r="F2261" s="568" t="n">
        <v>1362</v>
      </c>
      <c r="G2261" s="466" t="n"/>
      <c r="H2261" s="568" t="n">
        <v>1116.5</v>
      </c>
      <c r="I2261" s="568" t="n">
        <v>1568.75</v>
      </c>
      <c r="J2261" s="472" t="n">
        <v>1533</v>
      </c>
    </row>
    <row r="2262" ht="15.75" customHeight="1" s="2">
      <c r="A2262" s="462" t="inlineStr">
        <is>
          <t>Training Hours used</t>
        </is>
      </c>
      <c r="B2262" s="870" t="n">
        <v>34.75</v>
      </c>
      <c r="C2262" s="569" t="n"/>
      <c r="D2262" s="466" t="n"/>
      <c r="E2262" s="1653" t="n"/>
      <c r="F2262" s="569" t="n"/>
      <c r="G2262" s="466" t="n"/>
      <c r="H2262" s="870" t="n"/>
      <c r="I2262" s="569" t="n"/>
      <c r="J2262" s="466" t="n"/>
    </row>
    <row r="2263" ht="15.75" customHeight="1" s="2" thickBot="1">
      <c r="A2263" s="474" t="inlineStr">
        <is>
          <t>Number of hours used to cover sick leave</t>
        </is>
      </c>
      <c r="B2263" s="813" t="n"/>
      <c r="C2263" s="570" t="n"/>
      <c r="D2263" s="476" t="n"/>
      <c r="E2263" s="1653" t="n"/>
      <c r="F2263" s="570" t="n"/>
      <c r="G2263" s="476" t="n"/>
      <c r="H2263" s="813" t="n"/>
      <c r="I2263" s="570" t="n"/>
      <c r="J2263" s="476" t="n"/>
    </row>
    <row r="2264" ht="15.75" customHeight="1" s="2" thickBot="1">
      <c r="A2264" s="477" t="inlineStr">
        <is>
          <t xml:space="preserve">Minimum Hours </t>
        </is>
      </c>
      <c r="B2264" s="816" t="inlineStr">
        <is>
          <t>Projected</t>
        </is>
      </c>
      <c r="C2264" s="816" t="inlineStr">
        <is>
          <t>Projected</t>
        </is>
      </c>
      <c r="D2264" s="817" t="inlineStr">
        <is>
          <t>Rostered</t>
        </is>
      </c>
      <c r="E2264" s="836" t="inlineStr">
        <is>
          <t>60% Hours</t>
        </is>
      </c>
      <c r="F2264" s="816" t="inlineStr">
        <is>
          <t>Projected</t>
        </is>
      </c>
      <c r="G2264" s="817" t="inlineStr">
        <is>
          <t>Rostered</t>
        </is>
      </c>
      <c r="H2264" s="836" t="inlineStr">
        <is>
          <t>60% Hours</t>
        </is>
      </c>
      <c r="I2264" s="816" t="inlineStr">
        <is>
          <t>Projected</t>
        </is>
      </c>
      <c r="J2264" s="817" t="inlineStr">
        <is>
          <t>Rostered</t>
        </is>
      </c>
      <c r="L2264" s="454">
        <f>25.13-23.83</f>
        <v/>
      </c>
    </row>
    <row r="2265" ht="15.75" customHeight="1" s="2">
      <c r="A2265" s="479" t="inlineStr">
        <is>
          <t>Floor</t>
        </is>
      </c>
      <c r="B2265" s="810" t="n"/>
      <c r="C2265" s="810" t="n">
        <v>675</v>
      </c>
      <c r="D2265" s="811" t="n">
        <v>600</v>
      </c>
      <c r="E2265" s="855" t="n"/>
      <c r="F2265" s="810" t="n">
        <v>705</v>
      </c>
      <c r="G2265" s="811" t="n"/>
      <c r="H2265" s="855" t="n"/>
      <c r="I2265" s="810" t="n"/>
      <c r="J2265" s="811" t="n"/>
    </row>
    <row r="2266" ht="15.75" customHeight="1" s="2" thickBot="1">
      <c r="A2266" s="481" t="inlineStr">
        <is>
          <t>Kitchen</t>
        </is>
      </c>
      <c r="B2266" s="813" t="n"/>
      <c r="C2266" s="813" t="n">
        <v>552</v>
      </c>
      <c r="D2266" s="814" t="n">
        <v>500</v>
      </c>
      <c r="E2266" s="856" t="n"/>
      <c r="F2266" s="840" t="n">
        <v>576</v>
      </c>
      <c r="G2266" s="814" t="n"/>
      <c r="H2266" s="856" t="n"/>
      <c r="I2266" s="813" t="n"/>
      <c r="J2266" s="814" t="n"/>
    </row>
    <row r="2267" ht="15.75" customHeight="1" s="2" thickBot="1">
      <c r="A2267" s="834" t="n"/>
      <c r="B2267" s="836" t="n"/>
      <c r="C2267" s="926" t="n"/>
      <c r="D2267" s="926" t="n"/>
      <c r="E2267" s="839" t="n"/>
      <c r="F2267" s="926" t="n"/>
      <c r="G2267" s="926" t="n"/>
      <c r="H2267" s="839" t="n"/>
      <c r="I2267" s="926" t="n"/>
      <c r="J2267" s="926" t="n"/>
    </row>
    <row r="2268" ht="15.75" customHeight="1" s="2">
      <c r="A2268" s="506" t="inlineStr">
        <is>
          <t>Training explanation</t>
        </is>
      </c>
      <c r="B2268" s="837" t="n"/>
      <c r="C2268" s="926" t="n"/>
      <c r="D2268" s="926" t="n"/>
      <c r="E2268" s="837" t="n"/>
      <c r="F2268" s="926" t="n"/>
      <c r="G2268" s="926" t="n"/>
      <c r="H2268" s="837" t="n"/>
      <c r="I2268" s="926" t="n"/>
      <c r="J2268" s="926" t="n"/>
    </row>
    <row r="2269" ht="15.75" customHeight="1" s="2" thickBot="1">
      <c r="A2269" s="506" t="inlineStr">
        <is>
          <t>Who is being Trained</t>
        </is>
      </c>
      <c r="B2269" s="838" t="n"/>
      <c r="C2269" s="927" t="n"/>
      <c r="D2269" s="927" t="n"/>
      <c r="E2269" s="838" t="n"/>
      <c r="F2269" s="927" t="n"/>
      <c r="G2269" s="927" t="n"/>
      <c r="H2269" s="838" t="n"/>
      <c r="I2269" s="927" t="n"/>
      <c r="J2269" s="927" t="n"/>
    </row>
    <row r="2270" ht="15.75" customHeight="1" s="2" thickBot="1">
      <c r="A2270" s="506" t="n"/>
      <c r="C2270" s="523" t="inlineStr">
        <is>
          <t>floor</t>
        </is>
      </c>
      <c r="D2270" s="524" t="inlineStr">
        <is>
          <t>kitchen</t>
        </is>
      </c>
      <c r="E2270" s="509" t="n"/>
      <c r="F2270" s="507" t="inlineStr">
        <is>
          <t>floor</t>
        </is>
      </c>
      <c r="G2270" s="508" t="inlineStr">
        <is>
          <t>kitchen</t>
        </is>
      </c>
      <c r="H2270" s="510" t="n"/>
      <c r="I2270" s="535" t="inlineStr">
        <is>
          <t>floor</t>
        </is>
      </c>
      <c r="J2270" s="511" t="inlineStr">
        <is>
          <t>kitchen</t>
        </is>
      </c>
    </row>
    <row r="2271" ht="15.75" customHeight="1" s="2">
      <c r="A2271" s="506" t="n"/>
      <c r="C2271" s="525" t="n"/>
      <c r="D2271" s="527" t="n"/>
      <c r="E2271" s="514" t="n"/>
      <c r="F2271" s="525" t="n"/>
      <c r="G2271" s="527" t="n"/>
      <c r="H2271" s="515" t="n"/>
      <c r="I2271" s="531" t="n"/>
      <c r="J2271" s="824" t="n"/>
    </row>
    <row r="2272" ht="15.75" customHeight="1" s="2">
      <c r="C2272" s="891" t="n"/>
      <c r="D2272" s="526" t="n"/>
      <c r="E2272" s="514" t="n"/>
      <c r="F2272" s="891" t="n"/>
      <c r="G2272" s="526" t="n"/>
      <c r="H2272" s="516" t="n"/>
      <c r="I2272" s="1656" t="n"/>
      <c r="J2272" s="530" t="n"/>
    </row>
    <row r="2273" ht="15.75" customHeight="1" s="2">
      <c r="C2273" s="550" t="n"/>
      <c r="D2273" s="527" t="n"/>
      <c r="E2273" s="514" t="n"/>
      <c r="F2273" s="531" t="n"/>
      <c r="G2273" s="530" t="n"/>
      <c r="H2273" s="516" t="n"/>
      <c r="I2273" s="537" t="n"/>
      <c r="J2273" s="530" t="n"/>
    </row>
    <row r="2274" ht="15.75" customHeight="1" s="2">
      <c r="C2274" s="561" t="n"/>
      <c r="D2274" s="561" t="n"/>
      <c r="E2274" s="519" t="n"/>
      <c r="F2274" s="517" t="n"/>
      <c r="G2274" s="1659" t="n"/>
      <c r="H2274" s="516" t="n"/>
      <c r="I2274" s="537" t="n"/>
      <c r="J2274" s="530" t="n"/>
    </row>
    <row r="2275" ht="15.75" customHeight="1" s="2">
      <c r="C2275" s="551" t="n"/>
      <c r="D2275" s="528" t="n"/>
      <c r="E2275" s="519" t="n"/>
      <c r="F2275" s="517" t="n"/>
      <c r="G2275" s="518" t="n"/>
      <c r="H2275" s="516" t="n"/>
      <c r="I2275" s="537" t="n"/>
      <c r="J2275" s="533" t="n"/>
    </row>
    <row r="2276" ht="15.75" customHeight="1" s="2" thickBot="1"/>
    <row r="2277" ht="15.75" customHeight="1" s="2" thickBot="1">
      <c r="B2277" s="1652" t="inlineStr">
        <is>
          <t>2.1.23</t>
        </is>
      </c>
      <c r="C2277" s="1641" t="n"/>
      <c r="D2277" s="1502" t="n"/>
      <c r="E2277" s="1640" t="inlineStr">
        <is>
          <t>9.1.23</t>
        </is>
      </c>
      <c r="F2277" s="1641" t="n"/>
      <c r="G2277" s="1502" t="n"/>
      <c r="H2277" s="1640" t="inlineStr">
        <is>
          <t>16.01.23</t>
        </is>
      </c>
      <c r="I2277" s="1641" t="n"/>
      <c r="J2277" s="1502" t="n"/>
      <c r="K2277" s="1640" t="inlineStr">
        <is>
          <t>23.01.23</t>
        </is>
      </c>
      <c r="L2277" s="1641" t="n"/>
      <c r="M2277" s="1502" t="n"/>
      <c r="N2277" s="1660" t="inlineStr">
        <is>
          <t>30.01.23</t>
        </is>
      </c>
      <c r="O2277" s="1641" t="n"/>
      <c r="P2277" s="1502" t="n"/>
    </row>
    <row r="2278" ht="15.75" customHeight="1" s="2" thickBot="1">
      <c r="A2278" s="455" t="n"/>
      <c r="B2278" s="1048" t="inlineStr">
        <is>
          <t>LAST YEAR</t>
        </is>
      </c>
      <c r="C2278" s="1049" t="inlineStr">
        <is>
          <t>Actual</t>
        </is>
      </c>
      <c r="D2278" s="1050" t="inlineStr">
        <is>
          <t>Projected</t>
        </is>
      </c>
      <c r="E2278" s="1048" t="inlineStr">
        <is>
          <t>LAST YEAR</t>
        </is>
      </c>
      <c r="F2278" s="1049" t="inlineStr">
        <is>
          <t>Actual</t>
        </is>
      </c>
      <c r="G2278" s="1050" t="inlineStr">
        <is>
          <t>Projected</t>
        </is>
      </c>
      <c r="H2278" s="1048" t="inlineStr">
        <is>
          <t>LAST YEAR</t>
        </is>
      </c>
      <c r="I2278" s="1049" t="inlineStr">
        <is>
          <t>Actual</t>
        </is>
      </c>
      <c r="J2278" s="1050" t="inlineStr">
        <is>
          <t>Projected</t>
        </is>
      </c>
      <c r="K2278" s="1048" t="inlineStr">
        <is>
          <t>LAST YEAR</t>
        </is>
      </c>
      <c r="L2278" s="1049" t="inlineStr">
        <is>
          <t>Actual</t>
        </is>
      </c>
      <c r="M2278" s="1050" t="inlineStr">
        <is>
          <t>Projected</t>
        </is>
      </c>
      <c r="N2278" s="1048" t="inlineStr">
        <is>
          <t>LAST YEAR</t>
        </is>
      </c>
      <c r="O2278" s="1049" t="inlineStr">
        <is>
          <t>Actual</t>
        </is>
      </c>
      <c r="P2278" s="1050" t="inlineStr">
        <is>
          <t>Projected</t>
        </is>
      </c>
    </row>
    <row r="2279" ht="15.75" customHeight="1" s="2">
      <c r="A2279" s="459" t="inlineStr">
        <is>
          <t>Total Receipts</t>
        </is>
      </c>
      <c r="B2279" s="1631" t="n">
        <v>132169.9</v>
      </c>
      <c r="C2279" s="1643" t="n">
        <v>248324.46</v>
      </c>
      <c r="D2279" s="1622" t="n">
        <v>217609</v>
      </c>
      <c r="E2279" s="1643" t="n">
        <v>89762.07000000001</v>
      </c>
      <c r="F2279" s="1643" t="n">
        <v>194028.42</v>
      </c>
      <c r="G2279" s="1645" t="n">
        <v>186143</v>
      </c>
      <c r="H2279" s="1631" t="n">
        <v>76327.5</v>
      </c>
      <c r="I2279" s="1631" t="n">
        <v>157515.12</v>
      </c>
      <c r="J2279" s="1645" t="n">
        <v>186145</v>
      </c>
      <c r="K2279" s="1631" t="n">
        <v>83359.75</v>
      </c>
      <c r="L2279" s="1643" t="n">
        <v>143075.63</v>
      </c>
      <c r="M2279" s="1645" t="n">
        <v>181823</v>
      </c>
      <c r="N2279" s="1631" t="n">
        <v>117062.22</v>
      </c>
      <c r="O2279" s="1631" t="n">
        <v>156742</v>
      </c>
      <c r="P2279" s="1622" t="n">
        <v>187703</v>
      </c>
    </row>
    <row r="2280" ht="15.75" customHeight="1" s="2">
      <c r="A2280" s="462" t="inlineStr">
        <is>
          <t>Nett Sales</t>
        </is>
      </c>
      <c r="B2280" s="1632">
        <f>B2279/1.1</f>
        <v/>
      </c>
      <c r="C2280" s="1632" t="n">
        <v>225749.51</v>
      </c>
      <c r="D2280" s="1625" t="n">
        <v>197826.1</v>
      </c>
      <c r="E2280" s="1632">
        <f>E2279/1.1</f>
        <v/>
      </c>
      <c r="F2280" s="1632" t="n">
        <v>176389.47</v>
      </c>
      <c r="G2280" s="1637" t="n">
        <v>169220.5</v>
      </c>
      <c r="H2280" s="1632" t="n">
        <v>69388.64</v>
      </c>
      <c r="I2280" s="1632" t="n">
        <v>14315.56</v>
      </c>
      <c r="J2280" s="1625" t="n">
        <v>169240.9</v>
      </c>
      <c r="K2280" s="1632" t="n">
        <v>75781.59</v>
      </c>
      <c r="L2280" s="1632" t="n">
        <v>130068.75</v>
      </c>
      <c r="M2280" s="1625" t="n">
        <v>165293</v>
      </c>
      <c r="N2280" s="1632">
        <f>N2279/1.1</f>
        <v/>
      </c>
      <c r="O2280" s="1632" t="n">
        <v>142493.47</v>
      </c>
      <c r="P2280" s="1625" t="n">
        <v>170639.5</v>
      </c>
    </row>
    <row r="2281" ht="15.75" customHeight="1" s="2">
      <c r="A2281" s="462" t="inlineStr">
        <is>
          <t>Customers</t>
        </is>
      </c>
      <c r="B2281" s="565" t="n">
        <v>5490</v>
      </c>
      <c r="C2281" s="565" t="n">
        <v>9642</v>
      </c>
      <c r="D2281" s="466" t="n">
        <v>8300</v>
      </c>
      <c r="E2281" s="565" t="n">
        <v>3915</v>
      </c>
      <c r="F2281" s="565" t="n">
        <v>7686</v>
      </c>
      <c r="G2281" s="466" t="n">
        <v>7520</v>
      </c>
      <c r="H2281" s="565" t="n">
        <v>3459</v>
      </c>
      <c r="I2281" s="565" t="n">
        <v>6316</v>
      </c>
      <c r="J2281" s="466" t="n">
        <v>7535</v>
      </c>
      <c r="K2281" s="565" t="n">
        <v>3730</v>
      </c>
      <c r="L2281" s="565" t="n">
        <v>5937</v>
      </c>
      <c r="M2281" s="466" t="n">
        <v>7345</v>
      </c>
      <c r="N2281" s="565" t="n">
        <v>5066</v>
      </c>
      <c r="O2281" s="565" t="n">
        <v>6074</v>
      </c>
      <c r="P2281" s="1655" t="n">
        <v>7440</v>
      </c>
      <c r="Q2281" s="454">
        <f>P2281-O2281</f>
        <v/>
      </c>
    </row>
    <row r="2282" ht="15.75" customHeight="1" s="2">
      <c r="A2282" s="462" t="inlineStr">
        <is>
          <t>Average Customer Spend</t>
        </is>
      </c>
      <c r="B2282" s="1635">
        <f>B2279/B2281</f>
        <v/>
      </c>
      <c r="C2282" s="1647" t="n">
        <v>25.75</v>
      </c>
      <c r="D2282" s="1628" t="n">
        <v>26.22</v>
      </c>
      <c r="E2282" s="1647">
        <f>E2279/3915</f>
        <v/>
      </c>
      <c r="F2282" s="1647" t="n">
        <v>25.24</v>
      </c>
      <c r="G2282" s="1649" t="n">
        <v>24.75</v>
      </c>
      <c r="H2282" s="1635" t="n">
        <v>22.07</v>
      </c>
      <c r="I2282" s="1635">
        <f>I2279/I2281</f>
        <v/>
      </c>
      <c r="J2282" s="1649" t="n">
        <v>24.71</v>
      </c>
      <c r="K2282" s="1635" t="n">
        <v>22.35</v>
      </c>
      <c r="L2282" s="1647">
        <f>L2279/5937</f>
        <v/>
      </c>
      <c r="M2282" s="1649" t="n">
        <v>24.75</v>
      </c>
      <c r="N2282" s="1635">
        <f>N2279/5066</f>
        <v/>
      </c>
      <c r="O2282" s="1635">
        <f>O2279/6074</f>
        <v/>
      </c>
      <c r="P2282" s="1628" t="n">
        <v>25.23</v>
      </c>
    </row>
    <row r="2283" ht="15.75" customHeight="1" s="2">
      <c r="A2283" s="462" t="inlineStr">
        <is>
          <t>Wage % to Total Receipts</t>
        </is>
      </c>
      <c r="B2283" s="567" t="n">
        <v>0.3846</v>
      </c>
      <c r="C2283" s="860" t="n">
        <v>0.3811</v>
      </c>
      <c r="D2283" s="470" t="n">
        <v>0.3662</v>
      </c>
      <c r="E2283" s="860" t="n">
        <v>0.3523</v>
      </c>
      <c r="F2283" s="860" t="n">
        <v>0.3081</v>
      </c>
      <c r="G2283" s="863" t="n">
        <v>0.3876</v>
      </c>
      <c r="H2283" s="567" t="n">
        <v>0.3782</v>
      </c>
      <c r="I2283" s="567" t="n">
        <v>0.3408</v>
      </c>
      <c r="J2283" s="863" t="n">
        <v>0.3</v>
      </c>
      <c r="K2283" s="567" t="n">
        <v>0.3618</v>
      </c>
      <c r="L2283" s="860" t="n">
        <v>0.3285</v>
      </c>
      <c r="M2283" s="863" t="n">
        <v>0.3084</v>
      </c>
      <c r="N2283" s="567" t="n">
        <v>0.3399</v>
      </c>
      <c r="O2283" s="567" t="n">
        <v>0.3613</v>
      </c>
      <c r="P2283" s="470" t="n">
        <v>0.3287</v>
      </c>
    </row>
    <row r="2284" ht="15.75" customHeight="1" s="2">
      <c r="A2284" s="462" t="inlineStr">
        <is>
          <t>Wage % to Nett Sales</t>
        </is>
      </c>
      <c r="B2284" s="567" t="n">
        <v>0.4231</v>
      </c>
      <c r="C2284" s="860" t="n">
        <v>0.4192</v>
      </c>
      <c r="D2284" s="470" t="n">
        <v>0.4028</v>
      </c>
      <c r="E2284" s="860" t="n">
        <v>0.3875</v>
      </c>
      <c r="F2284" s="860" t="n">
        <v>0.339</v>
      </c>
      <c r="G2284" s="863" t="n">
        <v>0.4206</v>
      </c>
      <c r="H2284" s="567" t="n">
        <v>0.416</v>
      </c>
      <c r="I2284" s="567" t="n">
        <v>0.3749</v>
      </c>
      <c r="J2284" s="863" t="n">
        <v>0.3299</v>
      </c>
      <c r="K2284" s="567" t="n">
        <v>0.398</v>
      </c>
      <c r="L2284" s="860" t="n">
        <v>0.3613</v>
      </c>
      <c r="M2284" s="863" t="n">
        <v>0.3393</v>
      </c>
      <c r="N2284" s="567" t="n">
        <v>0.3737</v>
      </c>
      <c r="O2284" s="567" t="n">
        <v>0.3974</v>
      </c>
      <c r="P2284" s="470" t="n">
        <v>0.3615</v>
      </c>
    </row>
    <row r="2285" ht="15.75" customHeight="1" s="2">
      <c r="A2285" s="462" t="inlineStr">
        <is>
          <t>Productivity</t>
        </is>
      </c>
      <c r="B2285" s="568" t="n">
        <v>4.73</v>
      </c>
      <c r="C2285" s="568" t="n">
        <v>5.5</v>
      </c>
      <c r="D2285" s="472" t="n">
        <v>5</v>
      </c>
      <c r="E2285" s="568" t="n">
        <v>4.29</v>
      </c>
      <c r="F2285" s="568" t="n">
        <v>5.17</v>
      </c>
      <c r="G2285" s="472" t="n">
        <v>5</v>
      </c>
      <c r="H2285" s="568" t="n">
        <v>4.58</v>
      </c>
      <c r="I2285" s="568" t="n">
        <v>4.51</v>
      </c>
      <c r="J2285" s="472" t="n">
        <v>5.1</v>
      </c>
      <c r="K2285" s="568" t="n">
        <v>4.72</v>
      </c>
      <c r="L2285" s="568" t="n">
        <v>4.74</v>
      </c>
      <c r="M2285" s="472" t="n">
        <v>5.1</v>
      </c>
      <c r="N2285" s="568" t="n">
        <v>4.98</v>
      </c>
      <c r="O2285" s="568" t="n">
        <v>4.7</v>
      </c>
      <c r="P2285" s="472" t="n">
        <v>5.2</v>
      </c>
    </row>
    <row r="2286" ht="15.75" customHeight="1" s="2">
      <c r="A2286" s="462" t="inlineStr">
        <is>
          <t>Average Hourly Rate</t>
        </is>
      </c>
      <c r="B2286" s="568" t="n">
        <v>43.77</v>
      </c>
      <c r="C2286" s="568" t="n">
        <v>54.03</v>
      </c>
      <c r="D2286" s="1628" t="n">
        <v>48</v>
      </c>
      <c r="E2286" s="568" t="n">
        <v>34.65</v>
      </c>
      <c r="F2286" s="568" t="n">
        <v>40.23</v>
      </c>
      <c r="G2286" s="1628" t="n">
        <v>48</v>
      </c>
      <c r="H2286" s="568" t="n">
        <v>38.23</v>
      </c>
      <c r="I2286" s="568" t="n">
        <v>38.32</v>
      </c>
      <c r="J2286" s="1649" t="n">
        <v>38</v>
      </c>
      <c r="K2286" s="568" t="n">
        <v>38.16</v>
      </c>
      <c r="L2286" s="568" t="n">
        <v>37.51</v>
      </c>
      <c r="M2286" s="1649" t="n">
        <v>39</v>
      </c>
      <c r="N2286" s="568" t="n">
        <v>39.14</v>
      </c>
      <c r="O2286" s="568" t="n">
        <v>43.82</v>
      </c>
      <c r="P2286" s="1628" t="n">
        <v>43</v>
      </c>
    </row>
    <row r="2287" ht="15.75" customHeight="1" s="2">
      <c r="A2287" s="462" t="inlineStr">
        <is>
          <t>Total hours for productivity</t>
        </is>
      </c>
      <c r="B2287" s="568" t="n">
        <v>1161.5</v>
      </c>
      <c r="C2287" s="568" t="n">
        <v>1745.5</v>
      </c>
      <c r="D2287" s="466" t="n">
        <v>1660</v>
      </c>
      <c r="E2287" s="568" t="n">
        <v>912.5</v>
      </c>
      <c r="F2287" s="568" t="n">
        <v>1486.25</v>
      </c>
      <c r="G2287" s="466" t="n">
        <v>849</v>
      </c>
      <c r="H2287" s="568" t="n">
        <v>755</v>
      </c>
      <c r="I2287" s="568" t="n">
        <v>1401</v>
      </c>
      <c r="J2287" s="472" t="n">
        <v>1469.5</v>
      </c>
      <c r="K2287" s="568" t="n">
        <v>790.25</v>
      </c>
      <c r="L2287" s="568" t="n">
        <v>1253</v>
      </c>
      <c r="M2287" s="466" t="n">
        <v>1438</v>
      </c>
      <c r="N2287" s="568" t="n">
        <v>1016</v>
      </c>
      <c r="O2287" s="568" t="n">
        <v>1292.25</v>
      </c>
      <c r="P2287" s="466" t="n">
        <v>1435</v>
      </c>
    </row>
    <row r="2288" ht="15.75" customHeight="1" s="2">
      <c r="A2288" s="462" t="inlineStr">
        <is>
          <t>Training Hours used</t>
        </is>
      </c>
      <c r="B2288" s="870" t="n"/>
      <c r="C2288" s="569" t="n"/>
      <c r="D2288" s="466" t="n"/>
      <c r="E2288" s="1653" t="n"/>
      <c r="F2288" s="569" t="n"/>
      <c r="G2288" s="466" t="n"/>
      <c r="H2288" s="870" t="n"/>
      <c r="I2288" s="569" t="n"/>
      <c r="J2288" s="466" t="n"/>
      <c r="K2288" s="870" t="n"/>
      <c r="L2288" s="569" t="n">
        <v>5</v>
      </c>
      <c r="M2288" s="466" t="n"/>
      <c r="N2288" s="569">
        <f>26+16.75</f>
        <v/>
      </c>
      <c r="O2288" s="569" t="n">
        <v>25</v>
      </c>
      <c r="P2288" s="466" t="n"/>
    </row>
    <row r="2289" ht="15.75" customHeight="1" s="2" thickBot="1">
      <c r="A2289" s="474" t="inlineStr">
        <is>
          <t>Number of hours used to cover sick leave</t>
        </is>
      </c>
      <c r="B2289" s="813" t="n"/>
      <c r="C2289" s="570" t="n"/>
      <c r="D2289" s="476" t="n"/>
      <c r="E2289" s="1653" t="n"/>
      <c r="F2289" s="570" t="n"/>
      <c r="G2289" s="476" t="n"/>
      <c r="H2289" s="813" t="n"/>
      <c r="I2289" s="570" t="n"/>
      <c r="J2289" s="476" t="n"/>
      <c r="K2289" s="813" t="n"/>
      <c r="L2289" s="570" t="n">
        <v>0</v>
      </c>
      <c r="M2289" s="476" t="n"/>
      <c r="N2289" s="813" t="n"/>
      <c r="O2289" s="570" t="n">
        <v>0</v>
      </c>
      <c r="P2289" s="476" t="n"/>
    </row>
    <row r="2290" ht="15.75" customHeight="1" s="2" thickBot="1">
      <c r="A2290" s="477" t="inlineStr">
        <is>
          <t xml:space="preserve">Minimum Hours </t>
        </is>
      </c>
      <c r="B2290" s="816" t="inlineStr">
        <is>
          <t>Projected</t>
        </is>
      </c>
      <c r="C2290" s="816" t="inlineStr">
        <is>
          <t>Projected</t>
        </is>
      </c>
      <c r="D2290" s="817" t="inlineStr">
        <is>
          <t>Rostered</t>
        </is>
      </c>
      <c r="E2290" s="836" t="inlineStr">
        <is>
          <t>60% Hours</t>
        </is>
      </c>
      <c r="F2290" s="816" t="inlineStr">
        <is>
          <t>Projected</t>
        </is>
      </c>
      <c r="G2290" s="817" t="inlineStr">
        <is>
          <t>Rostered</t>
        </is>
      </c>
      <c r="H2290" s="836" t="inlineStr">
        <is>
          <t>60% Hours</t>
        </is>
      </c>
      <c r="I2290" s="816" t="inlineStr">
        <is>
          <t>Projected</t>
        </is>
      </c>
      <c r="J2290" s="817" t="inlineStr">
        <is>
          <t>Rostered</t>
        </is>
      </c>
      <c r="K2290" s="836" t="inlineStr">
        <is>
          <t>60% Hours</t>
        </is>
      </c>
      <c r="L2290" s="816" t="inlineStr">
        <is>
          <t>Projected</t>
        </is>
      </c>
      <c r="M2290" s="817" t="inlineStr">
        <is>
          <t>Rostered</t>
        </is>
      </c>
      <c r="N2290" s="934" t="n"/>
      <c r="O2290" s="935" t="inlineStr">
        <is>
          <t>Projected</t>
        </is>
      </c>
      <c r="P2290" s="936" t="inlineStr">
        <is>
          <t>Rostered</t>
        </is>
      </c>
    </row>
    <row r="2291" ht="15.75" customHeight="1" s="2">
      <c r="A2291" s="479" t="inlineStr">
        <is>
          <t>Floor</t>
        </is>
      </c>
      <c r="B2291" s="810" t="n"/>
      <c r="C2291" s="810" t="n"/>
      <c r="D2291" s="811" t="n"/>
      <c r="E2291" s="855" t="n"/>
      <c r="F2291" s="810" t="n"/>
      <c r="G2291" s="811" t="n"/>
      <c r="H2291" s="855" t="n"/>
      <c r="I2291" s="810" t="n">
        <v>829</v>
      </c>
      <c r="J2291" s="811" t="n">
        <v>868</v>
      </c>
      <c r="K2291" s="855" t="n"/>
      <c r="L2291" s="810" t="n">
        <v>808</v>
      </c>
      <c r="M2291" s="811" t="n">
        <v>851.5</v>
      </c>
      <c r="N2291" s="837" t="n"/>
      <c r="O2291" s="810" t="n">
        <v>816</v>
      </c>
      <c r="P2291" s="811" t="n">
        <v>824</v>
      </c>
    </row>
    <row r="2292" ht="15.75" customHeight="1" s="2" thickBot="1">
      <c r="A2292" s="481" t="inlineStr">
        <is>
          <t>Kitchen</t>
        </is>
      </c>
      <c r="B2292" s="813" t="n"/>
      <c r="C2292" s="813" t="n"/>
      <c r="D2292" s="814" t="n"/>
      <c r="E2292" s="856" t="n"/>
      <c r="F2292" s="840" t="n"/>
      <c r="G2292" s="814" t="n"/>
      <c r="H2292" s="856" t="n"/>
      <c r="I2292" s="813" t="n">
        <v>678</v>
      </c>
      <c r="J2292" s="814" t="n">
        <v>602</v>
      </c>
      <c r="K2292" s="856" t="n"/>
      <c r="L2292" s="813" t="n">
        <v>661</v>
      </c>
      <c r="M2292" s="814" t="n">
        <v>586.5</v>
      </c>
      <c r="N2292" s="838" t="n"/>
      <c r="O2292" s="813" t="n">
        <v>670</v>
      </c>
      <c r="P2292" s="814" t="n">
        <v>611</v>
      </c>
    </row>
    <row r="2293" ht="15.75" customHeight="1" s="2" thickBot="1">
      <c r="A2293" s="834" t="n"/>
      <c r="B2293" s="836" t="n"/>
      <c r="C2293" s="1051" t="n"/>
      <c r="D2293" s="1051" t="n"/>
      <c r="E2293" s="839" t="n"/>
      <c r="F2293" s="1051" t="n"/>
      <c r="G2293" s="1051" t="n"/>
      <c r="H2293" s="839" t="n"/>
      <c r="I2293" s="1051" t="n"/>
      <c r="J2293" s="1051" t="n"/>
      <c r="K2293" s="839" t="n"/>
      <c r="L2293" s="1051" t="n"/>
      <c r="M2293" s="1051" t="n"/>
      <c r="N2293" s="839" t="n"/>
      <c r="O2293" s="835" t="n"/>
      <c r="P2293" s="835" t="n"/>
    </row>
    <row r="2294" ht="15.75" customHeight="1" s="2">
      <c r="A2294" s="506" t="inlineStr">
        <is>
          <t>Training explanation</t>
        </is>
      </c>
      <c r="B2294" s="837" t="n"/>
      <c r="C2294" s="1051" t="n"/>
      <c r="D2294" s="1051" t="n"/>
      <c r="E2294" s="837" t="n"/>
      <c r="F2294" s="1051" t="n"/>
      <c r="G2294" s="1051" t="n"/>
      <c r="H2294" s="837" t="n"/>
      <c r="I2294" s="1051" t="n"/>
      <c r="J2294" s="1051" t="n"/>
      <c r="K2294" s="837" t="n"/>
      <c r="L2294" s="1051" t="n"/>
      <c r="M2294" s="1051" t="n"/>
      <c r="N2294" s="837" t="n"/>
      <c r="O2294" s="835" t="n"/>
      <c r="P2294" s="835" t="n"/>
    </row>
    <row r="2295" ht="15.75" customHeight="1" s="2" thickBot="1">
      <c r="A2295" s="506" t="inlineStr">
        <is>
          <t>Who is being Trained</t>
        </is>
      </c>
      <c r="B2295" s="838" t="n"/>
      <c r="C2295" s="1052" t="n"/>
      <c r="D2295" s="1052" t="n"/>
      <c r="E2295" s="838" t="n"/>
      <c r="F2295" s="1052" t="n"/>
      <c r="G2295" s="1052" t="n"/>
      <c r="H2295" s="838" t="n"/>
      <c r="I2295" s="1052" t="n"/>
      <c r="J2295" s="1052" t="n"/>
      <c r="K2295" s="838" t="n"/>
      <c r="L2295" s="1052" t="n"/>
      <c r="M2295" s="1052" t="n"/>
      <c r="N2295" s="838" t="n"/>
    </row>
    <row r="2296" ht="15.75" customHeight="1" s="2" thickBot="1">
      <c r="A2296" s="506" t="n"/>
      <c r="C2296" s="523" t="inlineStr">
        <is>
          <t>floor</t>
        </is>
      </c>
      <c r="D2296" s="524" t="inlineStr">
        <is>
          <t>kitchen</t>
        </is>
      </c>
      <c r="E2296" s="509" t="n"/>
      <c r="F2296" s="507" t="inlineStr">
        <is>
          <t>floor</t>
        </is>
      </c>
      <c r="G2296" s="508" t="inlineStr">
        <is>
          <t>kitchen</t>
        </is>
      </c>
      <c r="H2296" s="510" t="n"/>
      <c r="I2296" s="535" t="inlineStr">
        <is>
          <t>floor</t>
        </is>
      </c>
      <c r="J2296" s="511" t="inlineStr">
        <is>
          <t>kitchen</t>
        </is>
      </c>
      <c r="K2296" s="512" t="n"/>
      <c r="L2296" s="535" t="inlineStr">
        <is>
          <t>floor</t>
        </is>
      </c>
      <c r="M2296" s="513" t="inlineStr">
        <is>
          <t>kitchen</t>
        </is>
      </c>
      <c r="N2296" s="512" t="n"/>
      <c r="O2296" s="535" t="inlineStr">
        <is>
          <t>floor</t>
        </is>
      </c>
      <c r="P2296" s="513" t="inlineStr">
        <is>
          <t>kitchen</t>
        </is>
      </c>
    </row>
    <row r="2297" ht="15.75" customHeight="1" s="2">
      <c r="A2297" s="506" t="n"/>
      <c r="C2297" s="525" t="n"/>
      <c r="D2297" s="527" t="n"/>
      <c r="E2297" s="514" t="n"/>
      <c r="F2297" s="525" t="n"/>
      <c r="G2297" s="527" t="n"/>
      <c r="H2297" s="515" t="n"/>
      <c r="I2297" s="531" t="n"/>
      <c r="J2297" s="824" t="n"/>
      <c r="K2297" s="515" t="n"/>
      <c r="L2297" s="536" t="n"/>
      <c r="M2297" s="532" t="n"/>
      <c r="N2297" s="515" t="n"/>
      <c r="O2297" s="536" t="n"/>
      <c r="P2297" s="532" t="n"/>
    </row>
    <row r="2298" ht="15.75" customHeight="1" s="2">
      <c r="C2298" s="891" t="n"/>
      <c r="D2298" s="526" t="n"/>
      <c r="E2298" s="514" t="n"/>
      <c r="F2298" s="891" t="n"/>
      <c r="G2298" s="526" t="n"/>
      <c r="H2298" s="516" t="n"/>
      <c r="I2298" s="1656" t="n"/>
      <c r="J2298" s="530" t="n"/>
      <c r="K2298" s="516" t="n"/>
      <c r="L2298" s="542" t="n"/>
      <c r="M2298" s="530" t="n"/>
      <c r="N2298" s="516" t="n"/>
      <c r="O2298" s="542" t="n"/>
      <c r="P2298" s="530" t="n"/>
    </row>
    <row r="2299" ht="15.75" customHeight="1" s="2">
      <c r="C2299" s="550" t="n"/>
      <c r="D2299" s="527" t="n"/>
      <c r="E2299" s="514" t="n"/>
      <c r="F2299" s="531" t="n"/>
      <c r="G2299" s="530" t="n"/>
      <c r="H2299" s="516" t="n"/>
      <c r="I2299" s="537" t="n"/>
      <c r="J2299" s="530" t="n"/>
      <c r="K2299" s="516" t="n"/>
      <c r="L2299" s="1657" t="n"/>
      <c r="M2299" s="539" t="n"/>
      <c r="N2299" s="516" t="n"/>
      <c r="O2299" s="542" t="n"/>
      <c r="P2299" s="539" t="n"/>
    </row>
    <row r="2300" ht="15.75" customHeight="1" s="2">
      <c r="C2300" s="561" t="n"/>
      <c r="D2300" s="561" t="n"/>
      <c r="E2300" s="519" t="n"/>
      <c r="F2300" s="517" t="n"/>
      <c r="G2300" s="1659" t="n"/>
      <c r="H2300" s="516" t="n"/>
      <c r="I2300" s="537" t="n"/>
      <c r="J2300" s="530" t="n"/>
      <c r="K2300" s="516" t="n"/>
      <c r="L2300" s="537" t="n"/>
      <c r="M2300" s="539" t="n"/>
      <c r="N2300" s="516" t="n"/>
      <c r="O2300" s="537" t="n"/>
      <c r="P2300" s="539" t="n"/>
    </row>
    <row r="2301" ht="15.75" customHeight="1" s="2">
      <c r="C2301" s="551" t="n"/>
      <c r="D2301" s="528" t="n"/>
      <c r="E2301" s="519" t="n"/>
      <c r="F2301" s="517" t="n"/>
      <c r="G2301" s="518" t="n"/>
      <c r="H2301" s="516" t="n"/>
      <c r="I2301" s="537" t="n"/>
      <c r="J2301" s="533" t="n"/>
      <c r="K2301" s="516" t="n"/>
      <c r="L2301" s="537" t="n"/>
      <c r="M2301" s="540" t="n"/>
      <c r="N2301" s="516" t="n"/>
      <c r="O2301" s="537" t="n"/>
      <c r="P2301" s="540" t="n"/>
    </row>
    <row r="2302" ht="15.75" customHeight="1" s="2" thickBot="1"/>
    <row r="2303" ht="15.75" customHeight="1" s="2" thickBot="1">
      <c r="B2303" s="1652" t="inlineStr">
        <is>
          <t>6.2.23</t>
        </is>
      </c>
      <c r="C2303" s="1641" t="n"/>
      <c r="D2303" s="1502" t="n"/>
      <c r="E2303" s="1640" t="inlineStr">
        <is>
          <t>13.02.2023</t>
        </is>
      </c>
      <c r="F2303" s="1641" t="n"/>
      <c r="G2303" s="1502" t="n"/>
      <c r="H2303" s="1640" t="inlineStr">
        <is>
          <t>20.2.23</t>
        </is>
      </c>
      <c r="I2303" s="1641" t="n"/>
      <c r="J2303" s="1502" t="n"/>
      <c r="K2303" s="1640" t="inlineStr">
        <is>
          <t>27.02.2023</t>
        </is>
      </c>
      <c r="L2303" s="1641" t="n"/>
      <c r="M2303" s="1502" t="n"/>
      <c r="N2303" s="1660" t="inlineStr">
        <is>
          <t>06.03.2023</t>
        </is>
      </c>
      <c r="O2303" s="1641" t="n"/>
      <c r="P2303" s="1502" t="n"/>
    </row>
    <row r="2304" ht="15.75" customHeight="1" s="2" thickBot="1">
      <c r="A2304" s="455" t="n"/>
      <c r="B2304" s="1048" t="inlineStr">
        <is>
          <t>LAST YEAR</t>
        </is>
      </c>
      <c r="C2304" s="1049" t="inlineStr">
        <is>
          <t>Actual</t>
        </is>
      </c>
      <c r="D2304" s="1050" t="inlineStr">
        <is>
          <t>Projected</t>
        </is>
      </c>
      <c r="E2304" s="1048" t="inlineStr">
        <is>
          <t>LAST YEAR</t>
        </is>
      </c>
      <c r="F2304" s="1049" t="inlineStr">
        <is>
          <t>Actual</t>
        </is>
      </c>
      <c r="G2304" s="1050" t="inlineStr">
        <is>
          <t>Projected</t>
        </is>
      </c>
      <c r="H2304" s="1048" t="inlineStr">
        <is>
          <t>LAST YEAR</t>
        </is>
      </c>
      <c r="I2304" s="1049" t="inlineStr">
        <is>
          <t>Actual</t>
        </is>
      </c>
      <c r="J2304" s="1050" t="inlineStr">
        <is>
          <t>Projected</t>
        </is>
      </c>
      <c r="K2304" s="1048" t="inlineStr">
        <is>
          <t>LAST YEAR</t>
        </is>
      </c>
      <c r="L2304" s="1049" t="inlineStr">
        <is>
          <t>Actual</t>
        </is>
      </c>
      <c r="M2304" s="1050" t="inlineStr">
        <is>
          <t>Projected</t>
        </is>
      </c>
      <c r="N2304" s="1048" t="inlineStr">
        <is>
          <t>LAST YEAR</t>
        </is>
      </c>
      <c r="O2304" s="1049" t="inlineStr">
        <is>
          <t>Actual</t>
        </is>
      </c>
      <c r="P2304" s="1050" t="inlineStr">
        <is>
          <t>Projected</t>
        </is>
      </c>
    </row>
    <row r="2305" ht="15.75" customHeight="1" s="2">
      <c r="A2305" s="459" t="inlineStr">
        <is>
          <t>Total Receipts</t>
        </is>
      </c>
      <c r="B2305" s="1631" t="n">
        <v>87740</v>
      </c>
      <c r="C2305" s="1643" t="n">
        <v>110125.51</v>
      </c>
      <c r="D2305" s="1622" t="n">
        <v>113918</v>
      </c>
      <c r="E2305" s="1643" t="n">
        <v>103489.12</v>
      </c>
      <c r="F2305" s="1643" t="n">
        <v>112660.79</v>
      </c>
      <c r="G2305" s="1645" t="n">
        <v>113400</v>
      </c>
      <c r="H2305" s="1643" t="n">
        <v>102563.44</v>
      </c>
      <c r="I2305" s="1631" t="n">
        <v>131583.93</v>
      </c>
      <c r="J2305" s="1645" t="n">
        <v>119660</v>
      </c>
      <c r="K2305" s="1631" t="n">
        <v>87030.39999999999</v>
      </c>
      <c r="L2305" s="1643" t="n">
        <v>142297</v>
      </c>
      <c r="M2305" s="1645" t="n">
        <v>112775</v>
      </c>
      <c r="N2305" s="1631" t="n">
        <v>83973.28</v>
      </c>
      <c r="O2305" s="1631" t="n">
        <v>129014.39</v>
      </c>
      <c r="P2305" s="1622" t="n">
        <v>115353</v>
      </c>
    </row>
    <row r="2306" ht="15.75" customHeight="1" s="2">
      <c r="A2306" s="462" t="inlineStr">
        <is>
          <t>Nett Sales</t>
        </is>
      </c>
      <c r="B2306" s="1632" t="n">
        <v>79764</v>
      </c>
      <c r="C2306" s="1632" t="n">
        <v>100114.1</v>
      </c>
      <c r="D2306" s="1625" t="n">
        <v>103561</v>
      </c>
      <c r="E2306" s="1632" t="n">
        <v>94081</v>
      </c>
      <c r="F2306" s="1632" t="n">
        <v>102418.9</v>
      </c>
      <c r="G2306" s="1637" t="n">
        <v>103090.9</v>
      </c>
      <c r="H2306" s="1632" t="n">
        <v>93239.47</v>
      </c>
      <c r="I2306" s="1632" t="n">
        <v>119621.75</v>
      </c>
      <c r="J2306" s="1625" t="n">
        <v>108781</v>
      </c>
      <c r="K2306" s="1632" t="n">
        <v>79118.7</v>
      </c>
      <c r="L2306" s="1632" t="n">
        <v>129361</v>
      </c>
      <c r="M2306" s="1625" t="n">
        <v>99522</v>
      </c>
      <c r="N2306" s="1632" t="n">
        <v>76339.35000000001</v>
      </c>
      <c r="O2306" s="1632" t="n">
        <v>117285</v>
      </c>
      <c r="P2306" s="1625" t="n">
        <v>104865</v>
      </c>
    </row>
    <row r="2307" ht="15.75" customHeight="1" s="2">
      <c r="A2307" s="462" t="inlineStr">
        <is>
          <t>Customers</t>
        </is>
      </c>
      <c r="B2307" s="565" t="n">
        <v>3848</v>
      </c>
      <c r="C2307" s="565" t="n">
        <v>4350</v>
      </c>
      <c r="D2307" s="466" t="n">
        <v>4600</v>
      </c>
      <c r="E2307" s="565" t="n">
        <v>4356</v>
      </c>
      <c r="F2307" s="565" t="n">
        <v>4456</v>
      </c>
      <c r="G2307" s="466" t="n">
        <v>4720</v>
      </c>
      <c r="H2307" s="565" t="n">
        <v>4486</v>
      </c>
      <c r="I2307" s="565" t="n">
        <v>5257</v>
      </c>
      <c r="J2307" s="466" t="n">
        <v>4555</v>
      </c>
      <c r="K2307" s="565" t="n">
        <v>3907</v>
      </c>
      <c r="L2307" s="565" t="n">
        <v>5722</v>
      </c>
      <c r="M2307" s="466" t="n">
        <v>4570</v>
      </c>
      <c r="N2307" s="565" t="n">
        <v>3835</v>
      </c>
      <c r="O2307" s="565" t="n">
        <v>5199</v>
      </c>
      <c r="P2307" s="1655" t="n">
        <v>4700</v>
      </c>
    </row>
    <row r="2308" ht="15.75" customHeight="1" s="2">
      <c r="A2308" s="462" t="inlineStr">
        <is>
          <t>Average Customer Spend</t>
        </is>
      </c>
      <c r="B2308" s="1635" t="n">
        <v>22.8</v>
      </c>
      <c r="C2308" s="1647" t="n">
        <v>25.32</v>
      </c>
      <c r="D2308" s="1628" t="n">
        <v>24.76</v>
      </c>
      <c r="E2308" s="1647" t="n">
        <v>23.76</v>
      </c>
      <c r="F2308" s="1647" t="n">
        <v>25.28</v>
      </c>
      <c r="G2308" s="1649" t="n">
        <v>24.03</v>
      </c>
      <c r="H2308" s="1647" t="n">
        <v>22.86</v>
      </c>
      <c r="I2308" s="1635" t="n">
        <v>25.03</v>
      </c>
      <c r="J2308" s="1649" t="n">
        <v>24.55</v>
      </c>
      <c r="K2308" s="1635" t="n">
        <v>22.28</v>
      </c>
      <c r="L2308" s="1647" t="n">
        <v>22.6</v>
      </c>
      <c r="M2308" s="1649" t="n">
        <v>24.52</v>
      </c>
      <c r="N2308" s="1635" t="n">
        <v>21.9</v>
      </c>
      <c r="O2308" s="1635" t="n">
        <v>24.81</v>
      </c>
      <c r="P2308" s="1628" t="n">
        <v>25.16</v>
      </c>
    </row>
    <row r="2309" ht="15.75" customHeight="1" s="2">
      <c r="A2309" s="462" t="inlineStr">
        <is>
          <t>Wage % to Total Receipts</t>
        </is>
      </c>
      <c r="B2309" s="567" t="n">
        <v>0.3679</v>
      </c>
      <c r="C2309" s="860" t="n">
        <v>0.3597</v>
      </c>
      <c r="D2309" s="470" t="n">
        <v>0.3549</v>
      </c>
      <c r="E2309" s="860" t="n">
        <v>0.3202</v>
      </c>
      <c r="F2309" s="860" t="n">
        <v>0.3414</v>
      </c>
      <c r="G2309" s="863" t="n">
        <v>0.3163</v>
      </c>
      <c r="H2309" s="860" t="n">
        <v>0.2959</v>
      </c>
      <c r="I2309" s="567" t="n">
        <v>0.3183</v>
      </c>
      <c r="J2309" s="863" t="n">
        <v>0.3306</v>
      </c>
      <c r="K2309" s="567" t="n">
        <v>0.3508</v>
      </c>
      <c r="L2309" s="860" t="n">
        <v>0.3095</v>
      </c>
      <c r="M2309" s="863" t="n">
        <v>0.3399</v>
      </c>
      <c r="N2309" s="567" t="n">
        <v>0.3812</v>
      </c>
      <c r="O2309" s="567" t="n">
        <v>0.3238</v>
      </c>
      <c r="P2309" s="470" t="n">
        <v>0.3505</v>
      </c>
    </row>
    <row r="2310" ht="15.75" customHeight="1" s="2">
      <c r="A2310" s="462" t="inlineStr">
        <is>
          <t>Wage % to Nett Sales</t>
        </is>
      </c>
      <c r="B2310" s="567" t="n">
        <v>0.4047</v>
      </c>
      <c r="C2310" s="860" t="n">
        <v>0.3956</v>
      </c>
      <c r="D2310" s="470" t="n">
        <v>0.3904</v>
      </c>
      <c r="E2310" s="860" t="n">
        <v>0.3522</v>
      </c>
      <c r="F2310" s="860" t="n">
        <v>0.3756</v>
      </c>
      <c r="G2310" s="863" t="n">
        <v>0.348</v>
      </c>
      <c r="H2310" s="860" t="n">
        <v>0.3255</v>
      </c>
      <c r="I2310" s="567" t="n">
        <v>0.3501</v>
      </c>
      <c r="J2310" s="863" t="n">
        <v>0.3637</v>
      </c>
      <c r="K2310" s="567" t="n">
        <v>0.3858</v>
      </c>
      <c r="L2310" s="860" t="n">
        <v>0.3405</v>
      </c>
      <c r="M2310" s="863" t="n">
        <v>0.3739</v>
      </c>
      <c r="N2310" s="567" t="n">
        <v>0.4193</v>
      </c>
      <c r="O2310" s="567" t="n">
        <v>0.3561</v>
      </c>
      <c r="P2310" s="470" t="n">
        <v>0.3856</v>
      </c>
    </row>
    <row r="2311" ht="15.75" customHeight="1" s="2">
      <c r="A2311" s="462" t="inlineStr">
        <is>
          <t>Productivity</t>
        </is>
      </c>
      <c r="B2311" s="568" t="n">
        <v>5.59</v>
      </c>
      <c r="C2311" s="568" t="n">
        <v>4.22</v>
      </c>
      <c r="D2311" s="472" t="n">
        <v>4.3</v>
      </c>
      <c r="E2311" s="568" t="n">
        <v>4.73</v>
      </c>
      <c r="F2311" s="568" t="n">
        <v>4.36</v>
      </c>
      <c r="G2311" s="472" t="n">
        <v>5</v>
      </c>
      <c r="H2311" s="568" t="n">
        <v>5.55</v>
      </c>
      <c r="I2311" s="568" t="n">
        <v>4.69</v>
      </c>
      <c r="J2311" s="472" t="n">
        <v>4.5</v>
      </c>
      <c r="K2311" s="568" t="n">
        <v>4.94</v>
      </c>
      <c r="L2311" s="568" t="n">
        <v>5.06</v>
      </c>
      <c r="M2311" s="472" t="n">
        <v>4.7</v>
      </c>
      <c r="N2311" s="568" t="n">
        <v>4.32</v>
      </c>
      <c r="O2311" s="568" t="n">
        <v>4.78</v>
      </c>
      <c r="P2311" s="472" t="n">
        <v>4.3</v>
      </c>
    </row>
    <row r="2312" ht="15.75" customHeight="1" s="2">
      <c r="A2312" s="462" t="inlineStr">
        <is>
          <t>Average Hourly Rate</t>
        </is>
      </c>
      <c r="B2312" s="568" t="n">
        <v>38.52</v>
      </c>
      <c r="C2312" s="568" t="n">
        <v>38.39</v>
      </c>
      <c r="D2312" s="1628" t="n">
        <v>38</v>
      </c>
      <c r="E2312" s="568" t="n">
        <v>35.97</v>
      </c>
      <c r="F2312" s="568" t="n">
        <v>37.67</v>
      </c>
      <c r="G2312" s="1649" t="n">
        <v>38</v>
      </c>
      <c r="H2312" s="568" t="n">
        <v>37.53</v>
      </c>
      <c r="I2312" s="568" t="n">
        <v>37.33</v>
      </c>
      <c r="J2312" s="1649" t="n">
        <v>39</v>
      </c>
      <c r="K2312" s="568" t="n">
        <v>38.6</v>
      </c>
      <c r="L2312" s="568" t="n">
        <v>38.98</v>
      </c>
      <c r="M2312" s="1649" t="n">
        <v>39</v>
      </c>
      <c r="N2312" s="568" t="n">
        <v>36.06</v>
      </c>
      <c r="O2312" s="568" t="n">
        <v>38.44</v>
      </c>
      <c r="P2312" s="1628" t="n">
        <v>38</v>
      </c>
    </row>
    <row r="2313" ht="15.75" customHeight="1" s="2">
      <c r="A2313" s="462" t="inlineStr">
        <is>
          <t>Total hours for productivity</t>
        </is>
      </c>
      <c r="B2313" s="568" t="n">
        <v>838</v>
      </c>
      <c r="C2313" s="568" t="n">
        <v>1031.75</v>
      </c>
      <c r="D2313" s="466" t="n">
        <v>1064</v>
      </c>
      <c r="E2313" s="568" t="n">
        <v>920.75</v>
      </c>
      <c r="F2313" s="568" t="n">
        <v>1021.25</v>
      </c>
      <c r="G2313" s="466" t="n">
        <v>944</v>
      </c>
      <c r="H2313" s="568" t="n">
        <v>808.5</v>
      </c>
      <c r="I2313" s="568" t="n">
        <v>1122</v>
      </c>
      <c r="J2313" s="472" t="n">
        <v>1014.5</v>
      </c>
      <c r="K2313" s="568" t="n">
        <v>920.5</v>
      </c>
      <c r="L2313" s="568" t="n">
        <v>1131</v>
      </c>
      <c r="M2313" s="466" t="n">
        <v>983</v>
      </c>
      <c r="N2313" s="568" t="n">
        <v>887.75</v>
      </c>
      <c r="O2313" s="568" t="n">
        <v>1086.75</v>
      </c>
      <c r="P2313" s="466" t="n">
        <v>1064</v>
      </c>
    </row>
    <row r="2314" ht="15.75" customHeight="1" s="2">
      <c r="A2314" s="462" t="inlineStr">
        <is>
          <t>Training Hours used</t>
        </is>
      </c>
      <c r="B2314" s="870" t="n">
        <v>20</v>
      </c>
      <c r="C2314" s="569" t="n">
        <v>53.5</v>
      </c>
      <c r="D2314" s="466" t="n"/>
      <c r="E2314" s="1653" t="n"/>
      <c r="F2314" s="569" t="n"/>
      <c r="G2314" s="466" t="n"/>
      <c r="H2314" s="569" t="n">
        <v>0</v>
      </c>
      <c r="I2314" s="569" t="n">
        <v>31.5</v>
      </c>
      <c r="J2314" s="466" t="n">
        <v>8.5</v>
      </c>
      <c r="K2314" s="569" t="n"/>
      <c r="L2314" s="569" t="n">
        <v>44</v>
      </c>
      <c r="M2314" s="466" t="n">
        <v>8.5</v>
      </c>
      <c r="N2314" s="569" t="n">
        <v>78.5</v>
      </c>
      <c r="O2314" s="569" t="n">
        <v>53.75</v>
      </c>
      <c r="P2314" s="466" t="n"/>
    </row>
    <row r="2315" ht="15.75" customHeight="1" s="2" thickBot="1">
      <c r="A2315" s="474" t="inlineStr">
        <is>
          <t>Number of hours used to cover sick leave</t>
        </is>
      </c>
      <c r="B2315" s="813" t="n">
        <v>46.5</v>
      </c>
      <c r="C2315" s="570" t="n">
        <v>5</v>
      </c>
      <c r="D2315" s="476" t="n"/>
      <c r="E2315" s="1653" t="n"/>
      <c r="F2315" s="570" t="n"/>
      <c r="G2315" s="476" t="n"/>
      <c r="H2315" s="570" t="n">
        <v>39.5</v>
      </c>
      <c r="I2315" s="570" t="n"/>
      <c r="J2315" s="476" t="n"/>
      <c r="K2315" s="570" t="n"/>
      <c r="L2315" s="570" t="n"/>
      <c r="M2315" s="476" t="n"/>
      <c r="N2315" s="570" t="n">
        <v>27.5</v>
      </c>
      <c r="O2315" s="570" t="n"/>
      <c r="P2315" s="476" t="n"/>
    </row>
    <row r="2316" ht="15.75" customHeight="1" s="2" thickBot="1">
      <c r="A2316" s="477" t="inlineStr">
        <is>
          <t xml:space="preserve">Minimum Hours </t>
        </is>
      </c>
      <c r="B2316" s="1171" t="n"/>
      <c r="C2316" s="816" t="inlineStr">
        <is>
          <t>Projected</t>
        </is>
      </c>
      <c r="D2316" s="817" t="inlineStr">
        <is>
          <t>Rostered</t>
        </is>
      </c>
      <c r="E2316" s="1171" t="n"/>
      <c r="F2316" s="935" t="inlineStr">
        <is>
          <t>Projected</t>
        </is>
      </c>
      <c r="G2316" s="936" t="inlineStr">
        <is>
          <t>Rostered</t>
        </is>
      </c>
      <c r="H2316" s="935" t="inlineStr">
        <is>
          <t>Min Hrs</t>
        </is>
      </c>
      <c r="I2316" s="935" t="inlineStr">
        <is>
          <t>Projected</t>
        </is>
      </c>
      <c r="J2316" s="936" t="inlineStr">
        <is>
          <t>Rostered</t>
        </is>
      </c>
      <c r="K2316" s="935" t="inlineStr">
        <is>
          <t>Min Hrs</t>
        </is>
      </c>
      <c r="L2316" s="935" t="inlineStr">
        <is>
          <t>Projected</t>
        </is>
      </c>
      <c r="M2316" s="936" t="inlineStr">
        <is>
          <t>Rostered</t>
        </is>
      </c>
      <c r="N2316" s="1171" t="n"/>
      <c r="O2316" s="935" t="inlineStr">
        <is>
          <t>Projected</t>
        </is>
      </c>
      <c r="P2316" s="936" t="inlineStr">
        <is>
          <t>Rostered</t>
        </is>
      </c>
    </row>
    <row r="2317" ht="15.75" customHeight="1" s="2">
      <c r="A2317" s="479" t="inlineStr">
        <is>
          <t>Floor</t>
        </is>
      </c>
      <c r="B2317" s="1172" t="n"/>
      <c r="C2317" s="810" t="n">
        <v>506</v>
      </c>
      <c r="D2317" s="811" t="n">
        <v>589</v>
      </c>
      <c r="E2317" s="1172" t="n"/>
      <c r="F2317" s="810" t="n">
        <v>534</v>
      </c>
      <c r="G2317" s="811" t="n">
        <v>552</v>
      </c>
      <c r="H2317" s="810" t="n">
        <v>498</v>
      </c>
      <c r="I2317" s="810" t="n">
        <v>491</v>
      </c>
      <c r="J2317" s="811" t="n"/>
      <c r="K2317" s="810" t="n">
        <v>498</v>
      </c>
      <c r="L2317" s="810" t="n">
        <v>511</v>
      </c>
      <c r="M2317" s="811" t="n">
        <v>531</v>
      </c>
      <c r="N2317" s="1172" t="n"/>
      <c r="O2317" s="810" t="n"/>
      <c r="P2317" s="811" t="n"/>
    </row>
    <row r="2318" ht="15.75" customHeight="1" s="2" thickBot="1">
      <c r="A2318" s="481" t="inlineStr">
        <is>
          <t>Kitchen</t>
        </is>
      </c>
      <c r="B2318" s="1173" t="n"/>
      <c r="C2318" s="813" t="n">
        <v>414</v>
      </c>
      <c r="D2318" s="814" t="n">
        <v>475</v>
      </c>
      <c r="E2318" s="1173" t="n"/>
      <c r="F2318" s="840" t="n">
        <v>437</v>
      </c>
      <c r="G2318" s="814" t="n">
        <v>463</v>
      </c>
      <c r="H2318" s="813" t="n">
        <v>340</v>
      </c>
      <c r="I2318" s="840" t="n">
        <v>402</v>
      </c>
      <c r="J2318" s="814" t="n"/>
      <c r="K2318" s="813" t="n">
        <v>340</v>
      </c>
      <c r="L2318" s="840" t="n">
        <v>418</v>
      </c>
      <c r="M2318" s="814" t="n">
        <v>52</v>
      </c>
      <c r="N2318" s="1173" t="n"/>
      <c r="O2318" s="813" t="n"/>
      <c r="P2318" s="814" t="n"/>
    </row>
    <row r="2319" ht="15.75" customHeight="1" s="2" thickBot="1">
      <c r="A2319" s="834" t="n"/>
      <c r="B2319" s="836" t="n"/>
      <c r="C2319" s="1051" t="n"/>
      <c r="D2319" s="1051" t="n"/>
      <c r="E2319" s="839" t="n"/>
      <c r="F2319" s="1051" t="n"/>
      <c r="G2319" s="1051" t="n"/>
      <c r="H2319" s="839" t="n"/>
      <c r="I2319" s="1051" t="n"/>
      <c r="J2319" s="1051" t="n"/>
      <c r="K2319" s="839" t="n"/>
      <c r="L2319" s="1051" t="n"/>
      <c r="M2319" s="1051" t="n"/>
      <c r="N2319" s="839" t="n"/>
      <c r="O2319" s="835" t="n"/>
      <c r="P2319" s="835" t="n"/>
    </row>
    <row r="2320" ht="15.75" customHeight="1" s="2">
      <c r="A2320" s="506" t="inlineStr">
        <is>
          <t>Training explanation</t>
        </is>
      </c>
      <c r="B2320" s="837" t="n"/>
      <c r="C2320" s="1051" t="n"/>
      <c r="D2320" s="1051" t="n"/>
      <c r="E2320" s="837" t="n"/>
      <c r="F2320" s="1051" t="n"/>
      <c r="G2320" s="1051" t="n"/>
      <c r="H2320" s="837" t="n"/>
      <c r="I2320" s="1051" t="n"/>
      <c r="J2320" s="1051" t="n"/>
      <c r="K2320" s="837" t="n"/>
      <c r="L2320" s="1051" t="n"/>
      <c r="M2320" s="1051" t="n"/>
      <c r="N2320" s="837" t="n"/>
      <c r="O2320" s="835" t="n"/>
      <c r="P2320" s="835" t="n"/>
    </row>
    <row r="2321" ht="15.75" customHeight="1" s="2" thickBot="1">
      <c r="A2321" s="506" t="inlineStr">
        <is>
          <t>Who is being Trained</t>
        </is>
      </c>
      <c r="B2321" s="838" t="n"/>
      <c r="C2321" s="1052" t="n"/>
      <c r="D2321" s="1052" t="n"/>
      <c r="E2321" s="838" t="n"/>
      <c r="F2321" s="1052" t="n"/>
      <c r="G2321" s="1052" t="n"/>
      <c r="H2321" s="838" t="n"/>
      <c r="I2321" s="1052" t="n"/>
      <c r="J2321" s="1052" t="n"/>
      <c r="K2321" s="838" t="n"/>
      <c r="L2321" s="1052" t="n"/>
      <c r="M2321" s="1052" t="n"/>
      <c r="N2321" s="838" t="n"/>
    </row>
    <row r="2322" ht="15.75" customHeight="1" s="2" thickBot="1">
      <c r="A2322" s="506" t="n"/>
      <c r="C2322" s="523" t="inlineStr">
        <is>
          <t>floor</t>
        </is>
      </c>
      <c r="D2322" s="524" t="inlineStr">
        <is>
          <t>kitchen</t>
        </is>
      </c>
      <c r="E2322" s="509" t="n"/>
      <c r="F2322" s="507" t="inlineStr">
        <is>
          <t>floor</t>
        </is>
      </c>
      <c r="G2322" s="508" t="inlineStr">
        <is>
          <t>kitchen</t>
        </is>
      </c>
      <c r="H2322" s="510" t="n"/>
      <c r="I2322" s="535" t="inlineStr">
        <is>
          <t>floor</t>
        </is>
      </c>
      <c r="J2322" s="511" t="inlineStr">
        <is>
          <t>kitchen</t>
        </is>
      </c>
      <c r="K2322" s="512" t="n"/>
      <c r="L2322" s="535" t="inlineStr">
        <is>
          <t>floor</t>
        </is>
      </c>
      <c r="M2322" s="513" t="inlineStr">
        <is>
          <t>kitchen</t>
        </is>
      </c>
      <c r="N2322" s="512" t="n"/>
      <c r="O2322" s="535" t="inlineStr">
        <is>
          <t>floor</t>
        </is>
      </c>
      <c r="P2322" s="513" t="inlineStr">
        <is>
          <t>kitchen</t>
        </is>
      </c>
    </row>
    <row r="2323" ht="15.75" customHeight="1" s="2">
      <c r="A2323" s="506" t="n"/>
      <c r="C2323" s="525" t="n"/>
      <c r="D2323" s="527" t="n"/>
      <c r="E2323" s="514" t="n"/>
      <c r="F2323" s="525" t="n"/>
      <c r="G2323" s="527" t="n"/>
      <c r="H2323" s="515" t="n"/>
      <c r="I2323" s="531" t="n"/>
      <c r="J2323" s="824" t="n"/>
      <c r="K2323" s="515" t="n"/>
      <c r="L2323" s="536" t="n"/>
      <c r="M2323" s="532" t="n"/>
      <c r="N2323" s="515" t="n"/>
      <c r="O2323" s="536" t="n"/>
      <c r="P2323" s="532" t="n"/>
    </row>
    <row r="2324" ht="15.75" customHeight="1" s="2">
      <c r="C2324" s="891" t="n"/>
      <c r="D2324" s="526" t="n"/>
      <c r="E2324" s="514" t="n"/>
      <c r="F2324" s="891" t="n"/>
      <c r="G2324" s="526" t="n"/>
      <c r="H2324" s="516" t="n"/>
      <c r="I2324" s="1656" t="n"/>
      <c r="J2324" s="530" t="n"/>
      <c r="K2324" s="516" t="n"/>
      <c r="L2324" s="542" t="n"/>
      <c r="M2324" s="530" t="n"/>
      <c r="N2324" s="516" t="n"/>
      <c r="O2324" s="542" t="n"/>
      <c r="P2324" s="530" t="n"/>
    </row>
    <row r="2325" ht="15.75" customHeight="1" s="2">
      <c r="C2325" s="550" t="n"/>
      <c r="D2325" s="527" t="n"/>
      <c r="E2325" s="514" t="n"/>
      <c r="F2325" s="531" t="n"/>
      <c r="G2325" s="530" t="n"/>
      <c r="H2325" s="516" t="n"/>
      <c r="I2325" s="537" t="n"/>
      <c r="J2325" s="530" t="n"/>
      <c r="K2325" s="516" t="n"/>
      <c r="L2325" s="1657" t="n"/>
      <c r="M2325" s="539" t="n"/>
      <c r="N2325" s="516" t="n"/>
      <c r="O2325" s="542" t="n"/>
      <c r="P2325" s="539" t="n"/>
    </row>
    <row r="2326" ht="15.75" customHeight="1" s="2">
      <c r="C2326" s="561" t="n"/>
      <c r="D2326" s="561" t="n"/>
      <c r="E2326" s="519" t="n"/>
      <c r="F2326" s="517" t="n"/>
      <c r="G2326" s="1659" t="n"/>
      <c r="H2326" s="516" t="n"/>
      <c r="I2326" s="537" t="n"/>
      <c r="J2326" s="530" t="n"/>
      <c r="K2326" s="516" t="n"/>
      <c r="L2326" s="537" t="n"/>
      <c r="M2326" s="539" t="n"/>
      <c r="N2326" s="516" t="n"/>
      <c r="O2326" s="537" t="n"/>
      <c r="P2326" s="539" t="n"/>
    </row>
    <row r="2327" ht="15.75" customHeight="1" s="2">
      <c r="C2327" s="551" t="n"/>
      <c r="D2327" s="528" t="n"/>
      <c r="E2327" s="519" t="n"/>
      <c r="F2327" s="517" t="n"/>
      <c r="G2327" s="518" t="n"/>
      <c r="H2327" s="516" t="n"/>
      <c r="I2327" s="537" t="n"/>
      <c r="J2327" s="533" t="n"/>
      <c r="K2327" s="516" t="n"/>
      <c r="L2327" s="537" t="n"/>
      <c r="M2327" s="540" t="n"/>
      <c r="N2327" s="516" t="n"/>
      <c r="O2327" s="537" t="n"/>
      <c r="P2327" s="540" t="n"/>
    </row>
    <row r="2328" ht="15.75" customHeight="1" s="2" thickBot="1"/>
    <row r="2329" ht="15.75" customHeight="1" s="2" thickBot="1">
      <c r="B2329" s="1652" t="inlineStr">
        <is>
          <t>13.03.2023</t>
        </is>
      </c>
      <c r="C2329" s="1641" t="n"/>
      <c r="D2329" s="1502" t="n"/>
      <c r="E2329" s="1640" t="inlineStr">
        <is>
          <t>20.03.2023</t>
        </is>
      </c>
      <c r="F2329" s="1641" t="n"/>
      <c r="G2329" s="1502" t="n"/>
      <c r="H2329" s="1640" t="inlineStr">
        <is>
          <t>27.03.2023</t>
        </is>
      </c>
      <c r="I2329" s="1641" t="n"/>
      <c r="J2329" s="1502" t="n"/>
      <c r="K2329" s="1640" t="inlineStr">
        <is>
          <t>03.04.2023</t>
        </is>
      </c>
      <c r="L2329" s="1641" t="n"/>
      <c r="M2329" s="1502" t="n"/>
      <c r="N2329" s="1660" t="inlineStr">
        <is>
          <t>10.04.2023</t>
        </is>
      </c>
      <c r="O2329" s="1641" t="n"/>
      <c r="P2329" s="1502" t="n"/>
    </row>
    <row r="2330" ht="15.75" customHeight="1" s="2" thickBot="1">
      <c r="A2330" s="455" t="n"/>
      <c r="B2330" s="1048" t="inlineStr">
        <is>
          <t>LAST YEAR</t>
        </is>
      </c>
      <c r="C2330" s="1049" t="inlineStr">
        <is>
          <t>Actual</t>
        </is>
      </c>
      <c r="D2330" s="1050" t="inlineStr">
        <is>
          <t>Projected</t>
        </is>
      </c>
      <c r="E2330" s="1048" t="inlineStr">
        <is>
          <t>LAST YEAR</t>
        </is>
      </c>
      <c r="F2330" s="1049" t="inlineStr">
        <is>
          <t>Actual</t>
        </is>
      </c>
      <c r="G2330" s="1050" t="inlineStr">
        <is>
          <t>Projected</t>
        </is>
      </c>
      <c r="H2330" s="1048" t="inlineStr">
        <is>
          <t>LAST YEAR</t>
        </is>
      </c>
      <c r="I2330" s="1049" t="inlineStr">
        <is>
          <t>Actual</t>
        </is>
      </c>
      <c r="J2330" s="1050" t="inlineStr">
        <is>
          <t>Projected</t>
        </is>
      </c>
      <c r="K2330" s="1048" t="inlineStr">
        <is>
          <t>LAST YEAR</t>
        </is>
      </c>
      <c r="L2330" s="1049" t="inlineStr">
        <is>
          <t>Actual</t>
        </is>
      </c>
      <c r="M2330" s="1050" t="inlineStr">
        <is>
          <t>Projected</t>
        </is>
      </c>
      <c r="N2330" s="1048" t="inlineStr">
        <is>
          <t>LAST YEAR</t>
        </is>
      </c>
      <c r="O2330" s="1049" t="inlineStr">
        <is>
          <t>Actual</t>
        </is>
      </c>
      <c r="P2330" s="1050" t="inlineStr">
        <is>
          <t>Projected</t>
        </is>
      </c>
    </row>
    <row r="2331" ht="15.75" customHeight="1" s="2">
      <c r="A2331" s="459" t="inlineStr">
        <is>
          <t>Total Receipts</t>
        </is>
      </c>
      <c r="B2331" s="1631" t="n">
        <v>101988.89</v>
      </c>
      <c r="C2331" s="1643" t="n">
        <v>127386.74</v>
      </c>
      <c r="D2331" s="1622" t="n">
        <v>128075</v>
      </c>
      <c r="E2331" s="1643" t="n">
        <v>102563.44</v>
      </c>
      <c r="F2331" s="1643" t="n">
        <v>123466.78</v>
      </c>
      <c r="G2331" s="1645" t="n">
        <v>120810</v>
      </c>
      <c r="H2331" s="1631" t="n">
        <v>87030.39999999999</v>
      </c>
      <c r="I2331" s="1631" t="n">
        <v>119513.41</v>
      </c>
      <c r="J2331" s="1645" t="n">
        <v>122040</v>
      </c>
      <c r="K2331" s="1631" t="n">
        <v>94243</v>
      </c>
      <c r="L2331" s="1643" t="n">
        <v>115448</v>
      </c>
      <c r="M2331" s="1645" t="n">
        <v>126110</v>
      </c>
      <c r="N2331" s="1631" t="n">
        <v>100221.79</v>
      </c>
      <c r="O2331" s="1631" t="n">
        <v>186658.1</v>
      </c>
      <c r="P2331" s="1622" t="n">
        <v>183470</v>
      </c>
    </row>
    <row r="2332" ht="15.75" customHeight="1" s="2">
      <c r="A2332" s="462" t="inlineStr">
        <is>
          <t>Nett Sales</t>
        </is>
      </c>
      <c r="B2332" s="1632" t="n">
        <v>92717.19</v>
      </c>
      <c r="C2332" s="1632" t="n">
        <v>115806</v>
      </c>
      <c r="D2332" s="1625" t="n">
        <v>116431</v>
      </c>
      <c r="E2332" s="1632" t="n">
        <v>93239.47</v>
      </c>
      <c r="F2332" s="1632" t="n">
        <v>112242.53</v>
      </c>
      <c r="G2332" s="1637" t="n">
        <v>109827</v>
      </c>
      <c r="H2332" s="1632" t="n">
        <v>79118.7</v>
      </c>
      <c r="I2332" s="1632" t="n">
        <v>108648</v>
      </c>
      <c r="J2332" s="1625" t="n">
        <v>110945</v>
      </c>
      <c r="K2332" s="1632" t="n">
        <v>85676</v>
      </c>
      <c r="L2332" s="1632" t="n">
        <v>104952</v>
      </c>
      <c r="M2332" s="1625" t="n">
        <v>114645</v>
      </c>
      <c r="N2332" s="1632" t="n">
        <v>91110.72</v>
      </c>
      <c r="O2332" s="1632" t="n">
        <v>169689</v>
      </c>
      <c r="P2332" s="1625" t="n">
        <v>166790</v>
      </c>
    </row>
    <row r="2333" ht="15.75" customHeight="1" s="2">
      <c r="A2333" s="462" t="inlineStr">
        <is>
          <t>Customers</t>
        </is>
      </c>
      <c r="B2333" s="565" t="n">
        <v>4345</v>
      </c>
      <c r="C2333" s="565" t="n">
        <v>5124</v>
      </c>
      <c r="D2333" s="466" t="n">
        <v>5430</v>
      </c>
      <c r="E2333" s="565" t="n">
        <v>4486</v>
      </c>
      <c r="F2333" s="565" t="n">
        <v>5045</v>
      </c>
      <c r="G2333" s="466" t="n">
        <v>5165</v>
      </c>
      <c r="H2333" s="565" t="n">
        <v>3907</v>
      </c>
      <c r="I2333" s="565" t="n">
        <v>4881</v>
      </c>
      <c r="J2333" s="466" t="n">
        <v>5230</v>
      </c>
      <c r="K2333" s="565" t="n">
        <v>4062</v>
      </c>
      <c r="L2333" s="565" t="n">
        <v>4616</v>
      </c>
      <c r="M2333" s="466" t="n">
        <v>5425</v>
      </c>
      <c r="N2333" s="565" t="n">
        <v>4545</v>
      </c>
      <c r="O2333" s="565" t="n">
        <v>7066</v>
      </c>
      <c r="P2333" s="1655" t="n">
        <v>7415</v>
      </c>
    </row>
    <row r="2334" ht="15.75" customHeight="1" s="2">
      <c r="A2334" s="462" t="inlineStr">
        <is>
          <t>Average Customer Spend</t>
        </is>
      </c>
      <c r="B2334" s="1635" t="n">
        <v>22.9</v>
      </c>
      <c r="C2334" s="1647" t="n">
        <v>24.86</v>
      </c>
      <c r="D2334" s="1628" t="n">
        <v>24.17</v>
      </c>
      <c r="E2334" s="1647" t="n">
        <v>22.86</v>
      </c>
      <c r="F2334" s="1647" t="n">
        <v>24.47</v>
      </c>
      <c r="G2334" s="1649" t="n">
        <v>23.95</v>
      </c>
      <c r="H2334" s="1635" t="n">
        <v>22.28</v>
      </c>
      <c r="I2334" s="1635" t="n">
        <v>24.49</v>
      </c>
      <c r="J2334" s="1649" t="n">
        <v>23.93</v>
      </c>
      <c r="K2334" s="1635" t="n">
        <v>23.19</v>
      </c>
      <c r="L2334" s="1647" t="n">
        <v>25.01</v>
      </c>
      <c r="M2334" s="1649" t="n">
        <v>24</v>
      </c>
      <c r="N2334" s="1635" t="n">
        <v>22.06</v>
      </c>
      <c r="O2334" s="1635" t="n">
        <v>26.42</v>
      </c>
      <c r="P2334" s="1628" t="n">
        <v>25.34</v>
      </c>
    </row>
    <row r="2335" ht="15.75" customHeight="1" s="2">
      <c r="A2335" s="462" t="inlineStr">
        <is>
          <t>Wage % to Total Receipts</t>
        </is>
      </c>
      <c r="B2335" s="567" t="n">
        <v>0.3079</v>
      </c>
      <c r="C2335" s="860" t="n">
        <v>0.3314</v>
      </c>
      <c r="D2335" s="470" t="n">
        <v>0.3445</v>
      </c>
      <c r="E2335" s="860" t="n">
        <v>0.2959</v>
      </c>
      <c r="F2335" s="860" t="n">
        <v>0.3429</v>
      </c>
      <c r="G2335" s="863" t="n">
        <v>0.3174</v>
      </c>
      <c r="H2335" s="567" t="n">
        <v>0.3508</v>
      </c>
      <c r="I2335" s="567" t="n">
        <v>0.3479</v>
      </c>
      <c r="J2335" s="863" t="n">
        <v>0.3176</v>
      </c>
      <c r="K2335" s="567" t="n">
        <v>0.3289</v>
      </c>
      <c r="L2335" s="860" t="n">
        <v>0.3604</v>
      </c>
      <c r="M2335" s="863" t="n">
        <v>0.3167</v>
      </c>
      <c r="N2335" s="567" t="n">
        <v>0.3272</v>
      </c>
      <c r="O2335" s="567" t="n">
        <v>0.435</v>
      </c>
      <c r="P2335" s="470" t="n">
        <v>0.3024</v>
      </c>
    </row>
    <row r="2336" ht="15.75" customHeight="1" s="2">
      <c r="A2336" s="462" t="inlineStr">
        <is>
          <t>Wage % to Nett Sales</t>
        </is>
      </c>
      <c r="B2336" s="567" t="n">
        <v>0.3387</v>
      </c>
      <c r="C2336" s="860" t="n">
        <v>0.3646</v>
      </c>
      <c r="D2336" s="470" t="n">
        <v>0.346</v>
      </c>
      <c r="E2336" s="860" t="n">
        <v>0.3255</v>
      </c>
      <c r="F2336" s="860" t="n">
        <v>0.3771</v>
      </c>
      <c r="G2336" s="863" t="n">
        <v>0.3491</v>
      </c>
      <c r="H2336" s="567" t="n">
        <v>0.3858</v>
      </c>
      <c r="I2336" s="567" t="n">
        <v>0.3827</v>
      </c>
      <c r="J2336" s="863" t="n">
        <v>0.3494</v>
      </c>
      <c r="K2336" s="567" t="n">
        <v>0.3618</v>
      </c>
      <c r="L2336" s="860" t="n">
        <v>0.3965</v>
      </c>
      <c r="M2336" s="863" t="n">
        <v>0.3484</v>
      </c>
      <c r="N2336" s="567" t="n">
        <v>0.3605</v>
      </c>
      <c r="O2336" s="567" t="n">
        <v>0.4785</v>
      </c>
      <c r="P2336" s="470" t="n">
        <v>0.3326</v>
      </c>
    </row>
    <row r="2337" ht="15.75" customHeight="1" s="2">
      <c r="A2337" s="462" t="inlineStr">
        <is>
          <t>Productivity</t>
        </is>
      </c>
      <c r="B2337" s="568" t="n">
        <v>4.97</v>
      </c>
      <c r="C2337" s="568" t="n">
        <v>4.67</v>
      </c>
      <c r="D2337" s="472" t="n">
        <v>4.9</v>
      </c>
      <c r="E2337" s="568" t="n">
        <v>5.55</v>
      </c>
      <c r="F2337" s="568" t="n">
        <v>4.52</v>
      </c>
      <c r="G2337" s="472" t="n">
        <v>4.7</v>
      </c>
      <c r="H2337" s="568" t="n">
        <v>4.94</v>
      </c>
      <c r="I2337" s="568" t="n">
        <v>4.37</v>
      </c>
      <c r="J2337" s="472" t="n">
        <v>4.7</v>
      </c>
      <c r="K2337" s="568" t="n">
        <v>5.21</v>
      </c>
      <c r="L2337" s="568" t="n">
        <v>4.12</v>
      </c>
      <c r="M2337" s="472" t="n">
        <v>5</v>
      </c>
      <c r="N2337" s="568" t="n">
        <v>5.07</v>
      </c>
      <c r="O2337" s="568" t="n">
        <v>4.77</v>
      </c>
      <c r="P2337" s="472" t="n">
        <v>5</v>
      </c>
    </row>
    <row r="2338" ht="15.75" customHeight="1" s="2">
      <c r="A2338" s="462" t="inlineStr">
        <is>
          <t>Average Hourly Rate</t>
        </is>
      </c>
      <c r="B2338" s="568" t="n">
        <v>35.9</v>
      </c>
      <c r="C2338" s="568" t="n">
        <v>38.48</v>
      </c>
      <c r="D2338" s="1628" t="n">
        <v>38</v>
      </c>
      <c r="E2338" s="568" t="n">
        <v>37.53</v>
      </c>
      <c r="F2338" s="568" t="n">
        <v>37.96</v>
      </c>
      <c r="G2338" s="1649" t="n">
        <v>38</v>
      </c>
      <c r="H2338" s="568" t="n">
        <v>38.6</v>
      </c>
      <c r="I2338" s="568" t="n">
        <v>37.2</v>
      </c>
      <c r="J2338" s="1649" t="n">
        <v>38</v>
      </c>
      <c r="K2338" s="568" t="n">
        <v>39.74</v>
      </c>
      <c r="L2338" s="568" t="n">
        <v>36.77</v>
      </c>
      <c r="M2338" s="1649" t="n">
        <v>38</v>
      </c>
      <c r="N2338" s="568" t="n">
        <v>36.64</v>
      </c>
      <c r="O2338" s="568" t="n">
        <v>54.82</v>
      </c>
      <c r="P2338" s="1628" t="n">
        <v>38</v>
      </c>
    </row>
    <row r="2339" ht="15.75" customHeight="1" s="2">
      <c r="A2339" s="462" t="inlineStr">
        <is>
          <t>Total hours for productivity</t>
        </is>
      </c>
      <c r="B2339" s="568" t="n">
        <v>874.75</v>
      </c>
      <c r="C2339" s="568" t="n">
        <v>1097.25</v>
      </c>
      <c r="D2339" s="466" t="n">
        <v>1081</v>
      </c>
      <c r="E2339" s="568" t="n">
        <v>808.5</v>
      </c>
      <c r="F2339" s="568" t="n">
        <v>1115.25</v>
      </c>
      <c r="G2339" s="466" t="n">
        <v>1009</v>
      </c>
      <c r="H2339" s="568" t="n">
        <v>920.5</v>
      </c>
      <c r="I2339" s="568" t="n">
        <v>1117.75</v>
      </c>
      <c r="J2339" s="472" t="n">
        <v>1020</v>
      </c>
      <c r="K2339" s="568" t="n">
        <v>780</v>
      </c>
      <c r="L2339" s="568" t="n">
        <v>1131</v>
      </c>
      <c r="M2339" s="466" t="n">
        <v>1051</v>
      </c>
      <c r="N2339" s="568" t="n">
        <v>652.5</v>
      </c>
      <c r="O2339" s="568" t="n">
        <v>1481</v>
      </c>
      <c r="P2339" s="466" t="n">
        <v>1448</v>
      </c>
    </row>
    <row r="2340" ht="15.75" customHeight="1" s="2">
      <c r="A2340" s="462" t="inlineStr">
        <is>
          <t>Training Hours used</t>
        </is>
      </c>
      <c r="B2340" s="569" t="n">
        <v>36.5</v>
      </c>
      <c r="C2340" s="569" t="n">
        <v>36.5</v>
      </c>
      <c r="D2340" s="466" t="n"/>
      <c r="E2340" s="569" t="n">
        <v>0</v>
      </c>
      <c r="F2340" s="569" t="n">
        <v>113.5</v>
      </c>
      <c r="G2340" s="466" t="n"/>
      <c r="H2340" s="569" t="n"/>
      <c r="I2340" s="569" t="n">
        <v>58</v>
      </c>
      <c r="J2340" s="466" t="n"/>
      <c r="K2340" s="569" t="n"/>
      <c r="L2340" s="569" t="n"/>
      <c r="M2340" s="466" t="n"/>
      <c r="N2340" s="569" t="n"/>
      <c r="O2340" s="569" t="n">
        <v>37.75</v>
      </c>
      <c r="P2340" s="466" t="n"/>
    </row>
    <row r="2341" ht="15.75" customHeight="1" s="2" thickBot="1">
      <c r="A2341" s="474" t="inlineStr">
        <is>
          <t>Number of hours used to cover sick leave</t>
        </is>
      </c>
      <c r="B2341" s="570" t="n">
        <v>22.75</v>
      </c>
      <c r="C2341" s="570" t="n">
        <v>10.5</v>
      </c>
      <c r="D2341" s="476" t="n"/>
      <c r="E2341" s="570" t="n">
        <v>39.5</v>
      </c>
      <c r="F2341" s="570" t="n"/>
      <c r="G2341" s="476" t="n"/>
      <c r="H2341" s="570" t="n"/>
      <c r="I2341" s="570" t="n"/>
      <c r="J2341" s="476" t="n"/>
      <c r="K2341" s="570" t="n"/>
      <c r="L2341" s="570" t="n"/>
      <c r="M2341" s="476" t="n"/>
      <c r="N2341" s="813" t="n"/>
      <c r="O2341" s="570" t="n"/>
      <c r="P2341" s="476" t="n"/>
    </row>
    <row r="2342" ht="15.75" customHeight="1" s="2" thickBot="1">
      <c r="A2342" s="477" t="inlineStr">
        <is>
          <t xml:space="preserve">Minimum Hours </t>
        </is>
      </c>
      <c r="B2342" s="1171" t="n"/>
      <c r="C2342" s="816" t="inlineStr">
        <is>
          <t>Projected</t>
        </is>
      </c>
      <c r="D2342" s="817" t="inlineStr">
        <is>
          <t>Rostered</t>
        </is>
      </c>
      <c r="E2342" s="1171" t="n"/>
      <c r="F2342" s="935" t="inlineStr">
        <is>
          <t>Projected</t>
        </is>
      </c>
      <c r="G2342" s="936" t="inlineStr">
        <is>
          <t>Rostered</t>
        </is>
      </c>
      <c r="H2342" s="935" t="inlineStr">
        <is>
          <t>Min Hrs</t>
        </is>
      </c>
      <c r="I2342" s="935" t="inlineStr">
        <is>
          <t>Projected</t>
        </is>
      </c>
      <c r="J2342" s="936" t="inlineStr">
        <is>
          <t>Rostered</t>
        </is>
      </c>
      <c r="K2342" s="935" t="inlineStr">
        <is>
          <t>Min Hrs</t>
        </is>
      </c>
      <c r="L2342" s="935" t="inlineStr">
        <is>
          <t>Projected</t>
        </is>
      </c>
      <c r="M2342" s="936" t="inlineStr">
        <is>
          <t>Rostered</t>
        </is>
      </c>
      <c r="N2342" s="1171" t="n"/>
      <c r="O2342" s="935" t="inlineStr">
        <is>
          <t>Projected</t>
        </is>
      </c>
      <c r="P2342" s="936" t="inlineStr">
        <is>
          <t>Rostered</t>
        </is>
      </c>
    </row>
    <row r="2343" ht="15.75" customHeight="1" s="2">
      <c r="A2343" s="479" t="inlineStr">
        <is>
          <t>Floor</t>
        </is>
      </c>
      <c r="B2343" s="1172" t="n"/>
      <c r="C2343" s="810" t="n"/>
      <c r="D2343" s="811" t="n"/>
      <c r="E2343" s="1172" t="n"/>
      <c r="F2343" s="810" t="n"/>
      <c r="G2343" s="811" t="n"/>
      <c r="H2343" s="810" t="n"/>
      <c r="I2343" s="810" t="n"/>
      <c r="J2343" s="811" t="n"/>
      <c r="K2343" s="810" t="n"/>
      <c r="L2343" s="810" t="n"/>
      <c r="M2343" s="811" t="n"/>
      <c r="N2343" s="1172" t="n"/>
      <c r="O2343" s="810" t="n"/>
      <c r="P2343" s="811" t="n"/>
    </row>
    <row r="2344" ht="15.75" customHeight="1" s="2" thickBot="1">
      <c r="A2344" s="481" t="inlineStr">
        <is>
          <t>Kitchen</t>
        </is>
      </c>
      <c r="B2344" s="1173" t="n"/>
      <c r="C2344" s="813" t="n"/>
      <c r="D2344" s="814" t="n"/>
      <c r="E2344" s="1173" t="n"/>
      <c r="F2344" s="840" t="n"/>
      <c r="G2344" s="814" t="n"/>
      <c r="H2344" s="813" t="n"/>
      <c r="I2344" s="840" t="n"/>
      <c r="J2344" s="814" t="n"/>
      <c r="K2344" s="813" t="n"/>
      <c r="L2344" s="840" t="n"/>
      <c r="M2344" s="814" t="n"/>
      <c r="N2344" s="1173" t="n"/>
      <c r="O2344" s="813" t="n"/>
      <c r="P2344" s="814" t="n"/>
    </row>
    <row r="2345" ht="15.75" customHeight="1" s="2" thickBot="1">
      <c r="A2345" s="834" t="n"/>
      <c r="B2345" s="836" t="n"/>
      <c r="C2345" s="1051" t="n"/>
      <c r="D2345" s="1051" t="n"/>
      <c r="E2345" s="839" t="n"/>
      <c r="F2345" s="1051" t="n"/>
      <c r="G2345" s="1051" t="n"/>
      <c r="H2345" s="839" t="n"/>
      <c r="I2345" s="1051" t="n"/>
      <c r="J2345" s="1051" t="n"/>
      <c r="K2345" s="839" t="n"/>
      <c r="L2345" s="1051" t="n"/>
      <c r="M2345" s="1051" t="n"/>
      <c r="N2345" s="839" t="n"/>
      <c r="O2345" s="835" t="n"/>
      <c r="P2345" s="835" t="n"/>
    </row>
    <row r="2346" ht="15.75" customHeight="1" s="2">
      <c r="A2346" s="506" t="inlineStr">
        <is>
          <t>Training explanation</t>
        </is>
      </c>
      <c r="B2346" s="837" t="n"/>
      <c r="C2346" s="1051" t="n"/>
      <c r="D2346" s="1051" t="n"/>
      <c r="E2346" s="837" t="n"/>
      <c r="F2346" s="1051" t="n"/>
      <c r="G2346" s="1051" t="n"/>
      <c r="H2346" s="837" t="n"/>
      <c r="I2346" s="1051" t="n"/>
      <c r="J2346" s="1051" t="n"/>
      <c r="K2346" s="837" t="n"/>
      <c r="L2346" s="1051" t="n"/>
      <c r="M2346" s="1051" t="n"/>
      <c r="N2346" s="837" t="n"/>
      <c r="O2346" s="835" t="n"/>
      <c r="P2346" s="835" t="n"/>
    </row>
    <row r="2347" ht="15.75" customHeight="1" s="2" thickBot="1">
      <c r="A2347" s="506" t="inlineStr">
        <is>
          <t>Who is being Trained</t>
        </is>
      </c>
      <c r="B2347" s="838" t="n"/>
      <c r="C2347" s="1052" t="n"/>
      <c r="D2347" s="1052" t="n"/>
      <c r="E2347" s="838" t="n"/>
      <c r="F2347" s="1052" t="n"/>
      <c r="G2347" s="1052" t="n"/>
      <c r="H2347" s="838" t="n"/>
      <c r="I2347" s="1052" t="n"/>
      <c r="J2347" s="1052" t="n"/>
      <c r="K2347" s="838" t="n"/>
      <c r="L2347" s="1052" t="n"/>
      <c r="M2347" s="1052" t="n"/>
      <c r="N2347" s="838" t="n"/>
    </row>
    <row r="2348" ht="15.75" customHeight="1" s="2" thickBot="1">
      <c r="A2348" s="506" t="n"/>
      <c r="C2348" s="523" t="inlineStr">
        <is>
          <t>floor</t>
        </is>
      </c>
      <c r="D2348" s="524" t="inlineStr">
        <is>
          <t>kitchen</t>
        </is>
      </c>
      <c r="E2348" s="509" t="n"/>
      <c r="F2348" s="507" t="inlineStr">
        <is>
          <t>floor</t>
        </is>
      </c>
      <c r="G2348" s="508" t="inlineStr">
        <is>
          <t>kitchen</t>
        </is>
      </c>
      <c r="H2348" s="510" t="n"/>
      <c r="I2348" s="535" t="inlineStr">
        <is>
          <t>floor</t>
        </is>
      </c>
      <c r="J2348" s="511" t="inlineStr">
        <is>
          <t>kitchen</t>
        </is>
      </c>
      <c r="K2348" s="512" t="n"/>
      <c r="L2348" s="535" t="inlineStr">
        <is>
          <t>floor</t>
        </is>
      </c>
      <c r="M2348" s="513" t="inlineStr">
        <is>
          <t>kitchen</t>
        </is>
      </c>
      <c r="N2348" s="512" t="n"/>
      <c r="O2348" s="535" t="inlineStr">
        <is>
          <t>floor</t>
        </is>
      </c>
      <c r="P2348" s="513" t="inlineStr">
        <is>
          <t>kitchen</t>
        </is>
      </c>
    </row>
    <row r="2349" ht="15.75" customHeight="1" s="2">
      <c r="A2349" s="506" t="n"/>
      <c r="C2349" s="525" t="n"/>
      <c r="D2349" s="527" t="n"/>
      <c r="E2349" s="514" t="n"/>
      <c r="F2349" s="525" t="n"/>
      <c r="G2349" s="527" t="n"/>
      <c r="H2349" s="515" t="n"/>
      <c r="I2349" s="531" t="n"/>
      <c r="J2349" s="824" t="n"/>
      <c r="K2349" s="515" t="n"/>
      <c r="L2349" s="536" t="n"/>
      <c r="M2349" s="532" t="n"/>
      <c r="N2349" s="515" t="n"/>
      <c r="O2349" s="536" t="n"/>
      <c r="P2349" s="532" t="n"/>
    </row>
    <row r="2350" ht="15.75" customHeight="1" s="2">
      <c r="C2350" s="891" t="n"/>
      <c r="D2350" s="526" t="n"/>
      <c r="E2350" s="514" t="n"/>
      <c r="F2350" s="891" t="n"/>
      <c r="G2350" s="526" t="n"/>
      <c r="H2350" s="516" t="n"/>
      <c r="I2350" s="1656" t="n"/>
      <c r="J2350" s="530" t="n"/>
      <c r="K2350" s="516" t="n"/>
      <c r="L2350" s="542" t="n"/>
      <c r="M2350" s="530" t="n"/>
      <c r="N2350" s="516" t="n"/>
      <c r="O2350" s="542" t="n"/>
      <c r="P2350" s="530" t="n"/>
    </row>
    <row r="2351" ht="15.75" customHeight="1" s="2">
      <c r="C2351" s="550" t="n"/>
      <c r="D2351" s="527" t="n"/>
      <c r="E2351" s="514" t="n"/>
      <c r="F2351" s="531" t="n"/>
      <c r="G2351" s="530" t="n"/>
      <c r="H2351" s="516" t="n"/>
      <c r="I2351" s="537" t="n"/>
      <c r="J2351" s="530" t="n"/>
      <c r="K2351" s="516" t="n"/>
      <c r="L2351" s="1657" t="n"/>
      <c r="M2351" s="539" t="n"/>
      <c r="N2351" s="516" t="n"/>
      <c r="O2351" s="542" t="n"/>
      <c r="P2351" s="539" t="n"/>
    </row>
    <row r="2352" ht="15.75" customHeight="1" s="2">
      <c r="C2352" s="561" t="n"/>
      <c r="D2352" s="561" t="n"/>
      <c r="E2352" s="519" t="n"/>
      <c r="F2352" s="517" t="n"/>
      <c r="G2352" s="1659" t="n"/>
      <c r="H2352" s="516" t="n"/>
      <c r="I2352" s="537" t="n"/>
      <c r="J2352" s="530" t="n"/>
      <c r="K2352" s="516" t="n"/>
      <c r="L2352" s="537" t="n"/>
      <c r="M2352" s="539" t="n"/>
      <c r="N2352" s="516" t="n"/>
      <c r="O2352" s="537" t="n"/>
      <c r="P2352" s="539" t="n"/>
    </row>
    <row r="2353" ht="15.75" customHeight="1" s="2">
      <c r="C2353" s="551" t="n"/>
      <c r="D2353" s="528" t="n"/>
      <c r="E2353" s="519" t="n"/>
      <c r="F2353" s="517" t="n"/>
      <c r="G2353" s="518" t="n"/>
      <c r="H2353" s="516" t="n"/>
      <c r="I2353" s="537" t="n"/>
      <c r="J2353" s="533" t="n"/>
      <c r="K2353" s="516" t="n"/>
      <c r="L2353" s="537" t="n"/>
      <c r="M2353" s="540" t="n"/>
      <c r="N2353" s="516" t="n"/>
      <c r="O2353" s="537" t="n"/>
      <c r="P2353" s="540" t="n"/>
    </row>
    <row r="2354" ht="15.75" customHeight="1" s="2" thickBot="1"/>
    <row r="2355" ht="15.75" customHeight="1" s="2" thickBot="1">
      <c r="B2355" s="1652" t="inlineStr">
        <is>
          <t>17.04.2023</t>
        </is>
      </c>
      <c r="C2355" s="1641" t="n"/>
      <c r="D2355" s="1502" t="n"/>
      <c r="E2355" s="1640" t="inlineStr">
        <is>
          <t>24.04.2023</t>
        </is>
      </c>
      <c r="F2355" s="1641" t="n"/>
      <c r="G2355" s="1502" t="n"/>
      <c r="H2355" s="1640" t="inlineStr">
        <is>
          <t>01.05.2023</t>
        </is>
      </c>
      <c r="I2355" s="1641" t="n"/>
      <c r="J2355" s="1502" t="n"/>
      <c r="K2355" s="1640" t="inlineStr">
        <is>
          <t>08.05.2023</t>
        </is>
      </c>
      <c r="L2355" s="1641" t="n"/>
      <c r="M2355" s="1502" t="n"/>
      <c r="N2355" s="1660" t="inlineStr">
        <is>
          <t>15.05.2023</t>
        </is>
      </c>
      <c r="O2355" s="1641" t="n"/>
      <c r="P2355" s="1502" t="n"/>
    </row>
    <row r="2356" ht="15.75" customHeight="1" s="2" thickBot="1">
      <c r="A2356" s="455" t="n"/>
      <c r="B2356" s="1048" t="inlineStr">
        <is>
          <t>LAST YEAR</t>
        </is>
      </c>
      <c r="C2356" s="1049" t="inlineStr">
        <is>
          <t>Actual</t>
        </is>
      </c>
      <c r="D2356" s="1050" t="inlineStr">
        <is>
          <t>Projected</t>
        </is>
      </c>
      <c r="E2356" s="1048" t="inlineStr">
        <is>
          <t>LAST YEAR</t>
        </is>
      </c>
      <c r="F2356" s="1049" t="inlineStr">
        <is>
          <t>Actual</t>
        </is>
      </c>
      <c r="G2356" s="1050" t="inlineStr">
        <is>
          <t>Projected</t>
        </is>
      </c>
      <c r="H2356" s="1048" t="inlineStr">
        <is>
          <t>LAST YEAR</t>
        </is>
      </c>
      <c r="I2356" s="1049" t="inlineStr">
        <is>
          <t>Actual</t>
        </is>
      </c>
      <c r="J2356" s="1050" t="inlineStr">
        <is>
          <t>Projected</t>
        </is>
      </c>
      <c r="K2356" s="1048" t="inlineStr">
        <is>
          <t>LAST YEAR</t>
        </is>
      </c>
      <c r="L2356" s="1049" t="inlineStr">
        <is>
          <t>Actual</t>
        </is>
      </c>
      <c r="M2356" s="1050" t="inlineStr">
        <is>
          <t>Projected</t>
        </is>
      </c>
      <c r="N2356" s="1048" t="inlineStr">
        <is>
          <t>LAST YEAR</t>
        </is>
      </c>
      <c r="O2356" s="1049" t="inlineStr">
        <is>
          <t>Actual</t>
        </is>
      </c>
      <c r="P2356" s="1050" t="inlineStr">
        <is>
          <t>Projected</t>
        </is>
      </c>
    </row>
    <row r="2357" ht="15.75" customHeight="1" s="2">
      <c r="A2357" s="459" t="inlineStr">
        <is>
          <t>Total Receipts</t>
        </is>
      </c>
      <c r="B2357" s="1643" t="n">
        <v>183038.37</v>
      </c>
      <c r="C2357" s="1643" t="n">
        <v>143349.96</v>
      </c>
      <c r="D2357" s="1622" t="n">
        <v>152800</v>
      </c>
      <c r="E2357" s="1643" t="n">
        <v>160334.59</v>
      </c>
      <c r="F2357" s="1643" t="n">
        <v>156290</v>
      </c>
      <c r="G2357" s="1645" t="n">
        <v>153580</v>
      </c>
      <c r="H2357" s="1643" t="n">
        <v>100811.64</v>
      </c>
      <c r="I2357" s="1631" t="n">
        <v>135113</v>
      </c>
      <c r="J2357" s="1645" t="n">
        <v>135670</v>
      </c>
      <c r="K2357" s="1643" t="n">
        <v>95381.06</v>
      </c>
      <c r="L2357" s="1643" t="n">
        <v>121304</v>
      </c>
      <c r="M2357" s="1645" t="n">
        <v>117030</v>
      </c>
      <c r="N2357" s="1643" t="n">
        <v>89734.52</v>
      </c>
      <c r="O2357" s="1631" t="n">
        <v>121948</v>
      </c>
      <c r="P2357" s="1622" t="n">
        <v>115980</v>
      </c>
    </row>
    <row r="2358" ht="15.75" customHeight="1" s="2">
      <c r="A2358" s="462" t="inlineStr">
        <is>
          <t>Nett Sales</t>
        </is>
      </c>
      <c r="B2358" s="1632" t="n">
        <v>166398.52</v>
      </c>
      <c r="C2358" s="1632" t="n">
        <v>130318</v>
      </c>
      <c r="D2358" s="1625" t="n">
        <v>138909</v>
      </c>
      <c r="E2358" s="1632" t="n">
        <v>145758.72</v>
      </c>
      <c r="F2358" s="1632" t="n">
        <v>142081</v>
      </c>
      <c r="G2358" s="1637" t="n">
        <v>139618</v>
      </c>
      <c r="H2358" s="1632" t="n">
        <v>91646.95</v>
      </c>
      <c r="I2358" s="1632" t="n">
        <v>122830</v>
      </c>
      <c r="J2358" s="1625" t="n">
        <v>123336</v>
      </c>
      <c r="K2358" s="1632" t="n">
        <v>86710.27</v>
      </c>
      <c r="L2358" s="1632" t="n">
        <v>110276.76</v>
      </c>
      <c r="M2358" s="1625" t="n">
        <v>106390</v>
      </c>
      <c r="N2358" s="1632" t="n">
        <v>81576.84</v>
      </c>
      <c r="O2358" s="1632" t="n">
        <v>110862</v>
      </c>
      <c r="P2358" s="1625" t="n">
        <v>105436</v>
      </c>
    </row>
    <row r="2359" ht="15.75" customHeight="1" s="2">
      <c r="A2359" s="462" t="inlineStr">
        <is>
          <t>Customers</t>
        </is>
      </c>
      <c r="B2359" s="565" t="n">
        <v>7877</v>
      </c>
      <c r="C2359" s="565" t="n">
        <v>6250</v>
      </c>
      <c r="D2359" s="466" t="n">
        <v>6570</v>
      </c>
      <c r="E2359" s="565" t="n">
        <v>7157</v>
      </c>
      <c r="F2359" s="565" t="n">
        <v>6630</v>
      </c>
      <c r="G2359" s="466" t="n">
        <v>6590</v>
      </c>
      <c r="H2359" s="565" t="n">
        <v>4422</v>
      </c>
      <c r="I2359" s="565" t="n">
        <v>5433</v>
      </c>
      <c r="J2359" s="466" t="n">
        <v>5710</v>
      </c>
      <c r="K2359" s="565" t="n">
        <v>4250</v>
      </c>
      <c r="L2359" s="565" t="n">
        <v>5075</v>
      </c>
      <c r="M2359" s="466" t="n">
        <v>5015</v>
      </c>
      <c r="N2359" s="565" t="n">
        <v>3925</v>
      </c>
      <c r="O2359" s="565" t="n">
        <v>5129</v>
      </c>
      <c r="P2359" s="1655" t="n">
        <v>5070</v>
      </c>
    </row>
    <row r="2360" ht="15.75" customHeight="1" s="2">
      <c r="A2360" s="462" t="inlineStr">
        <is>
          <t>Average Customer Spend</t>
        </is>
      </c>
      <c r="B2360" s="1647" t="n">
        <v>23.24</v>
      </c>
      <c r="C2360" s="1647" t="n">
        <v>22.93</v>
      </c>
      <c r="D2360" s="1628" t="n">
        <v>23.84</v>
      </c>
      <c r="E2360" s="1647" t="n">
        <v>22.88</v>
      </c>
      <c r="F2360" s="1647" t="n">
        <v>23.57</v>
      </c>
      <c r="G2360" s="1649" t="n">
        <v>23.88</v>
      </c>
      <c r="H2360" s="1647" t="n">
        <v>22.91</v>
      </c>
      <c r="I2360" s="1635" t="n">
        <v>24.86</v>
      </c>
      <c r="J2360" s="1649" t="n">
        <v>24.42</v>
      </c>
      <c r="K2360" s="1647" t="n">
        <v>22.44</v>
      </c>
      <c r="L2360" s="1647" t="n">
        <v>23.9</v>
      </c>
      <c r="M2360" s="1649" t="n">
        <v>23.96</v>
      </c>
      <c r="N2360" s="1647" t="n">
        <v>22.84</v>
      </c>
      <c r="O2360" s="1635" t="n">
        <v>23.77</v>
      </c>
      <c r="P2360" s="1628" t="n">
        <v>23.43</v>
      </c>
    </row>
    <row r="2361" ht="15.75" customHeight="1" s="2">
      <c r="A2361" s="462" t="inlineStr">
        <is>
          <t>Wage % to Total Receipts</t>
        </is>
      </c>
      <c r="B2361" s="860" t="n">
        <v>0.3411</v>
      </c>
      <c r="C2361" s="860" t="n">
        <v>0.3312</v>
      </c>
      <c r="D2361" s="470" t="n">
        <v>0.3188</v>
      </c>
      <c r="E2361" s="860" t="n">
        <v>0.3004</v>
      </c>
      <c r="F2361" s="860" t="n">
        <v>0.2975</v>
      </c>
      <c r="G2361" s="863" t="n">
        <v>0.3182</v>
      </c>
      <c r="H2361" s="860" t="n">
        <v>0.3021</v>
      </c>
      <c r="I2361" s="567" t="n">
        <v>0.3808</v>
      </c>
      <c r="J2361" s="863" t="n">
        <v>0.3112</v>
      </c>
      <c r="K2361" s="860" t="n">
        <v>0.3047</v>
      </c>
      <c r="L2361" s="860" t="n">
        <v>0.3344</v>
      </c>
      <c r="M2361" s="863" t="n">
        <v>0.3172</v>
      </c>
      <c r="N2361" s="860" t="n">
        <v>0.3135</v>
      </c>
      <c r="O2361" s="567" t="n">
        <v>0.3282</v>
      </c>
      <c r="P2361" s="470" t="n">
        <v>0.3244</v>
      </c>
    </row>
    <row r="2362" ht="15.75" customHeight="1" s="2">
      <c r="A2362" s="462" t="inlineStr">
        <is>
          <t>Wage % to Nett Sales</t>
        </is>
      </c>
      <c r="B2362" s="860" t="n">
        <v>0.3752</v>
      </c>
      <c r="C2362" s="860" t="n">
        <v>0.3643</v>
      </c>
      <c r="D2362" s="470" t="n">
        <v>0.3507</v>
      </c>
      <c r="E2362" s="860" t="n">
        <v>0.3304</v>
      </c>
      <c r="F2362" s="860" t="n">
        <v>0.3272</v>
      </c>
      <c r="G2362" s="863" t="n">
        <v>0.35</v>
      </c>
      <c r="H2362" s="860" t="n">
        <v>0.3323</v>
      </c>
      <c r="I2362" s="567" t="n">
        <v>0.4189</v>
      </c>
      <c r="J2362" s="863" t="n">
        <v>0.3423</v>
      </c>
      <c r="K2362" s="860" t="n">
        <v>0.3351</v>
      </c>
      <c r="L2362" s="860" t="n">
        <v>0.3679</v>
      </c>
      <c r="M2362" s="863" t="n">
        <v>0.349</v>
      </c>
      <c r="N2362" s="860" t="n">
        <v>0.3448</v>
      </c>
      <c r="O2362" s="567" t="n">
        <v>0.361</v>
      </c>
      <c r="P2362" s="470" t="n">
        <v>0.3563</v>
      </c>
    </row>
    <row r="2363" ht="15.75" customHeight="1" s="2">
      <c r="A2363" s="462" t="inlineStr">
        <is>
          <t>Productivity</t>
        </is>
      </c>
      <c r="B2363" s="568" t="n">
        <v>6.13</v>
      </c>
      <c r="C2363" s="568" t="n">
        <v>4.84</v>
      </c>
      <c r="D2363" s="472" t="n">
        <v>5</v>
      </c>
      <c r="E2363" s="568" t="n">
        <v>5.91</v>
      </c>
      <c r="F2363" s="568" t="n">
        <v>5.22</v>
      </c>
      <c r="G2363" s="472" t="n">
        <v>5</v>
      </c>
      <c r="H2363" s="568" t="n">
        <v>5.29</v>
      </c>
      <c r="I2363" s="568" t="n">
        <v>4.53</v>
      </c>
      <c r="J2363" s="472" t="n">
        <v>5</v>
      </c>
      <c r="K2363" s="568" t="n">
        <v>5.12</v>
      </c>
      <c r="L2363" s="568" t="n">
        <v>4.63</v>
      </c>
      <c r="M2363" s="472" t="n">
        <v>5</v>
      </c>
      <c r="N2363" s="568" t="n">
        <v>4.87</v>
      </c>
      <c r="O2363" s="568" t="n">
        <v>4.75</v>
      </c>
      <c r="P2363" s="472" t="n">
        <v>5</v>
      </c>
    </row>
    <row r="2364" ht="15.75" customHeight="1" s="2">
      <c r="A2364" s="462" t="inlineStr">
        <is>
          <t>Average Hourly Rate</t>
        </is>
      </c>
      <c r="B2364" s="568" t="n">
        <v>48.63</v>
      </c>
      <c r="C2364" s="568" t="n">
        <v>36.81</v>
      </c>
      <c r="D2364" s="1628" t="n">
        <v>38</v>
      </c>
      <c r="E2364" s="568" t="n">
        <v>39.74</v>
      </c>
      <c r="F2364" s="568" t="n">
        <v>36.58</v>
      </c>
      <c r="G2364" s="1649" t="n">
        <v>38</v>
      </c>
      <c r="H2364" s="568" t="n">
        <v>36.44</v>
      </c>
      <c r="I2364" s="568" t="n">
        <v>42.9</v>
      </c>
      <c r="J2364" s="1649" t="n">
        <v>38</v>
      </c>
      <c r="K2364" s="568" t="n">
        <v>35.03</v>
      </c>
      <c r="L2364" s="568" t="n">
        <v>37.03</v>
      </c>
      <c r="M2364" s="1649" t="n">
        <v>38</v>
      </c>
      <c r="N2364" s="568" t="n">
        <v>34.9</v>
      </c>
      <c r="O2364" s="568" t="n">
        <v>37.06</v>
      </c>
      <c r="P2364" s="1628" t="n">
        <v>38</v>
      </c>
    </row>
    <row r="2365" ht="15.75" customHeight="1" s="2">
      <c r="A2365" s="462" t="inlineStr">
        <is>
          <t>Total hours for productivity</t>
        </is>
      </c>
      <c r="B2365" s="568" t="n">
        <v>1284</v>
      </c>
      <c r="C2365" s="568" t="n">
        <v>1281</v>
      </c>
      <c r="D2365" s="466" t="n">
        <v>1282</v>
      </c>
      <c r="E2365" s="568" t="n">
        <v>1211.75</v>
      </c>
      <c r="F2365" s="568" t="n">
        <v>1271</v>
      </c>
      <c r="G2365" s="466" t="n">
        <v>1286</v>
      </c>
      <c r="H2365" s="568" t="n">
        <v>835.75</v>
      </c>
      <c r="I2365" s="568" t="n">
        <v>1199</v>
      </c>
      <c r="J2365" s="472" t="n">
        <v>1111</v>
      </c>
      <c r="K2365" s="568" t="n">
        <v>829.5</v>
      </c>
      <c r="L2365" s="568" t="n">
        <v>1095.05</v>
      </c>
      <c r="M2365" s="466" t="n">
        <v>977</v>
      </c>
      <c r="N2365" s="568" t="n">
        <v>806</v>
      </c>
      <c r="O2365" s="568" t="n">
        <v>1080</v>
      </c>
      <c r="P2365" s="466" t="n">
        <v>990</v>
      </c>
    </row>
    <row r="2366" ht="15.75" customHeight="1" s="2">
      <c r="A2366" s="462" t="inlineStr">
        <is>
          <t>Training Hours used</t>
        </is>
      </c>
      <c r="B2366" s="569" t="n"/>
      <c r="C2366" s="569" t="n"/>
      <c r="D2366" s="466" t="n"/>
      <c r="E2366" s="569" t="n"/>
      <c r="F2366" s="569" t="n">
        <v>15</v>
      </c>
      <c r="G2366" s="466" t="n"/>
      <c r="H2366" s="569" t="n">
        <v>19</v>
      </c>
      <c r="I2366" s="569" t="n"/>
      <c r="J2366" s="466" t="n"/>
      <c r="K2366" s="569" t="n"/>
      <c r="L2366" s="569" t="n"/>
      <c r="M2366" s="466" t="n"/>
      <c r="N2366" s="569" t="n">
        <v>36.5</v>
      </c>
      <c r="O2366" s="569" t="n">
        <v>25</v>
      </c>
      <c r="P2366" s="466" t="n"/>
    </row>
    <row r="2367" ht="15.75" customHeight="1" s="2" thickBot="1">
      <c r="A2367" s="474" t="inlineStr">
        <is>
          <t>Number of hours used to cover sick leave</t>
        </is>
      </c>
      <c r="B2367" s="570" t="n"/>
      <c r="C2367" s="570" t="n"/>
      <c r="D2367" s="476" t="n"/>
      <c r="E2367" s="570" t="n"/>
      <c r="F2367" s="570" t="n"/>
      <c r="G2367" s="476" t="n"/>
      <c r="H2367" s="570" t="n">
        <v>34.75</v>
      </c>
      <c r="I2367" s="570" t="n"/>
      <c r="J2367" s="476" t="n"/>
      <c r="K2367" s="570" t="n"/>
      <c r="L2367" s="570" t="n"/>
      <c r="M2367" s="476" t="n"/>
      <c r="N2367" s="813" t="n"/>
      <c r="O2367" s="570" t="n"/>
      <c r="P2367" s="476" t="n"/>
    </row>
    <row r="2368" ht="15.75" customHeight="1" s="2" thickBot="1">
      <c r="A2368" s="477" t="inlineStr">
        <is>
          <t xml:space="preserve">Minimum Hours </t>
        </is>
      </c>
      <c r="B2368" s="1171" t="n"/>
      <c r="C2368" s="816" t="inlineStr">
        <is>
          <t>Projected</t>
        </is>
      </c>
      <c r="D2368" s="817" t="inlineStr">
        <is>
          <t>Rostered</t>
        </is>
      </c>
      <c r="E2368" s="1171" t="n"/>
      <c r="F2368" s="935" t="inlineStr">
        <is>
          <t>Projected</t>
        </is>
      </c>
      <c r="G2368" s="936" t="inlineStr">
        <is>
          <t>Rostered</t>
        </is>
      </c>
      <c r="H2368" s="935" t="inlineStr">
        <is>
          <t>Min Hrs</t>
        </is>
      </c>
      <c r="I2368" s="935" t="inlineStr">
        <is>
          <t>Projected</t>
        </is>
      </c>
      <c r="J2368" s="936" t="inlineStr">
        <is>
          <t>Rostered</t>
        </is>
      </c>
      <c r="K2368" s="935" t="inlineStr">
        <is>
          <t>Min Hrs</t>
        </is>
      </c>
      <c r="L2368" s="935" t="inlineStr">
        <is>
          <t>Projected</t>
        </is>
      </c>
      <c r="M2368" s="936" t="inlineStr">
        <is>
          <t>Rostered</t>
        </is>
      </c>
      <c r="N2368" s="1171" t="n"/>
      <c r="O2368" s="935" t="inlineStr">
        <is>
          <t>Projected</t>
        </is>
      </c>
      <c r="P2368" s="936" t="inlineStr">
        <is>
          <t>Rostered</t>
        </is>
      </c>
    </row>
    <row r="2369" ht="15.75" customHeight="1" s="2">
      <c r="A2369" s="479" t="inlineStr">
        <is>
          <t>Floor</t>
        </is>
      </c>
      <c r="B2369" s="1172" t="n"/>
      <c r="C2369" s="810" t="n"/>
      <c r="D2369" s="811" t="n"/>
      <c r="E2369" s="1172" t="n"/>
      <c r="F2369" s="810" t="n"/>
      <c r="G2369" s="811" t="n"/>
      <c r="H2369" s="810" t="n"/>
      <c r="I2369" s="810" t="n"/>
      <c r="J2369" s="811" t="n"/>
      <c r="K2369" s="810" t="n"/>
      <c r="L2369" s="810" t="n"/>
      <c r="M2369" s="811" t="n"/>
      <c r="N2369" s="1172" t="n"/>
      <c r="O2369" s="810" t="n"/>
      <c r="P2369" s="811" t="n"/>
    </row>
    <row r="2370" ht="15.75" customHeight="1" s="2" thickBot="1">
      <c r="A2370" s="481" t="inlineStr">
        <is>
          <t>Kitchen</t>
        </is>
      </c>
      <c r="B2370" s="1173" t="n"/>
      <c r="C2370" s="813" t="n"/>
      <c r="D2370" s="814" t="n"/>
      <c r="E2370" s="1173" t="n"/>
      <c r="F2370" s="840" t="n"/>
      <c r="G2370" s="814" t="n"/>
      <c r="H2370" s="813" t="n"/>
      <c r="I2370" s="840" t="n"/>
      <c r="J2370" s="814" t="n"/>
      <c r="K2370" s="813" t="n"/>
      <c r="L2370" s="840" t="n"/>
      <c r="M2370" s="814" t="n"/>
      <c r="N2370" s="1173" t="n"/>
      <c r="O2370" s="813" t="n"/>
      <c r="P2370" s="814" t="n"/>
    </row>
    <row r="2371" ht="15.75" customHeight="1" s="2" thickBot="1">
      <c r="A2371" s="834" t="n"/>
      <c r="B2371" s="836" t="n"/>
      <c r="C2371" s="1051" t="n"/>
      <c r="D2371" s="1051" t="n"/>
      <c r="E2371" s="839" t="n"/>
      <c r="F2371" s="1051" t="n"/>
      <c r="G2371" s="1051" t="n"/>
      <c r="H2371" s="839" t="n"/>
      <c r="I2371" s="1051" t="n"/>
      <c r="J2371" s="1051" t="n"/>
      <c r="K2371" s="839" t="n"/>
      <c r="L2371" s="1051" t="n"/>
      <c r="M2371" s="1051" t="n"/>
      <c r="N2371" s="839" t="n"/>
      <c r="O2371" s="835" t="n"/>
      <c r="P2371" s="835" t="n"/>
    </row>
    <row r="2372" ht="15.75" customHeight="1" s="2">
      <c r="A2372" s="506" t="inlineStr">
        <is>
          <t>Training explanation</t>
        </is>
      </c>
      <c r="B2372" s="837" t="n"/>
      <c r="C2372" s="1051" t="n"/>
      <c r="D2372" s="1051" t="n"/>
      <c r="E2372" s="837" t="n"/>
      <c r="F2372" s="1051" t="n"/>
      <c r="G2372" s="1051" t="n"/>
      <c r="H2372" s="837" t="n"/>
      <c r="I2372" s="1051" t="n"/>
      <c r="J2372" s="1051" t="n"/>
      <c r="K2372" s="837" t="n"/>
      <c r="L2372" s="1051" t="n"/>
      <c r="M2372" s="1051" t="n"/>
      <c r="N2372" s="837" t="n"/>
      <c r="O2372" s="835" t="n"/>
      <c r="P2372" s="835" t="n"/>
    </row>
    <row r="2373" ht="15.75" customHeight="1" s="2" thickBot="1">
      <c r="A2373" s="506" t="inlineStr">
        <is>
          <t>Who is being Trained</t>
        </is>
      </c>
      <c r="B2373" s="838" t="n"/>
      <c r="C2373" s="1052" t="n"/>
      <c r="D2373" s="1052" t="n"/>
      <c r="E2373" s="838" t="n"/>
      <c r="F2373" s="1052" t="n"/>
      <c r="G2373" s="1052" t="n"/>
      <c r="H2373" s="838" t="n"/>
      <c r="I2373" s="1052" t="n"/>
      <c r="J2373" s="1052" t="n"/>
      <c r="K2373" s="838" t="n"/>
      <c r="L2373" s="1052" t="n"/>
      <c r="M2373" s="1052" t="n"/>
      <c r="N2373" s="838" t="n"/>
    </row>
    <row r="2374" ht="15.75" customHeight="1" s="2" thickBot="1">
      <c r="A2374" s="506" t="n"/>
      <c r="C2374" s="523" t="inlineStr">
        <is>
          <t>floor</t>
        </is>
      </c>
      <c r="D2374" s="524" t="inlineStr">
        <is>
          <t>kitchen</t>
        </is>
      </c>
      <c r="E2374" s="509" t="n"/>
      <c r="F2374" s="507" t="inlineStr">
        <is>
          <t>floor</t>
        </is>
      </c>
      <c r="G2374" s="508" t="inlineStr">
        <is>
          <t>kitchen</t>
        </is>
      </c>
      <c r="H2374" s="510" t="n"/>
      <c r="I2374" s="535" t="inlineStr">
        <is>
          <t>floor</t>
        </is>
      </c>
      <c r="J2374" s="511" t="inlineStr">
        <is>
          <t>kitchen</t>
        </is>
      </c>
      <c r="K2374" s="512" t="n"/>
      <c r="L2374" s="535" t="inlineStr">
        <is>
          <t>floor</t>
        </is>
      </c>
      <c r="M2374" s="513" t="inlineStr">
        <is>
          <t>kitchen</t>
        </is>
      </c>
      <c r="N2374" s="512" t="n"/>
      <c r="O2374" s="535" t="inlineStr">
        <is>
          <t>floor</t>
        </is>
      </c>
      <c r="P2374" s="513" t="inlineStr">
        <is>
          <t>kitchen</t>
        </is>
      </c>
    </row>
    <row r="2375" ht="15.75" customHeight="1" s="2">
      <c r="A2375" s="506" t="n"/>
      <c r="C2375" s="525" t="n"/>
      <c r="D2375" s="527" t="n"/>
      <c r="E2375" s="514" t="n"/>
      <c r="F2375" s="525" t="n"/>
      <c r="G2375" s="527" t="n"/>
      <c r="H2375" s="515" t="n"/>
      <c r="I2375" s="531" t="n"/>
      <c r="J2375" s="824" t="n"/>
      <c r="K2375" s="515" t="n"/>
      <c r="L2375" s="536" t="n"/>
      <c r="M2375" s="532" t="n"/>
      <c r="N2375" s="515" t="n"/>
      <c r="O2375" s="536" t="n"/>
      <c r="P2375" s="532" t="n"/>
    </row>
    <row r="2376" ht="15.75" customHeight="1" s="2">
      <c r="C2376" s="891" t="n"/>
      <c r="D2376" s="526" t="n"/>
      <c r="E2376" s="514" t="n"/>
      <c r="F2376" s="891" t="n"/>
      <c r="G2376" s="526" t="n"/>
      <c r="H2376" s="516" t="n"/>
      <c r="I2376" s="1656" t="n"/>
      <c r="J2376" s="530" t="n"/>
      <c r="K2376" s="516" t="n"/>
      <c r="L2376" s="542" t="n"/>
      <c r="M2376" s="530" t="n"/>
      <c r="N2376" s="516" t="n"/>
      <c r="O2376" s="542" t="n"/>
      <c r="P2376" s="530" t="n"/>
    </row>
    <row r="2377" ht="15.75" customHeight="1" s="2">
      <c r="C2377" s="550" t="n"/>
      <c r="D2377" s="527" t="n"/>
      <c r="E2377" s="514" t="n"/>
      <c r="F2377" s="531" t="n"/>
      <c r="G2377" s="530" t="n"/>
      <c r="H2377" s="516" t="n"/>
      <c r="I2377" s="537" t="n"/>
      <c r="J2377" s="530" t="n"/>
      <c r="K2377" s="516" t="n"/>
      <c r="L2377" s="1657" t="n"/>
      <c r="M2377" s="539" t="n"/>
      <c r="N2377" s="516" t="n"/>
      <c r="O2377" s="542" t="n"/>
      <c r="P2377" s="539" t="n"/>
    </row>
    <row r="2378" ht="15.75" customHeight="1" s="2">
      <c r="C2378" s="561" t="n"/>
      <c r="D2378" s="561" t="n"/>
      <c r="E2378" s="519" t="n"/>
      <c r="F2378" s="517" t="n"/>
      <c r="G2378" s="1659" t="n"/>
      <c r="H2378" s="516" t="n"/>
      <c r="I2378" s="537" t="n"/>
      <c r="J2378" s="530" t="n"/>
      <c r="K2378" s="516" t="n"/>
      <c r="L2378" s="537" t="n"/>
      <c r="M2378" s="539" t="n"/>
      <c r="N2378" s="516" t="n"/>
      <c r="O2378" s="537" t="n"/>
      <c r="P2378" s="539" t="n"/>
    </row>
    <row r="2379" ht="15.75" customHeight="1" s="2">
      <c r="C2379" s="551" t="n"/>
      <c r="D2379" s="528" t="n"/>
      <c r="E2379" s="519" t="n"/>
      <c r="F2379" s="517" t="n"/>
      <c r="G2379" s="518" t="n"/>
      <c r="H2379" s="516" t="n"/>
      <c r="I2379" s="537" t="n"/>
      <c r="J2379" s="533" t="n"/>
      <c r="K2379" s="516" t="n"/>
      <c r="L2379" s="537" t="n"/>
      <c r="M2379" s="540" t="n"/>
      <c r="N2379" s="516" t="n"/>
      <c r="O2379" s="537" t="n"/>
      <c r="P2379" s="540" t="n"/>
    </row>
    <row r="2380" ht="15.75" customHeight="1" s="2" thickBot="1"/>
    <row r="2381" ht="15.75" customHeight="1" s="2" thickBot="1">
      <c r="B2381" s="1652" t="inlineStr">
        <is>
          <t>22.05.2023</t>
        </is>
      </c>
      <c r="C2381" s="1641" t="n"/>
      <c r="D2381" s="1502" t="n"/>
      <c r="E2381" s="1640" t="inlineStr">
        <is>
          <t>29.05.2023</t>
        </is>
      </c>
      <c r="F2381" s="1641" t="n"/>
      <c r="G2381" s="1502" t="n"/>
      <c r="H2381" s="1640" t="inlineStr">
        <is>
          <t>05.06.2023</t>
        </is>
      </c>
      <c r="I2381" s="1641" t="n"/>
      <c r="J2381" s="1502" t="n"/>
      <c r="K2381" s="1640" t="inlineStr">
        <is>
          <t>12.06.2023</t>
        </is>
      </c>
      <c r="L2381" s="1641" t="n"/>
      <c r="M2381" s="1502" t="n"/>
      <c r="N2381" s="1660" t="inlineStr">
        <is>
          <t>19.06.2023</t>
        </is>
      </c>
      <c r="O2381" s="1641" t="n"/>
      <c r="P2381" s="1502" t="n"/>
    </row>
    <row r="2382" ht="15.75" customHeight="1" s="2" thickBot="1">
      <c r="A2382" s="455" t="n"/>
      <c r="B2382" s="1048" t="inlineStr">
        <is>
          <t>LAST YEAR</t>
        </is>
      </c>
      <c r="C2382" s="1049" t="inlineStr">
        <is>
          <t>Actual</t>
        </is>
      </c>
      <c r="D2382" s="1050" t="inlineStr">
        <is>
          <t>Projected</t>
        </is>
      </c>
      <c r="E2382" s="1048" t="inlineStr">
        <is>
          <t>LAST YEAR</t>
        </is>
      </c>
      <c r="F2382" s="1049" t="inlineStr">
        <is>
          <t>Actual</t>
        </is>
      </c>
      <c r="G2382" s="1050" t="inlineStr">
        <is>
          <t>Projected</t>
        </is>
      </c>
      <c r="H2382" s="1048" t="inlineStr">
        <is>
          <t>LAST YEAR</t>
        </is>
      </c>
      <c r="I2382" s="1049" t="inlineStr">
        <is>
          <t>Actual</t>
        </is>
      </c>
      <c r="J2382" s="1050" t="inlineStr">
        <is>
          <t>Projected</t>
        </is>
      </c>
      <c r="K2382" s="1048" t="inlineStr">
        <is>
          <t>LAST YEAR</t>
        </is>
      </c>
      <c r="L2382" s="1049" t="inlineStr">
        <is>
          <t>Actual</t>
        </is>
      </c>
      <c r="M2382" s="1050" t="inlineStr">
        <is>
          <t>Projected</t>
        </is>
      </c>
      <c r="N2382" s="1048" t="inlineStr">
        <is>
          <t>LAST YEAR</t>
        </is>
      </c>
      <c r="O2382" s="1049" t="inlineStr">
        <is>
          <t>Actual</t>
        </is>
      </c>
      <c r="P2382" s="1050" t="inlineStr">
        <is>
          <t>Projected</t>
        </is>
      </c>
    </row>
    <row r="2383" ht="15.75" customHeight="1" s="2">
      <c r="A2383" s="459" t="inlineStr">
        <is>
          <t>Total Receipts</t>
        </is>
      </c>
      <c r="B2383" s="1643" t="n">
        <v>87270.74000000001</v>
      </c>
      <c r="C2383" s="1643" t="n">
        <v>113043.99</v>
      </c>
      <c r="D2383" s="1622" t="n">
        <v>123155</v>
      </c>
      <c r="E2383" s="1643" t="n">
        <v>124501.65</v>
      </c>
      <c r="F2383" s="1643" t="n">
        <v>169242</v>
      </c>
      <c r="G2383" s="1645" t="n">
        <v>147800</v>
      </c>
      <c r="H2383" s="1643" t="n">
        <v>155055.73</v>
      </c>
      <c r="I2383" s="1631" t="n">
        <v>182010</v>
      </c>
      <c r="J2383" s="1645" t="n">
        <v>163775</v>
      </c>
      <c r="K2383" s="1643" t="n">
        <v>189035.12</v>
      </c>
      <c r="L2383" s="1643" t="n">
        <v>229850</v>
      </c>
      <c r="M2383" s="1645" t="n">
        <v>187525</v>
      </c>
      <c r="N2383" s="1643" t="n">
        <v>141897.68</v>
      </c>
      <c r="O2383" s="1631" t="n">
        <v>177217</v>
      </c>
      <c r="P2383" s="1622" t="n">
        <v>155658</v>
      </c>
    </row>
    <row r="2384" ht="15.75" customHeight="1" s="2">
      <c r="A2384" s="462" t="inlineStr">
        <is>
          <t>Nett Sales</t>
        </is>
      </c>
      <c r="B2384" s="1632" t="n">
        <v>79337.03999999999</v>
      </c>
      <c r="C2384" s="1632" t="n">
        <v>102767</v>
      </c>
      <c r="D2384" s="1625" t="n">
        <v>111959</v>
      </c>
      <c r="E2384" s="1632" t="n">
        <v>113182.73</v>
      </c>
      <c r="F2384" s="1632" t="n">
        <v>153856</v>
      </c>
      <c r="G2384" s="1637" t="n">
        <v>134360</v>
      </c>
      <c r="H2384" s="1632" t="n">
        <v>140959</v>
      </c>
      <c r="I2384" s="1632" t="n">
        <v>165464</v>
      </c>
      <c r="J2384" s="1625" t="n">
        <v>148886</v>
      </c>
      <c r="K2384" s="1632" t="n">
        <v>171850.12</v>
      </c>
      <c r="L2384" s="1632" t="n">
        <v>208950</v>
      </c>
      <c r="M2384" s="1625" t="n">
        <v>170477</v>
      </c>
      <c r="N2384" s="1632" t="n">
        <v>128998.06</v>
      </c>
      <c r="O2384" s="1632" t="n">
        <v>161106</v>
      </c>
      <c r="P2384" s="1625" t="n">
        <v>141506</v>
      </c>
    </row>
    <row r="2385" ht="15.75" customHeight="1" s="2">
      <c r="A2385" s="462" t="inlineStr">
        <is>
          <t>Customers</t>
        </is>
      </c>
      <c r="B2385" s="565" t="n">
        <v>3946</v>
      </c>
      <c r="C2385" s="565" t="n">
        <v>4862</v>
      </c>
      <c r="D2385" s="466" t="n">
        <v>5240</v>
      </c>
      <c r="E2385" s="565" t="n">
        <v>5293</v>
      </c>
      <c r="F2385" s="565" t="n">
        <v>6811</v>
      </c>
      <c r="G2385" s="466" t="n">
        <v>6260</v>
      </c>
      <c r="H2385" s="565" t="n">
        <v>6759</v>
      </c>
      <c r="I2385" s="565" t="n">
        <v>7502</v>
      </c>
      <c r="J2385" s="466" t="n">
        <v>7050</v>
      </c>
      <c r="K2385" s="565" t="n">
        <v>8002</v>
      </c>
      <c r="L2385" s="565" t="n">
        <v>9267</v>
      </c>
      <c r="M2385" s="466" t="n">
        <v>7845</v>
      </c>
      <c r="N2385" s="565" t="n">
        <v>6207</v>
      </c>
      <c r="O2385" s="565" t="n">
        <v>7126</v>
      </c>
      <c r="P2385" s="1655" t="n">
        <v>6695</v>
      </c>
    </row>
    <row r="2386" ht="15.75" customHeight="1" s="2">
      <c r="A2386" s="462" t="inlineStr">
        <is>
          <t>Average Customer Spend</t>
        </is>
      </c>
      <c r="B2386" s="1647" t="n">
        <v>22.12</v>
      </c>
      <c r="C2386" s="1647" t="n">
        <v>23.25</v>
      </c>
      <c r="D2386" s="1628" t="n">
        <v>23.49</v>
      </c>
      <c r="E2386" s="1647" t="n">
        <v>23.52</v>
      </c>
      <c r="F2386" s="1647" t="n">
        <v>24.84</v>
      </c>
      <c r="G2386" s="1649" t="n">
        <v>23.71</v>
      </c>
      <c r="H2386" s="1647" t="n">
        <v>22.93</v>
      </c>
      <c r="I2386" s="1635" t="n">
        <v>24.26</v>
      </c>
      <c r="J2386" s="1649" t="n">
        <v>23.4</v>
      </c>
      <c r="K2386" s="1647" t="n">
        <v>23.62</v>
      </c>
      <c r="L2386" s="1647" t="n">
        <v>24.8</v>
      </c>
      <c r="M2386" s="1649" t="n">
        <v>24.03</v>
      </c>
      <c r="N2386" s="1647" t="n">
        <v>22.86</v>
      </c>
      <c r="O2386" s="1635" t="n">
        <v>22.6</v>
      </c>
      <c r="P2386" s="1628" t="n">
        <v>23.25</v>
      </c>
    </row>
    <row r="2387" ht="15.75" customHeight="1" s="2">
      <c r="A2387" s="462" t="inlineStr">
        <is>
          <t>Wage % to Total Receipts</t>
        </is>
      </c>
      <c r="B2387" s="860" t="n">
        <v>0.3721</v>
      </c>
      <c r="C2387" s="860" t="n">
        <v>0.3558</v>
      </c>
      <c r="D2387" s="470" t="n">
        <v>0.3235</v>
      </c>
      <c r="E2387" s="860" t="n">
        <v>0.2865</v>
      </c>
      <c r="F2387" s="860" t="n">
        <v>0.2743</v>
      </c>
      <c r="G2387" s="863" t="n">
        <v>0.3205</v>
      </c>
      <c r="H2387" s="860" t="n">
        <v>0.2775</v>
      </c>
      <c r="I2387" s="567" t="n">
        <v>0.2787</v>
      </c>
      <c r="J2387" s="863" t="n">
        <v>0.3248</v>
      </c>
      <c r="K2387" s="860" t="n">
        <v>0.2605</v>
      </c>
      <c r="L2387" s="860" t="n">
        <v>0.289</v>
      </c>
      <c r="M2387" s="863" t="n">
        <v>0.3163</v>
      </c>
      <c r="N2387" s="860" t="n">
        <v>0.2807</v>
      </c>
      <c r="O2387" s="567" t="n">
        <v>0.2707</v>
      </c>
      <c r="P2387" s="470" t="n">
        <v>0.3597</v>
      </c>
    </row>
    <row r="2388" ht="15.75" customHeight="1" s="2">
      <c r="A2388" s="462" t="inlineStr">
        <is>
          <t>Wage % to Nett Sales</t>
        </is>
      </c>
      <c r="B2388" s="860" t="n">
        <v>0.4093</v>
      </c>
      <c r="C2388" s="860" t="n">
        <v>0.3914</v>
      </c>
      <c r="D2388" s="470" t="n">
        <v>0.3559</v>
      </c>
      <c r="E2388" s="860" t="n">
        <v>0.3151</v>
      </c>
      <c r="F2388" s="860" t="n">
        <v>0.3017</v>
      </c>
      <c r="G2388" s="863" t="n">
        <v>0.3526</v>
      </c>
      <c r="H2388" s="860" t="n">
        <v>0.3053</v>
      </c>
      <c r="I2388" s="567" t="n">
        <v>0.3066</v>
      </c>
      <c r="J2388" s="863" t="n">
        <v>0.3573</v>
      </c>
      <c r="K2388" s="860" t="n">
        <v>0.2866</v>
      </c>
      <c r="L2388" s="860" t="n">
        <v>0.3179</v>
      </c>
      <c r="M2388" s="863" t="n">
        <v>0.348</v>
      </c>
      <c r="N2388" s="860" t="n">
        <v>0.3088</v>
      </c>
      <c r="O2388" s="567" t="n">
        <v>0.2978</v>
      </c>
      <c r="P2388" s="470" t="n">
        <v>0.3956</v>
      </c>
    </row>
    <row r="2389" ht="15.75" customHeight="1" s="2">
      <c r="A2389" s="462" t="inlineStr">
        <is>
          <t>Productivity</t>
        </is>
      </c>
      <c r="B2389" s="568" t="n">
        <v>4.9</v>
      </c>
      <c r="C2389" s="568" t="n">
        <v>4.53</v>
      </c>
      <c r="D2389" s="472" t="n">
        <v>5</v>
      </c>
      <c r="E2389" s="568" t="n">
        <v>5.35</v>
      </c>
      <c r="F2389" s="568" t="n">
        <v>5.43</v>
      </c>
      <c r="G2389" s="472" t="n">
        <v>5</v>
      </c>
      <c r="H2389" s="568" t="n">
        <v>5.72</v>
      </c>
      <c r="I2389" s="568" t="n">
        <v>5.52</v>
      </c>
      <c r="J2389" s="472" t="n">
        <v>5</v>
      </c>
      <c r="K2389" s="568" t="n">
        <v>6.14</v>
      </c>
      <c r="L2389" s="568" t="n">
        <v>5.93</v>
      </c>
      <c r="M2389" s="472" t="n">
        <v>5</v>
      </c>
      <c r="N2389" s="568" t="n">
        <v>5.62</v>
      </c>
      <c r="O2389" s="568" t="n">
        <v>5.44</v>
      </c>
      <c r="P2389" s="472" t="n">
        <v>5</v>
      </c>
    </row>
    <row r="2390" ht="15.75" customHeight="1" s="2">
      <c r="A2390" s="462" t="inlineStr">
        <is>
          <t>Average Hourly Rate</t>
        </is>
      </c>
      <c r="B2390" s="568" t="n">
        <v>40.33</v>
      </c>
      <c r="C2390" s="1661" t="n">
        <v>38</v>
      </c>
      <c r="D2390" s="1628" t="n">
        <v>38</v>
      </c>
      <c r="E2390" s="568" t="n">
        <v>36.03</v>
      </c>
      <c r="F2390" s="568" t="n">
        <v>37.37</v>
      </c>
      <c r="G2390" s="1649" t="n">
        <v>38</v>
      </c>
      <c r="H2390" s="568" t="n">
        <v>36.51</v>
      </c>
      <c r="I2390" s="568" t="n">
        <v>37.32</v>
      </c>
      <c r="J2390" s="1649" t="n">
        <v>38</v>
      </c>
      <c r="K2390" s="568" t="n">
        <v>37.82</v>
      </c>
      <c r="L2390" s="568" t="n">
        <v>42.47</v>
      </c>
      <c r="M2390" s="1649" t="n">
        <v>38</v>
      </c>
      <c r="N2390" s="568" t="n">
        <v>36.06</v>
      </c>
      <c r="O2390" s="568" t="n">
        <v>36.65</v>
      </c>
      <c r="P2390" s="1628" t="n">
        <v>38</v>
      </c>
    </row>
    <row r="2391" ht="15.75" customHeight="1" s="2">
      <c r="A2391" s="462" t="inlineStr">
        <is>
          <t>Total hours for productivity</t>
        </is>
      </c>
      <c r="B2391" s="568" t="n">
        <v>805.25</v>
      </c>
      <c r="C2391" s="568" t="n">
        <v>1072</v>
      </c>
      <c r="D2391" s="466" t="n">
        <v>1049</v>
      </c>
      <c r="E2391" s="568" t="n">
        <v>988.5</v>
      </c>
      <c r="F2391" s="568" t="n">
        <v>1242</v>
      </c>
      <c r="G2391" s="466" t="n">
        <v>1247</v>
      </c>
      <c r="H2391" s="568" t="n">
        <v>1182.25</v>
      </c>
      <c r="I2391" s="568" t="n">
        <v>1359</v>
      </c>
      <c r="J2391" s="472" t="n">
        <v>1400</v>
      </c>
      <c r="K2391" s="568" t="n">
        <v>1302.25</v>
      </c>
      <c r="L2391" s="568" t="n">
        <v>1564</v>
      </c>
      <c r="M2391" s="466" t="n">
        <v>1561</v>
      </c>
      <c r="N2391" s="568" t="n">
        <v>1104.75</v>
      </c>
      <c r="O2391" s="568" t="n">
        <v>1308.5</v>
      </c>
      <c r="P2391" s="466" t="n">
        <v>1333</v>
      </c>
    </row>
    <row r="2392" ht="15.75" customHeight="1" s="2">
      <c r="A2392" s="462" t="inlineStr">
        <is>
          <t>Training Hours used</t>
        </is>
      </c>
      <c r="B2392" s="569" t="n">
        <v>35</v>
      </c>
      <c r="C2392" s="569" t="n">
        <v>15</v>
      </c>
      <c r="D2392" s="466" t="n"/>
      <c r="E2392" s="569" t="n">
        <v>88</v>
      </c>
      <c r="F2392" s="569" t="n"/>
      <c r="G2392" s="466" t="n"/>
      <c r="H2392" s="569" t="n"/>
      <c r="I2392" s="569" t="n"/>
      <c r="J2392" s="466" t="n"/>
      <c r="K2392" s="569" t="n">
        <v>5.5</v>
      </c>
      <c r="L2392" s="569" t="n"/>
      <c r="M2392" s="466" t="n"/>
      <c r="N2392" s="569" t="n"/>
      <c r="O2392" s="569" t="n"/>
      <c r="P2392" s="466" t="n"/>
    </row>
    <row r="2393" ht="15.75" customHeight="1" s="2" thickBot="1">
      <c r="A2393" s="474" t="inlineStr">
        <is>
          <t>Number of hours used to cover sick leave</t>
        </is>
      </c>
      <c r="B2393" s="570" t="n"/>
      <c r="C2393" s="570" t="n"/>
      <c r="D2393" s="476" t="n"/>
      <c r="E2393" s="570" t="n"/>
      <c r="F2393" s="570" t="n"/>
      <c r="G2393" s="476" t="n"/>
      <c r="H2393" s="570" t="n"/>
      <c r="I2393" s="570" t="n"/>
      <c r="J2393" s="476" t="n"/>
      <c r="K2393" s="570" t="n"/>
      <c r="L2393" s="570" t="n"/>
      <c r="M2393" s="476" t="n"/>
      <c r="N2393" s="813" t="n"/>
      <c r="O2393" s="570" t="n"/>
      <c r="P2393" s="476" t="n"/>
    </row>
    <row r="2394" ht="15.75" customHeight="1" s="2" thickBot="1">
      <c r="A2394" s="477" t="inlineStr">
        <is>
          <t xml:space="preserve">Minimum Hours </t>
        </is>
      </c>
      <c r="B2394" s="1171" t="n"/>
      <c r="C2394" s="816" t="inlineStr">
        <is>
          <t>Projected</t>
        </is>
      </c>
      <c r="D2394" s="817" t="inlineStr">
        <is>
          <t>Rostered</t>
        </is>
      </c>
      <c r="E2394" s="1171" t="n"/>
      <c r="F2394" s="935" t="inlineStr">
        <is>
          <t>Projected</t>
        </is>
      </c>
      <c r="G2394" s="936" t="inlineStr">
        <is>
          <t>Rostered</t>
        </is>
      </c>
      <c r="H2394" s="935" t="inlineStr">
        <is>
          <t>Min Hrs</t>
        </is>
      </c>
      <c r="I2394" s="935" t="inlineStr">
        <is>
          <t>Projected</t>
        </is>
      </c>
      <c r="J2394" s="936" t="inlineStr">
        <is>
          <t>Rostered</t>
        </is>
      </c>
      <c r="K2394" s="935" t="inlineStr">
        <is>
          <t>Min Hrs</t>
        </is>
      </c>
      <c r="L2394" s="935" t="inlineStr">
        <is>
          <t>Projected</t>
        </is>
      </c>
      <c r="M2394" s="936" t="inlineStr">
        <is>
          <t>Rostered</t>
        </is>
      </c>
      <c r="N2394" s="1171" t="n"/>
      <c r="O2394" s="935" t="inlineStr">
        <is>
          <t>Projected</t>
        </is>
      </c>
      <c r="P2394" s="936" t="inlineStr">
        <is>
          <t>Rostered</t>
        </is>
      </c>
    </row>
    <row r="2395" ht="15.75" customHeight="1" s="2">
      <c r="A2395" s="479" t="inlineStr">
        <is>
          <t>Floor</t>
        </is>
      </c>
      <c r="B2395" s="1172" t="n"/>
      <c r="C2395" s="810" t="n"/>
      <c r="D2395" s="811" t="n"/>
      <c r="E2395" s="1172" t="n"/>
      <c r="F2395" s="810" t="n"/>
      <c r="G2395" s="811" t="n"/>
      <c r="H2395" s="810" t="n"/>
      <c r="I2395" s="810" t="n"/>
      <c r="J2395" s="811" t="n"/>
      <c r="K2395" s="810" t="n"/>
      <c r="L2395" s="810" t="n"/>
      <c r="M2395" s="811" t="n"/>
      <c r="N2395" s="1172" t="n"/>
      <c r="O2395" s="810" t="n"/>
      <c r="P2395" s="811" t="n"/>
    </row>
    <row r="2396" ht="15.75" customHeight="1" s="2" thickBot="1">
      <c r="A2396" s="481" t="inlineStr">
        <is>
          <t>Kitchen</t>
        </is>
      </c>
      <c r="B2396" s="1173" t="n"/>
      <c r="C2396" s="813" t="n"/>
      <c r="D2396" s="814" t="n"/>
      <c r="E2396" s="1173" t="n"/>
      <c r="F2396" s="840" t="n"/>
      <c r="G2396" s="814" t="n"/>
      <c r="H2396" s="813" t="n"/>
      <c r="I2396" s="840" t="n"/>
      <c r="J2396" s="814" t="n"/>
      <c r="K2396" s="813" t="n"/>
      <c r="L2396" s="840" t="n"/>
      <c r="M2396" s="814" t="n"/>
      <c r="N2396" s="1173" t="n"/>
      <c r="O2396" s="813" t="n"/>
      <c r="P2396" s="814" t="n"/>
    </row>
    <row r="2397" ht="15.75" customHeight="1" s="2" thickBot="1">
      <c r="A2397" s="834" t="n"/>
      <c r="B2397" s="836" t="n"/>
      <c r="C2397" s="1051" t="n"/>
      <c r="D2397" s="1051" t="n"/>
      <c r="E2397" s="839" t="n"/>
      <c r="F2397" s="1051" t="n"/>
      <c r="G2397" s="1051" t="n"/>
      <c r="H2397" s="839" t="n"/>
      <c r="I2397" s="1051" t="n"/>
      <c r="J2397" s="1051" t="n"/>
      <c r="K2397" s="839" t="n"/>
      <c r="L2397" s="1051" t="n"/>
      <c r="M2397" s="1051" t="n"/>
      <c r="N2397" s="839" t="n"/>
      <c r="O2397" s="835" t="n"/>
      <c r="P2397" s="835" t="n"/>
    </row>
    <row r="2398" ht="15.75" customHeight="1" s="2">
      <c r="A2398" s="506" t="inlineStr">
        <is>
          <t>Training explanation</t>
        </is>
      </c>
      <c r="B2398" s="837" t="n"/>
      <c r="C2398" s="1051" t="n"/>
      <c r="D2398" s="1051" t="n"/>
      <c r="E2398" s="837" t="n"/>
      <c r="F2398" s="1051" t="n"/>
      <c r="G2398" s="1051" t="n"/>
      <c r="H2398" s="837" t="n"/>
      <c r="I2398" s="1051" t="n"/>
      <c r="J2398" s="1051" t="n"/>
      <c r="K2398" s="837" t="n"/>
      <c r="L2398" s="1051" t="n"/>
      <c r="M2398" s="1051" t="n"/>
      <c r="N2398" s="837" t="n"/>
      <c r="O2398" s="835" t="n"/>
      <c r="P2398" s="835" t="n"/>
    </row>
    <row r="2399" ht="15.75" customHeight="1" s="2" thickBot="1">
      <c r="A2399" s="506" t="inlineStr">
        <is>
          <t>Who is being Trained</t>
        </is>
      </c>
      <c r="B2399" s="838" t="n"/>
      <c r="C2399" s="1052" t="n"/>
      <c r="D2399" s="1052" t="n"/>
      <c r="E2399" s="838" t="n"/>
      <c r="F2399" s="1052" t="n"/>
      <c r="G2399" s="1052" t="n"/>
      <c r="H2399" s="838" t="n"/>
      <c r="I2399" s="1052" t="n"/>
      <c r="J2399" s="1052" t="n"/>
      <c r="K2399" s="838" t="n"/>
      <c r="L2399" s="1052" t="n"/>
      <c r="M2399" s="1052" t="n"/>
      <c r="N2399" s="838" t="n"/>
    </row>
    <row r="2400" ht="15.75" customHeight="1" s="2" thickBot="1">
      <c r="A2400" s="506" t="n"/>
      <c r="C2400" s="523" t="inlineStr">
        <is>
          <t>floor</t>
        </is>
      </c>
      <c r="D2400" s="524" t="inlineStr">
        <is>
          <t>kitchen</t>
        </is>
      </c>
      <c r="E2400" s="509" t="n"/>
      <c r="F2400" s="507" t="inlineStr">
        <is>
          <t>floor</t>
        </is>
      </c>
      <c r="G2400" s="508" t="inlineStr">
        <is>
          <t>kitchen</t>
        </is>
      </c>
      <c r="H2400" s="510" t="n"/>
      <c r="I2400" s="535" t="inlineStr">
        <is>
          <t>floor</t>
        </is>
      </c>
      <c r="J2400" s="511" t="inlineStr">
        <is>
          <t>kitchen</t>
        </is>
      </c>
      <c r="K2400" s="512" t="n"/>
      <c r="L2400" s="535" t="inlineStr">
        <is>
          <t>floor</t>
        </is>
      </c>
      <c r="M2400" s="513" t="inlineStr">
        <is>
          <t>kitchen</t>
        </is>
      </c>
      <c r="N2400" s="512" t="n"/>
      <c r="O2400" s="535" t="inlineStr">
        <is>
          <t>floor</t>
        </is>
      </c>
      <c r="P2400" s="513" t="inlineStr">
        <is>
          <t>kitchen</t>
        </is>
      </c>
    </row>
    <row r="2401" ht="15.75" customHeight="1" s="2">
      <c r="A2401" s="506" t="n"/>
      <c r="C2401" s="525" t="n"/>
      <c r="D2401" s="527" t="n"/>
      <c r="E2401" s="514" t="n"/>
      <c r="F2401" s="525" t="n"/>
      <c r="G2401" s="527" t="n"/>
      <c r="H2401" s="515" t="n"/>
      <c r="I2401" s="531" t="n"/>
      <c r="J2401" s="824" t="n"/>
      <c r="K2401" s="515" t="n"/>
      <c r="L2401" s="536" t="n"/>
      <c r="M2401" s="532" t="n"/>
      <c r="N2401" s="515" t="n"/>
      <c r="O2401" s="536" t="n"/>
      <c r="P2401" s="532" t="n"/>
    </row>
    <row r="2402" ht="15.75" customHeight="1" s="2">
      <c r="C2402" s="891" t="n"/>
      <c r="D2402" s="526" t="n"/>
      <c r="E2402" s="514" t="n"/>
      <c r="F2402" s="891" t="n"/>
      <c r="G2402" s="526" t="n"/>
      <c r="H2402" s="516" t="n"/>
      <c r="I2402" s="1656" t="n"/>
      <c r="J2402" s="530" t="n"/>
      <c r="K2402" s="516" t="n"/>
      <c r="L2402" s="542" t="n"/>
      <c r="M2402" s="530" t="n"/>
      <c r="N2402" s="516" t="n"/>
      <c r="O2402" s="542" t="n"/>
      <c r="P2402" s="530" t="n"/>
    </row>
    <row r="2403" ht="15.75" customHeight="1" s="2">
      <c r="C2403" s="550" t="n"/>
      <c r="D2403" s="527" t="n"/>
      <c r="E2403" s="514" t="n"/>
      <c r="F2403" s="531" t="n"/>
      <c r="G2403" s="530" t="n"/>
      <c r="H2403" s="516" t="n"/>
      <c r="I2403" s="537" t="n"/>
      <c r="J2403" s="530" t="n"/>
      <c r="K2403" s="516" t="n"/>
      <c r="L2403" s="1657" t="n"/>
      <c r="M2403" s="539" t="n"/>
      <c r="N2403" s="516" t="n"/>
      <c r="O2403" s="542" t="n"/>
      <c r="P2403" s="539" t="n"/>
    </row>
    <row r="2404" ht="15.75" customHeight="1" s="2">
      <c r="C2404" s="561" t="n"/>
      <c r="D2404" s="561" t="n"/>
      <c r="E2404" s="519" t="n"/>
      <c r="F2404" s="517" t="n"/>
      <c r="G2404" s="1659" t="n"/>
      <c r="H2404" s="516" t="n"/>
      <c r="I2404" s="537" t="n"/>
      <c r="J2404" s="530" t="n"/>
      <c r="K2404" s="516" t="n"/>
      <c r="L2404" s="537" t="n"/>
      <c r="M2404" s="539" t="n"/>
      <c r="N2404" s="516" t="n"/>
      <c r="O2404" s="537" t="n"/>
      <c r="P2404" s="539" t="n"/>
    </row>
    <row r="2405" ht="15.75" customHeight="1" s="2">
      <c r="C2405" s="551" t="n"/>
      <c r="D2405" s="528" t="n"/>
      <c r="E2405" s="519" t="n"/>
      <c r="F2405" s="517" t="n"/>
      <c r="G2405" s="518" t="n"/>
      <c r="H2405" s="516" t="n"/>
      <c r="I2405" s="537" t="n"/>
      <c r="J2405" s="533" t="n"/>
      <c r="K2405" s="516" t="n"/>
      <c r="L2405" s="537" t="n"/>
      <c r="M2405" s="540" t="n"/>
      <c r="N2405" s="516" t="n"/>
      <c r="O2405" s="537" t="n"/>
      <c r="P2405" s="540" t="n"/>
    </row>
    <row r="2406" ht="15.75" customHeight="1" s="2" thickBot="1"/>
    <row r="2407" ht="15.75" customHeight="1" s="2" thickBot="1">
      <c r="B2407" s="1652" t="inlineStr">
        <is>
          <t>26.06.2023</t>
        </is>
      </c>
      <c r="C2407" s="1641" t="n"/>
      <c r="D2407" s="1502" t="n"/>
      <c r="E2407" s="1640" t="inlineStr">
        <is>
          <t>03.07.2023</t>
        </is>
      </c>
      <c r="F2407" s="1641" t="n"/>
      <c r="G2407" s="1502" t="n"/>
      <c r="H2407" s="1640" t="inlineStr">
        <is>
          <t>10.07.2023</t>
        </is>
      </c>
      <c r="I2407" s="1641" t="n"/>
      <c r="J2407" s="1502" t="n"/>
      <c r="K2407" s="1640" t="inlineStr">
        <is>
          <t>17.07.2023</t>
        </is>
      </c>
      <c r="L2407" s="1641" t="n"/>
      <c r="M2407" s="1502" t="n"/>
      <c r="N2407" s="1660" t="inlineStr">
        <is>
          <t>24.07.2023</t>
        </is>
      </c>
      <c r="O2407" s="1641" t="n"/>
      <c r="P2407" s="1502" t="n"/>
    </row>
    <row r="2408" ht="15.75" customHeight="1" s="2" thickBot="1">
      <c r="A2408" s="455" t="n"/>
      <c r="B2408" s="1048" t="inlineStr">
        <is>
          <t>LAST YEAR</t>
        </is>
      </c>
      <c r="C2408" s="1049" t="inlineStr">
        <is>
          <t>Actual</t>
        </is>
      </c>
      <c r="D2408" s="1050" t="inlineStr">
        <is>
          <t>Projected</t>
        </is>
      </c>
      <c r="E2408" s="1048" t="inlineStr">
        <is>
          <t>LAST YEAR</t>
        </is>
      </c>
      <c r="F2408" s="1049" t="inlineStr">
        <is>
          <t>Actual</t>
        </is>
      </c>
      <c r="G2408" s="1050" t="inlineStr">
        <is>
          <t>Projected</t>
        </is>
      </c>
      <c r="H2408" s="1048" t="inlineStr">
        <is>
          <t>LAST YEAR</t>
        </is>
      </c>
      <c r="I2408" s="1049" t="inlineStr">
        <is>
          <t>Actual</t>
        </is>
      </c>
      <c r="J2408" s="1050" t="inlineStr">
        <is>
          <t>Projected</t>
        </is>
      </c>
      <c r="K2408" s="1048" t="inlineStr">
        <is>
          <t>LAST YEAR</t>
        </is>
      </c>
      <c r="L2408" s="1049" t="inlineStr">
        <is>
          <t>Actual</t>
        </is>
      </c>
      <c r="M2408" s="1050" t="inlineStr">
        <is>
          <t>Projected</t>
        </is>
      </c>
      <c r="N2408" s="1048" t="inlineStr">
        <is>
          <t>LAST YEAR</t>
        </is>
      </c>
      <c r="O2408" s="1049" t="inlineStr">
        <is>
          <t>Actual</t>
        </is>
      </c>
      <c r="P2408" s="1050" t="inlineStr">
        <is>
          <t>Projected</t>
        </is>
      </c>
    </row>
    <row r="2409" ht="15.75" customHeight="1" s="2">
      <c r="A2409" s="459" t="inlineStr">
        <is>
          <t>Total Receipts</t>
        </is>
      </c>
      <c r="B2409" s="1643" t="n">
        <v>105570.95</v>
      </c>
      <c r="C2409" s="1643" t="n">
        <v>132439.11</v>
      </c>
      <c r="D2409" s="1622" t="n">
        <v>117068</v>
      </c>
      <c r="E2409" s="1643" t="n">
        <v>104390.13</v>
      </c>
      <c r="F2409" s="1643" t="n">
        <v>159022.77</v>
      </c>
      <c r="G2409" s="1645" t="n">
        <v>135203</v>
      </c>
      <c r="H2409" s="1643" t="n">
        <v>122148.78</v>
      </c>
      <c r="I2409" s="1631" t="n">
        <v>188435</v>
      </c>
      <c r="J2409" s="1645" t="n">
        <v>150383</v>
      </c>
      <c r="K2409" s="1643" t="n">
        <v>132710</v>
      </c>
      <c r="L2409" s="1643" t="n">
        <v>179011.76</v>
      </c>
      <c r="M2409" s="1645" t="n">
        <v>160820</v>
      </c>
      <c r="N2409" s="1643" t="n">
        <v>93706.47</v>
      </c>
      <c r="O2409" s="1631" t="n">
        <v>134232</v>
      </c>
      <c r="P2409" s="1622" t="n">
        <v>115560</v>
      </c>
    </row>
    <row r="2410" ht="15.75" customHeight="1" s="2">
      <c r="A2410" s="462" t="inlineStr">
        <is>
          <t>Nett Sales</t>
        </is>
      </c>
      <c r="B2410" s="1632" t="n">
        <v>95995</v>
      </c>
      <c r="C2410" s="1632" t="n">
        <v>120399</v>
      </c>
      <c r="D2410" s="1625" t="n">
        <v>106425</v>
      </c>
      <c r="E2410" s="1632" t="n">
        <v>94900.12</v>
      </c>
      <c r="F2410" s="1632" t="n">
        <v>144566</v>
      </c>
      <c r="G2410" s="1637" t="n">
        <v>122911</v>
      </c>
      <c r="H2410" s="1632" t="n">
        <v>111044.35</v>
      </c>
      <c r="I2410" s="1632" t="n">
        <v>171304</v>
      </c>
      <c r="J2410" s="1625" t="n">
        <v>136711</v>
      </c>
      <c r="K2410" s="1632" t="n">
        <v>120646</v>
      </c>
      <c r="L2410" s="1632" t="n">
        <v>162767</v>
      </c>
      <c r="M2410" s="1625" t="n">
        <v>146200</v>
      </c>
      <c r="N2410" s="1632" t="n">
        <v>85187.7</v>
      </c>
      <c r="O2410" s="1632" t="n">
        <v>122029</v>
      </c>
      <c r="P2410" s="1625" t="n">
        <v>105054</v>
      </c>
    </row>
    <row r="2411" ht="15.75" customHeight="1" s="2">
      <c r="A2411" s="462" t="inlineStr">
        <is>
          <t>Customers</t>
        </is>
      </c>
      <c r="B2411" s="565" t="n">
        <v>4884</v>
      </c>
      <c r="C2411" s="565" t="n">
        <v>5519</v>
      </c>
      <c r="D2411" s="466" t="n">
        <v>5110</v>
      </c>
      <c r="E2411" s="565" t="n">
        <v>4736</v>
      </c>
      <c r="F2411" s="565" t="n">
        <v>6677</v>
      </c>
      <c r="G2411" s="466" t="n">
        <v>5920</v>
      </c>
      <c r="H2411" s="565" t="n">
        <v>5880</v>
      </c>
      <c r="I2411" s="565" t="n">
        <v>7900</v>
      </c>
      <c r="J2411" s="466" t="n">
        <v>6605</v>
      </c>
      <c r="K2411" s="565" t="n">
        <v>6136</v>
      </c>
      <c r="L2411" s="565" t="n">
        <v>7298</v>
      </c>
      <c r="M2411" s="466" t="n">
        <v>7050</v>
      </c>
      <c r="N2411" s="565" t="n">
        <v>4248</v>
      </c>
      <c r="O2411" s="565" t="n">
        <v>5425</v>
      </c>
      <c r="P2411" s="1655" t="n">
        <v>5000</v>
      </c>
    </row>
    <row r="2412" ht="15.75" customHeight="1" s="2">
      <c r="A2412" s="462" t="inlineStr">
        <is>
          <t>Average Customer Spend</t>
        </is>
      </c>
      <c r="B2412" s="1647" t="n">
        <v>21.58</v>
      </c>
      <c r="C2412" s="1647" t="n">
        <v>23.99</v>
      </c>
      <c r="D2412" s="1628" t="n">
        <v>23.02</v>
      </c>
      <c r="E2412" s="1647" t="n">
        <v>22.03</v>
      </c>
      <c r="F2412" s="1647" t="n">
        <v>23.81</v>
      </c>
      <c r="G2412" s="1649" t="n">
        <v>22.94</v>
      </c>
      <c r="H2412" s="1647" t="n">
        <v>20.78</v>
      </c>
      <c r="I2412" s="1635" t="n">
        <v>23.85</v>
      </c>
      <c r="J2412" s="1649" t="n">
        <v>22.84</v>
      </c>
      <c r="K2412" s="1647" t="n">
        <v>21.6</v>
      </c>
      <c r="L2412" s="1647" t="n">
        <v>24.52</v>
      </c>
      <c r="M2412" s="1649" t="n">
        <v>22.88</v>
      </c>
      <c r="N2412" s="1647" t="n">
        <v>943.25</v>
      </c>
      <c r="O2412" s="1635" t="n">
        <v>24.74</v>
      </c>
      <c r="P2412" s="1628" t="n">
        <v>23.2</v>
      </c>
    </row>
    <row r="2413" ht="15.75" customHeight="1" s="2">
      <c r="A2413" s="462" t="inlineStr">
        <is>
          <t>Wage % to Total Receipts</t>
        </is>
      </c>
      <c r="B2413" s="860" t="n">
        <v>0.3303</v>
      </c>
      <c r="C2413" s="860" t="n">
        <v>0.3098</v>
      </c>
      <c r="D2413" s="470" t="n">
        <v>0.3649</v>
      </c>
      <c r="E2413" s="860" t="n">
        <v>0.3668</v>
      </c>
      <c r="F2413" s="860" t="n">
        <v>0.2823</v>
      </c>
      <c r="G2413" s="863" t="n">
        <v>0.3663</v>
      </c>
      <c r="H2413" s="860" t="n">
        <v>0.3413</v>
      </c>
      <c r="I2413" s="567" t="n">
        <v>0.287</v>
      </c>
      <c r="J2413" s="863" t="n">
        <v>0.3678</v>
      </c>
      <c r="K2413" s="860" t="n">
        <v>0.3256</v>
      </c>
      <c r="L2413" s="860" t="n">
        <v>0.2965</v>
      </c>
      <c r="M2413" s="863" t="n">
        <v>0.3672</v>
      </c>
      <c r="N2413" s="860" t="n">
        <v>0.3737</v>
      </c>
      <c r="O2413" s="567" t="n">
        <v>0.3448</v>
      </c>
      <c r="P2413" s="470" t="n">
        <v>0.362</v>
      </c>
    </row>
    <row r="2414" ht="15.75" customHeight="1" s="2">
      <c r="A2414" s="462" t="inlineStr">
        <is>
          <t>Wage % to Nett Sales</t>
        </is>
      </c>
      <c r="B2414" s="860" t="n">
        <v>0.3633</v>
      </c>
      <c r="C2414" s="860" t="n">
        <v>0.3408</v>
      </c>
      <c r="D2414" s="470" t="n">
        <v>0.401</v>
      </c>
      <c r="E2414" s="860" t="n">
        <v>0.4035</v>
      </c>
      <c r="F2414" s="860" t="n">
        <v>0.3106</v>
      </c>
      <c r="G2414" s="863" t="n">
        <v>0.4029</v>
      </c>
      <c r="H2414" s="860" t="n">
        <v>0.3754</v>
      </c>
      <c r="I2414" s="567" t="n">
        <v>0.3157</v>
      </c>
      <c r="J2414" s="863" t="n">
        <v>0.4046</v>
      </c>
      <c r="K2414" s="860" t="n">
        <v>0.3582</v>
      </c>
      <c r="L2414" s="860" t="n">
        <v>0.3261</v>
      </c>
      <c r="M2414" s="863" t="n">
        <v>0.4039</v>
      </c>
      <c r="N2414" s="860" t="n">
        <v>0.4111</v>
      </c>
      <c r="O2414" s="567" t="n">
        <v>0.3792</v>
      </c>
      <c r="P2414" s="470" t="n">
        <v>0.3982</v>
      </c>
    </row>
    <row r="2415" ht="15.75" customHeight="1" s="2">
      <c r="A2415" s="462" t="inlineStr">
        <is>
          <t>Productivity</t>
        </is>
      </c>
      <c r="B2415" s="568" t="n">
        <v>5.03</v>
      </c>
      <c r="C2415" s="568" t="n">
        <v>5.06</v>
      </c>
      <c r="D2415" s="472" t="n">
        <v>5</v>
      </c>
      <c r="E2415" s="568" t="n">
        <v>4.56</v>
      </c>
      <c r="F2415" s="568" t="n">
        <v>5.43</v>
      </c>
      <c r="G2415" s="472" t="n">
        <v>5</v>
      </c>
      <c r="H2415" s="568" t="n">
        <v>4.95</v>
      </c>
      <c r="I2415" s="568" t="n">
        <v>5.76</v>
      </c>
      <c r="J2415" s="472" t="n">
        <v>5</v>
      </c>
      <c r="K2415" s="568" t="n">
        <v>5.1</v>
      </c>
      <c r="L2415" s="568" t="n">
        <v>5.39</v>
      </c>
      <c r="M2415" s="472" t="n">
        <v>5</v>
      </c>
      <c r="N2415" s="568" t="n">
        <v>4.5</v>
      </c>
      <c r="O2415" s="568" t="n">
        <v>4.71</v>
      </c>
      <c r="P2415" s="472" t="n">
        <v>5</v>
      </c>
    </row>
    <row r="2416" ht="15.75" customHeight="1" s="2">
      <c r="A2416" s="462" t="inlineStr">
        <is>
          <t>Average Hourly Rate</t>
        </is>
      </c>
      <c r="B2416" s="568" t="n">
        <v>35.95</v>
      </c>
      <c r="C2416" s="568" t="n">
        <v>37.61</v>
      </c>
      <c r="D2416" s="1628" t="n">
        <v>38</v>
      </c>
      <c r="E2416" s="568" t="n">
        <v>36.84</v>
      </c>
      <c r="F2416" s="568" t="n">
        <v>36.48</v>
      </c>
      <c r="G2416" s="1649" t="n">
        <v>42</v>
      </c>
      <c r="H2416" s="568" t="n">
        <v>35.11</v>
      </c>
      <c r="I2416" s="568" t="n">
        <v>39.44</v>
      </c>
      <c r="J2416" s="1649" t="n">
        <v>42</v>
      </c>
      <c r="K2416" s="568" t="n">
        <v>35.91</v>
      </c>
      <c r="L2416" s="568" t="n">
        <v>39.2</v>
      </c>
      <c r="M2416" s="1649" t="n">
        <v>42</v>
      </c>
      <c r="N2416" s="568" t="n">
        <v>37.13</v>
      </c>
      <c r="O2416" s="568" t="n">
        <v>40.16</v>
      </c>
      <c r="P2416" s="1628" t="n">
        <v>42</v>
      </c>
    </row>
    <row r="2417" ht="15.75" customHeight="1" s="2">
      <c r="A2417" s="462" t="inlineStr">
        <is>
          <t>Total hours for productivity</t>
        </is>
      </c>
      <c r="B2417" s="568" t="n">
        <v>970.25</v>
      </c>
      <c r="C2417" s="568" t="n">
        <v>1091</v>
      </c>
      <c r="D2417" s="466" t="n">
        <v>1017</v>
      </c>
      <c r="E2417" s="568" t="n">
        <v>1039.25</v>
      </c>
      <c r="F2417" s="568" t="n">
        <v>1230</v>
      </c>
      <c r="G2417" s="466" t="n">
        <v>1179</v>
      </c>
      <c r="H2417" s="568" t="n">
        <v>1187.5</v>
      </c>
      <c r="I2417" s="568" t="n">
        <v>1371.25</v>
      </c>
      <c r="J2417" s="472" t="n">
        <v>1317</v>
      </c>
      <c r="K2417" s="568" t="n">
        <v>1203.25</v>
      </c>
      <c r="L2417" s="568" t="n">
        <v>1354.5</v>
      </c>
      <c r="M2417" s="466" t="n">
        <v>1406</v>
      </c>
      <c r="N2417" s="568" t="n"/>
      <c r="O2417" s="568" t="n">
        <v>1152.5</v>
      </c>
      <c r="P2417" s="466" t="n">
        <v>996</v>
      </c>
    </row>
    <row r="2418" ht="15.75" customHeight="1" s="2">
      <c r="A2418" s="462" t="inlineStr">
        <is>
          <t>Training Hours used</t>
        </is>
      </c>
      <c r="B2418" s="569" t="n">
        <v>44.5</v>
      </c>
      <c r="C2418" s="569" t="n">
        <v>40</v>
      </c>
      <c r="D2418" s="466" t="n">
        <v>20</v>
      </c>
      <c r="E2418" s="569" t="n">
        <v>30.25</v>
      </c>
      <c r="F2418" s="569" t="n">
        <v>47.5</v>
      </c>
      <c r="G2418" s="466" t="n"/>
      <c r="H2418" s="569" t="n"/>
      <c r="I2418" s="569" t="n"/>
      <c r="J2418" s="466" t="n"/>
      <c r="K2418" s="569" t="n">
        <v>55</v>
      </c>
      <c r="L2418" s="569" t="n">
        <v>21</v>
      </c>
      <c r="M2418" s="466" t="n">
        <v>15</v>
      </c>
      <c r="N2418" s="569" t="n">
        <v>22</v>
      </c>
      <c r="O2418" s="569" t="n">
        <v>37.5</v>
      </c>
      <c r="P2418" s="466" t="n">
        <v>45</v>
      </c>
    </row>
    <row r="2419" ht="15.75" customHeight="1" s="2" thickBot="1">
      <c r="A2419" s="474" t="inlineStr">
        <is>
          <t>Number of hours used to cover sick leave</t>
        </is>
      </c>
      <c r="B2419" s="570" t="n"/>
      <c r="C2419" s="570" t="n"/>
      <c r="D2419" s="476" t="n"/>
      <c r="E2419" s="570" t="n"/>
      <c r="F2419" s="570" t="n"/>
      <c r="G2419" s="476" t="n"/>
      <c r="H2419" s="570" t="n"/>
      <c r="I2419" s="570" t="n"/>
      <c r="J2419" s="476" t="n"/>
      <c r="K2419" s="570" t="n">
        <v>43.5</v>
      </c>
      <c r="L2419" s="570" t="n"/>
      <c r="M2419" s="476" t="n"/>
      <c r="N2419" s="813" t="n"/>
      <c r="O2419" s="570" t="n"/>
      <c r="P2419" s="476" t="n"/>
    </row>
    <row r="2420" ht="15.75" customHeight="1" s="2" thickBot="1">
      <c r="A2420" s="477" t="inlineStr">
        <is>
          <t xml:space="preserve">Minimum Hours </t>
        </is>
      </c>
      <c r="B2420" s="1171" t="n"/>
      <c r="C2420" s="816" t="inlineStr">
        <is>
          <t>Projected</t>
        </is>
      </c>
      <c r="D2420" s="817" t="inlineStr">
        <is>
          <t>Rostered</t>
        </is>
      </c>
      <c r="E2420" s="1171" t="n"/>
      <c r="F2420" s="935" t="inlineStr">
        <is>
          <t>Projected</t>
        </is>
      </c>
      <c r="G2420" s="936" t="inlineStr">
        <is>
          <t>Rostered</t>
        </is>
      </c>
      <c r="H2420" s="935" t="inlineStr">
        <is>
          <t>Min Hrs</t>
        </is>
      </c>
      <c r="I2420" s="935" t="inlineStr">
        <is>
          <t>Projected</t>
        </is>
      </c>
      <c r="J2420" s="936" t="inlineStr">
        <is>
          <t>Rostered</t>
        </is>
      </c>
      <c r="K2420" s="935" t="inlineStr">
        <is>
          <t>Min Hrs</t>
        </is>
      </c>
      <c r="L2420" s="935" t="inlineStr">
        <is>
          <t>Projected</t>
        </is>
      </c>
      <c r="M2420" s="936" t="inlineStr">
        <is>
          <t>Rostered</t>
        </is>
      </c>
      <c r="N2420" s="1171" t="n"/>
      <c r="O2420" s="935" t="inlineStr">
        <is>
          <t>Projected</t>
        </is>
      </c>
      <c r="P2420" s="936" t="inlineStr">
        <is>
          <t>Rostered</t>
        </is>
      </c>
    </row>
    <row r="2421" ht="15.75" customHeight="1" s="2">
      <c r="A2421" s="479" t="inlineStr">
        <is>
          <t>Floor</t>
        </is>
      </c>
      <c r="B2421" s="1172" t="n"/>
      <c r="C2421" s="810" t="n"/>
      <c r="D2421" s="811" t="n"/>
      <c r="E2421" s="1172" t="n"/>
      <c r="F2421" s="810" t="n"/>
      <c r="G2421" s="811" t="n"/>
      <c r="H2421" s="810" t="n"/>
      <c r="I2421" s="810" t="n"/>
      <c r="J2421" s="811" t="n"/>
      <c r="K2421" s="810" t="n"/>
      <c r="L2421" s="810" t="n"/>
      <c r="M2421" s="811" t="n"/>
      <c r="N2421" s="1172" t="n"/>
      <c r="O2421" s="810" t="n"/>
      <c r="P2421" s="811" t="n"/>
    </row>
    <row r="2422" ht="15.75" customHeight="1" s="2" thickBot="1">
      <c r="A2422" s="481" t="inlineStr">
        <is>
          <t>Kitchen</t>
        </is>
      </c>
      <c r="B2422" s="1173" t="n"/>
      <c r="C2422" s="813" t="n"/>
      <c r="D2422" s="814" t="n"/>
      <c r="E2422" s="1173" t="n"/>
      <c r="F2422" s="840" t="n"/>
      <c r="G2422" s="814" t="n"/>
      <c r="H2422" s="813" t="n"/>
      <c r="I2422" s="840" t="n"/>
      <c r="J2422" s="814" t="n"/>
      <c r="K2422" s="813" t="n"/>
      <c r="L2422" s="840" t="n"/>
      <c r="M2422" s="814" t="n"/>
      <c r="N2422" s="1173" t="n"/>
      <c r="O2422" s="813" t="n"/>
      <c r="P2422" s="814" t="n"/>
    </row>
    <row r="2423" ht="15.75" customHeight="1" s="2" thickBot="1">
      <c r="A2423" s="834" t="n"/>
      <c r="B2423" s="836" t="n"/>
      <c r="C2423" s="1051" t="n"/>
      <c r="D2423" s="1051" t="n"/>
      <c r="E2423" s="839" t="n"/>
      <c r="F2423" s="1051" t="n"/>
      <c r="G2423" s="1051" t="n"/>
      <c r="H2423" s="839" t="n"/>
      <c r="I2423" s="1051" t="n"/>
      <c r="J2423" s="1051" t="n"/>
      <c r="K2423" s="839" t="n"/>
      <c r="L2423" s="1051" t="n"/>
      <c r="M2423" s="1051" t="n"/>
      <c r="N2423" s="839" t="n"/>
      <c r="O2423" s="835" t="n"/>
      <c r="P2423" s="835" t="n"/>
    </row>
    <row r="2424" ht="15.75" customHeight="1" s="2">
      <c r="A2424" s="506" t="inlineStr">
        <is>
          <t>Training explanation</t>
        </is>
      </c>
      <c r="B2424" s="837" t="n"/>
      <c r="C2424" s="1051" t="n"/>
      <c r="D2424" s="1051" t="n"/>
      <c r="E2424" s="837" t="n"/>
      <c r="F2424" s="1051" t="n"/>
      <c r="G2424" s="1051" t="n"/>
      <c r="H2424" s="837" t="n"/>
      <c r="I2424" s="1051" t="n"/>
      <c r="J2424" s="1051" t="n"/>
      <c r="K2424" s="837" t="n"/>
      <c r="L2424" s="1051" t="n"/>
      <c r="M2424" s="1051" t="n"/>
      <c r="N2424" s="837" t="n"/>
      <c r="O2424" s="835" t="n"/>
      <c r="P2424" s="835" t="n"/>
    </row>
    <row r="2425" ht="15.75" customHeight="1" s="2" thickBot="1">
      <c r="A2425" s="506" t="inlineStr">
        <is>
          <t>Who is being Trained</t>
        </is>
      </c>
      <c r="B2425" s="838" t="n"/>
      <c r="C2425" s="1052" t="n"/>
      <c r="D2425" s="1052" t="n"/>
      <c r="E2425" s="838" t="n"/>
      <c r="F2425" s="1052" t="n"/>
      <c r="G2425" s="1052" t="n"/>
      <c r="H2425" s="838" t="n"/>
      <c r="I2425" s="1052" t="n"/>
      <c r="J2425" s="1052" t="n"/>
      <c r="K2425" s="838" t="n"/>
      <c r="L2425" s="1052" t="n"/>
      <c r="M2425" s="1052" t="n"/>
      <c r="N2425" s="838" t="n"/>
    </row>
    <row r="2426" ht="15.75" customHeight="1" s="2" thickBot="1">
      <c r="A2426" s="506" t="n"/>
      <c r="C2426" s="523" t="inlineStr">
        <is>
          <t>floor</t>
        </is>
      </c>
      <c r="D2426" s="524" t="inlineStr">
        <is>
          <t>kitchen</t>
        </is>
      </c>
      <c r="E2426" s="509" t="n"/>
      <c r="F2426" s="507" t="inlineStr">
        <is>
          <t>floor</t>
        </is>
      </c>
      <c r="G2426" s="508" t="inlineStr">
        <is>
          <t>kitchen</t>
        </is>
      </c>
      <c r="H2426" s="510" t="n"/>
      <c r="I2426" s="535" t="inlineStr">
        <is>
          <t>floor</t>
        </is>
      </c>
      <c r="J2426" s="511" t="inlineStr">
        <is>
          <t>kitchen</t>
        </is>
      </c>
      <c r="K2426" s="512" t="n"/>
      <c r="L2426" s="535" t="inlineStr">
        <is>
          <t>floor</t>
        </is>
      </c>
      <c r="M2426" s="513" t="inlineStr">
        <is>
          <t>kitchen</t>
        </is>
      </c>
      <c r="N2426" s="512" t="n"/>
      <c r="O2426" s="535" t="inlineStr">
        <is>
          <t>floor</t>
        </is>
      </c>
      <c r="P2426" s="513" t="inlineStr">
        <is>
          <t>kitchen</t>
        </is>
      </c>
    </row>
    <row r="2427" ht="15.75" customHeight="1" s="2">
      <c r="A2427" s="506" t="n"/>
      <c r="C2427" s="525" t="n"/>
      <c r="D2427" s="527" t="n"/>
      <c r="E2427" s="514" t="n"/>
      <c r="F2427" s="525" t="n"/>
      <c r="G2427" s="527" t="n"/>
      <c r="H2427" s="515" t="n"/>
      <c r="I2427" s="531" t="n"/>
      <c r="J2427" s="824" t="n"/>
      <c r="K2427" s="515" t="n"/>
      <c r="L2427" s="536" t="n"/>
      <c r="M2427" s="532" t="n"/>
      <c r="N2427" s="515" t="n"/>
      <c r="O2427" s="536" t="n"/>
      <c r="P2427" s="532" t="n"/>
    </row>
    <row r="2428" ht="15.75" customHeight="1" s="2">
      <c r="C2428" s="891" t="n"/>
      <c r="D2428" s="526" t="n"/>
      <c r="E2428" s="514" t="n"/>
      <c r="F2428" s="891" t="n"/>
      <c r="G2428" s="526" t="n"/>
      <c r="H2428" s="516" t="n"/>
      <c r="I2428" s="1656" t="n"/>
      <c r="J2428" s="530" t="n"/>
      <c r="K2428" s="516" t="n"/>
      <c r="L2428" s="542" t="n"/>
      <c r="M2428" s="530" t="n"/>
      <c r="N2428" s="516" t="n"/>
      <c r="O2428" s="542" t="n"/>
      <c r="P2428" s="530" t="n"/>
    </row>
    <row r="2429" ht="15.75" customHeight="1" s="2">
      <c r="C2429" s="550" t="n"/>
      <c r="D2429" s="527" t="n"/>
      <c r="E2429" s="514" t="n"/>
      <c r="F2429" s="531" t="n"/>
      <c r="G2429" s="530" t="n"/>
      <c r="H2429" s="516" t="n"/>
      <c r="I2429" s="537" t="n"/>
      <c r="J2429" s="530" t="n"/>
      <c r="K2429" s="516" t="n"/>
      <c r="L2429" s="1657" t="n"/>
      <c r="M2429" s="539" t="n"/>
      <c r="N2429" s="516" t="n"/>
      <c r="O2429" s="542" t="n"/>
      <c r="P2429" s="539" t="n"/>
    </row>
    <row r="2430" ht="15.75" customHeight="1" s="2">
      <c r="C2430" s="561" t="n"/>
      <c r="D2430" s="561" t="n"/>
      <c r="E2430" s="519" t="n"/>
      <c r="F2430" s="517" t="n"/>
      <c r="G2430" s="1659" t="n"/>
      <c r="H2430" s="516" t="n"/>
      <c r="I2430" s="537" t="n"/>
      <c r="J2430" s="530" t="n"/>
      <c r="K2430" s="516" t="n"/>
      <c r="L2430" s="537" t="n"/>
      <c r="M2430" s="539" t="n"/>
      <c r="N2430" s="516" t="n"/>
      <c r="O2430" s="537" t="n"/>
      <c r="P2430" s="539" t="n"/>
    </row>
    <row r="2431" ht="15.75" customHeight="1" s="2">
      <c r="C2431" s="551" t="n"/>
      <c r="D2431" s="528" t="n"/>
      <c r="E2431" s="519" t="n"/>
      <c r="F2431" s="517" t="n"/>
      <c r="G2431" s="518" t="n"/>
      <c r="H2431" s="516" t="n"/>
      <c r="I2431" s="537" t="n"/>
      <c r="J2431" s="533" t="n"/>
      <c r="K2431" s="516" t="n"/>
      <c r="L2431" s="537" t="n"/>
      <c r="M2431" s="540" t="n"/>
      <c r="N2431" s="516" t="n"/>
      <c r="O2431" s="537" t="n"/>
      <c r="P2431" s="540" t="n"/>
    </row>
    <row r="2432" ht="15.75" customHeight="1" s="2" thickBot="1"/>
    <row r="2433" ht="15.75" customHeight="1" s="2" thickBot="1">
      <c r="B2433" s="1652" t="inlineStr">
        <is>
          <t>31.07.2023</t>
        </is>
      </c>
      <c r="C2433" s="1641" t="n"/>
      <c r="D2433" s="1502" t="n"/>
      <c r="E2433" s="1640" t="inlineStr">
        <is>
          <t>07.08.2023</t>
        </is>
      </c>
      <c r="F2433" s="1641" t="n"/>
      <c r="G2433" s="1502" t="n"/>
      <c r="H2433" s="1640" t="inlineStr">
        <is>
          <t>14.08.2023</t>
        </is>
      </c>
      <c r="I2433" s="1641" t="n"/>
      <c r="J2433" s="1502" t="n"/>
      <c r="K2433" s="1640" t="inlineStr">
        <is>
          <t>21.08.2023</t>
        </is>
      </c>
      <c r="L2433" s="1641" t="n"/>
      <c r="M2433" s="1502" t="n"/>
      <c r="N2433" s="1660" t="inlineStr">
        <is>
          <t>28.08.2023</t>
        </is>
      </c>
      <c r="O2433" s="1641" t="n"/>
      <c r="P2433" s="1502" t="n"/>
    </row>
    <row r="2434" ht="15.75" customHeight="1" s="2" thickBot="1">
      <c r="A2434" s="455" t="n"/>
      <c r="B2434" s="1048" t="inlineStr">
        <is>
          <t>LAST YEAR</t>
        </is>
      </c>
      <c r="C2434" s="1049" t="inlineStr">
        <is>
          <t>Actual</t>
        </is>
      </c>
      <c r="D2434" s="1050" t="inlineStr">
        <is>
          <t>Projected</t>
        </is>
      </c>
      <c r="E2434" s="1048" t="inlineStr">
        <is>
          <t>LAST YEAR</t>
        </is>
      </c>
      <c r="F2434" s="1049" t="inlineStr">
        <is>
          <t>Actual</t>
        </is>
      </c>
      <c r="G2434" s="1050" t="inlineStr">
        <is>
          <t>Projected</t>
        </is>
      </c>
      <c r="H2434" s="1048" t="inlineStr">
        <is>
          <t>LAST YEAR</t>
        </is>
      </c>
      <c r="I2434" s="1049" t="inlineStr">
        <is>
          <t>Actual</t>
        </is>
      </c>
      <c r="J2434" s="1050" t="inlineStr">
        <is>
          <t>Projected</t>
        </is>
      </c>
      <c r="K2434" s="1048" t="inlineStr">
        <is>
          <t>LAST YEAR</t>
        </is>
      </c>
      <c r="L2434" s="1049" t="inlineStr">
        <is>
          <t>Actual</t>
        </is>
      </c>
      <c r="M2434" s="1050" t="inlineStr">
        <is>
          <t>Projected</t>
        </is>
      </c>
      <c r="N2434" s="1048" t="inlineStr">
        <is>
          <t>LAST YEAR</t>
        </is>
      </c>
      <c r="O2434" s="1049" t="inlineStr">
        <is>
          <t>Actual</t>
        </is>
      </c>
      <c r="P2434" s="1050" t="inlineStr">
        <is>
          <t>Projected</t>
        </is>
      </c>
    </row>
    <row r="2435" ht="15.75" customHeight="1" s="2">
      <c r="A2435" s="459" t="inlineStr">
        <is>
          <t>Total Receipts</t>
        </is>
      </c>
      <c r="B2435" s="1643" t="n">
        <v>102662.18</v>
      </c>
      <c r="C2435" s="1643" t="n">
        <v>136330</v>
      </c>
      <c r="D2435" s="1622" t="n">
        <v>115560</v>
      </c>
      <c r="E2435" s="1643" t="n">
        <v>96200</v>
      </c>
      <c r="F2435" s="1643" t="n">
        <v>143745.83</v>
      </c>
      <c r="G2435" s="1645" t="n">
        <v>126888</v>
      </c>
      <c r="H2435" s="1643" t="n">
        <v>105965</v>
      </c>
      <c r="I2435" s="1631" t="n">
        <v>154599</v>
      </c>
      <c r="J2435" s="1645" t="n">
        <v>125500</v>
      </c>
      <c r="K2435" s="1643" t="n">
        <v>102737.68</v>
      </c>
      <c r="L2435" s="1643" t="n">
        <v>153263</v>
      </c>
      <c r="M2435" s="1645" t="n">
        <v>131289</v>
      </c>
      <c r="N2435" s="1643" t="n">
        <v>99491.98</v>
      </c>
      <c r="O2435" s="1631" t="n">
        <v>139804</v>
      </c>
      <c r="P2435" s="1622" t="n">
        <v>133370</v>
      </c>
    </row>
    <row r="2436" ht="15.75" customHeight="1" s="2">
      <c r="A2436" s="462" t="inlineStr">
        <is>
          <t>Nett Sales</t>
        </is>
      </c>
      <c r="B2436" s="1632" t="n">
        <v>93329.25</v>
      </c>
      <c r="C2436" s="1632" t="n">
        <v>123937</v>
      </c>
      <c r="D2436" s="1625" t="n">
        <v>105054</v>
      </c>
      <c r="E2436" s="1632" t="n">
        <v>87455</v>
      </c>
      <c r="F2436" s="1632" t="n">
        <v>130678.03</v>
      </c>
      <c r="G2436" s="1637" t="n">
        <v>115352</v>
      </c>
      <c r="H2436" s="1632" t="n">
        <v>96332.07000000001</v>
      </c>
      <c r="I2436" s="1632" t="n">
        <v>140544.55</v>
      </c>
      <c r="J2436" s="1625" t="n">
        <v>114090.9</v>
      </c>
      <c r="K2436" s="1632" t="n">
        <v>93397.89</v>
      </c>
      <c r="L2436" s="1632" t="n">
        <v>139330</v>
      </c>
      <c r="M2436" s="1625" t="n">
        <v>119361</v>
      </c>
      <c r="N2436" s="1632" t="n">
        <v>90447.25</v>
      </c>
      <c r="O2436" s="1632" t="n">
        <v>127095</v>
      </c>
      <c r="P2436" s="1625" t="n">
        <v>121245</v>
      </c>
    </row>
    <row r="2437" ht="15.75" customHeight="1" s="2">
      <c r="A2437" s="462" t="inlineStr">
        <is>
          <t>Customers</t>
        </is>
      </c>
      <c r="B2437" s="565" t="n">
        <v>4552</v>
      </c>
      <c r="C2437" s="565" t="n">
        <v>5687</v>
      </c>
      <c r="D2437" s="466" t="n">
        <v>5000</v>
      </c>
      <c r="E2437" s="565" t="n">
        <v>4211</v>
      </c>
      <c r="F2437" s="565" t="n">
        <v>5873</v>
      </c>
      <c r="G2437" s="466" t="n">
        <v>5495</v>
      </c>
      <c r="H2437" s="565" t="n">
        <v>4747</v>
      </c>
      <c r="I2437" s="565" t="n">
        <v>6071</v>
      </c>
      <c r="J2437" s="466" t="n">
        <v>5435</v>
      </c>
      <c r="K2437" s="565" t="n">
        <v>4562</v>
      </c>
      <c r="L2437" s="565" t="n">
        <v>6128</v>
      </c>
      <c r="M2437" s="466" t="n">
        <v>5625</v>
      </c>
      <c r="N2437" s="565" t="n">
        <v>4482</v>
      </c>
      <c r="O2437" s="565" t="n">
        <v>5892</v>
      </c>
      <c r="P2437" s="1655" t="n">
        <v>5710</v>
      </c>
    </row>
    <row r="2438" ht="15.75" customHeight="1" s="2">
      <c r="A2438" s="462" t="inlineStr">
        <is>
          <t>Average Customer Spend</t>
        </is>
      </c>
      <c r="B2438" s="1647" t="n">
        <v>22.55</v>
      </c>
      <c r="C2438" s="1647" t="n">
        <v>23.97</v>
      </c>
      <c r="D2438" s="1628" t="n">
        <v>23.2</v>
      </c>
      <c r="E2438" s="1647" t="n">
        <v>22.85</v>
      </c>
      <c r="F2438" s="1647" t="n">
        <v>24.47</v>
      </c>
      <c r="G2438" s="1649" t="n">
        <v>23.18</v>
      </c>
      <c r="H2438" s="1647" t="n">
        <v>22.32</v>
      </c>
      <c r="I2438" s="1635" t="n">
        <v>25.46</v>
      </c>
      <c r="J2438" s="1649" t="n">
        <v>23.13</v>
      </c>
      <c r="K2438" s="1647" t="n">
        <v>22.52</v>
      </c>
      <c r="L2438" s="1647" t="n">
        <v>25.01</v>
      </c>
      <c r="M2438" s="1649" t="n">
        <v>23.38</v>
      </c>
      <c r="N2438" s="1647" t="n">
        <v>22.21</v>
      </c>
      <c r="O2438" s="1635" t="n">
        <v>23.72</v>
      </c>
      <c r="P2438" s="1628" t="n">
        <v>23.4</v>
      </c>
    </row>
    <row r="2439" ht="15.75" customHeight="1" s="2">
      <c r="A2439" s="462" t="inlineStr">
        <is>
          <t>Wage % to Total Receipts</t>
        </is>
      </c>
      <c r="B2439" s="860" t="n">
        <v>0.3301</v>
      </c>
      <c r="C2439" s="860" t="n">
        <v>0.3299</v>
      </c>
      <c r="D2439" s="470" t="n">
        <v>0.3842</v>
      </c>
      <c r="E2439" s="860" t="n">
        <v>0.3492</v>
      </c>
      <c r="F2439" s="860" t="n">
        <v>0.3126</v>
      </c>
      <c r="G2439" s="863" t="n">
        <v>0.3279</v>
      </c>
      <c r="H2439" s="860" t="n">
        <v>0.314</v>
      </c>
      <c r="I2439" s="567" t="n">
        <v>0.304</v>
      </c>
      <c r="J2439" s="863" t="n">
        <v>0.3458</v>
      </c>
      <c r="K2439" s="860" t="n">
        <v>0.3321</v>
      </c>
      <c r="L2439" s="860" t="n">
        <v>0.3094</v>
      </c>
      <c r="M2439" s="863" t="n">
        <v>0.3421</v>
      </c>
      <c r="N2439" s="860" t="n">
        <v>0.3434</v>
      </c>
      <c r="O2439" s="567" t="n">
        <v>0.3251</v>
      </c>
      <c r="P2439" s="470" t="n">
        <v>0.3419</v>
      </c>
    </row>
    <row r="2440" ht="15.75" customHeight="1" s="2">
      <c r="A2440" s="462" t="inlineStr">
        <is>
          <t>Wage % to Nett Sales</t>
        </is>
      </c>
      <c r="B2440" s="860" t="n">
        <v>0.3631</v>
      </c>
      <c r="C2440" s="860" t="n">
        <v>0.3629</v>
      </c>
      <c r="D2440" s="470" t="n">
        <v>0.4227</v>
      </c>
      <c r="E2440" s="860" t="n">
        <v>0.3842</v>
      </c>
      <c r="F2440" s="860" t="n">
        <v>0.3439</v>
      </c>
      <c r="G2440" s="863" t="n">
        <v>0.3607</v>
      </c>
      <c r="H2440" s="860" t="n">
        <v>0.3453</v>
      </c>
      <c r="I2440" s="567" t="n">
        <v>0.3344</v>
      </c>
      <c r="J2440" s="863" t="n">
        <v>0.3804</v>
      </c>
      <c r="K2440" s="860" t="n">
        <v>0.3653</v>
      </c>
      <c r="L2440" s="860" t="n">
        <v>0.3404</v>
      </c>
      <c r="M2440" s="863" t="n">
        <v>0.3763</v>
      </c>
      <c r="N2440" s="860" t="n">
        <v>0.3738</v>
      </c>
      <c r="O2440" s="567" t="n">
        <v>0.3576</v>
      </c>
      <c r="P2440" s="470" t="n">
        <v>0.3761</v>
      </c>
    </row>
    <row r="2441" ht="15.75" customHeight="1" s="2">
      <c r="A2441" s="462" t="inlineStr">
        <is>
          <t>Productivity</t>
        </is>
      </c>
      <c r="B2441" s="568" t="n">
        <v>4.81</v>
      </c>
      <c r="C2441" s="568" t="n">
        <v>5.03</v>
      </c>
      <c r="D2441" s="472" t="n">
        <v>5</v>
      </c>
      <c r="E2441" s="568" t="n">
        <v>4.42</v>
      </c>
      <c r="F2441" s="568" t="n">
        <v>5.26</v>
      </c>
      <c r="G2441" s="472" t="n">
        <v>5</v>
      </c>
      <c r="H2441" s="568" t="n">
        <v>4.82</v>
      </c>
      <c r="I2441" s="568" t="n">
        <v>5.32</v>
      </c>
      <c r="J2441" s="472" t="n">
        <v>5</v>
      </c>
      <c r="K2441" s="568" t="n">
        <v>4.88</v>
      </c>
      <c r="L2441" s="568" t="n">
        <v>5.34</v>
      </c>
      <c r="M2441" s="472" t="n">
        <v>5</v>
      </c>
      <c r="N2441" s="568" t="n">
        <v>4.64</v>
      </c>
      <c r="O2441" s="568" t="n">
        <v>5.22</v>
      </c>
      <c r="P2441" s="472" t="n">
        <v>5</v>
      </c>
    </row>
    <row r="2442" ht="15.75" customHeight="1" s="2">
      <c r="A2442" s="462" t="inlineStr">
        <is>
          <t>Average Hourly Rate</t>
        </is>
      </c>
      <c r="B2442" s="568" t="n">
        <v>35.83</v>
      </c>
      <c r="C2442" s="568" t="n">
        <v>39.81</v>
      </c>
      <c r="D2442" s="1628" t="n">
        <v>38</v>
      </c>
      <c r="E2442" s="568" t="n">
        <v>35.27</v>
      </c>
      <c r="F2442" s="568" t="n">
        <v>40.28</v>
      </c>
      <c r="G2442" s="1649" t="n">
        <v>38</v>
      </c>
      <c r="H2442" s="568" t="n">
        <v>35.52</v>
      </c>
      <c r="I2442" s="568" t="n">
        <v>41.17</v>
      </c>
      <c r="J2442" s="1649" t="n">
        <v>40</v>
      </c>
      <c r="K2442" s="568" t="n">
        <v>36.52</v>
      </c>
      <c r="L2442" s="568" t="n">
        <v>41.33</v>
      </c>
      <c r="M2442" s="1649" t="n">
        <v>40</v>
      </c>
      <c r="N2442" s="568" t="n">
        <v>35.34</v>
      </c>
      <c r="O2442" s="568" t="n">
        <v>40.27</v>
      </c>
      <c r="P2442" s="1628" t="n">
        <v>40</v>
      </c>
    </row>
    <row r="2443" ht="15.75" customHeight="1" s="2">
      <c r="A2443" s="462" t="inlineStr">
        <is>
          <t>Total hours for productivity</t>
        </is>
      </c>
      <c r="B2443" s="568" t="n">
        <v>946</v>
      </c>
      <c r="C2443" s="568" t="n">
        <v>1129.75</v>
      </c>
      <c r="D2443" s="466" t="n">
        <v>1168</v>
      </c>
      <c r="E2443" s="568" t="n">
        <v>952.5</v>
      </c>
      <c r="F2443" s="568" t="n">
        <v>1115.5</v>
      </c>
      <c r="G2443" s="466" t="n">
        <v>1095</v>
      </c>
      <c r="H2443" s="568" t="n">
        <v>985</v>
      </c>
      <c r="I2443" s="568" t="n">
        <v>1141</v>
      </c>
      <c r="J2443" s="472" t="n">
        <v>1085</v>
      </c>
      <c r="K2443" s="568" t="n">
        <v>934.25</v>
      </c>
      <c r="L2443" s="568" t="n">
        <v>1147.5</v>
      </c>
      <c r="M2443" s="466" t="n">
        <v>1123</v>
      </c>
      <c r="N2443" s="568" t="n">
        <v>946.75</v>
      </c>
      <c r="O2443" s="568" t="n">
        <v>1128</v>
      </c>
      <c r="P2443" s="466" t="n">
        <v>1140</v>
      </c>
    </row>
    <row r="2444" ht="15.75" customHeight="1" s="2">
      <c r="A2444" s="462" t="inlineStr">
        <is>
          <t>Training Hours used</t>
        </is>
      </c>
      <c r="B2444" s="569" t="n"/>
      <c r="C2444" s="569" t="n">
        <v>35.5</v>
      </c>
      <c r="D2444" s="466" t="n"/>
      <c r="E2444" s="569" t="n"/>
      <c r="F2444" s="569" t="n">
        <v>10</v>
      </c>
      <c r="G2444" s="466" t="n"/>
      <c r="H2444" s="569" t="n"/>
      <c r="I2444" s="569" t="n">
        <v>10</v>
      </c>
      <c r="J2444" s="466" t="n">
        <v>10</v>
      </c>
      <c r="K2444" s="569" t="n"/>
      <c r="L2444" s="569" t="n">
        <v>36.5</v>
      </c>
      <c r="M2444" s="466" t="n"/>
      <c r="N2444" s="569" t="n"/>
      <c r="O2444" s="569" t="n"/>
      <c r="P2444" s="466" t="n"/>
    </row>
    <row r="2445" ht="15.75" customHeight="1" s="2" thickBot="1">
      <c r="A2445" s="474" t="inlineStr">
        <is>
          <t>Number of hours used to cover sick leave</t>
        </is>
      </c>
      <c r="B2445" s="570" t="n"/>
      <c r="C2445" s="570" t="n"/>
      <c r="D2445" s="476" t="n"/>
      <c r="E2445" s="570" t="n"/>
      <c r="F2445" s="570" t="n"/>
      <c r="G2445" s="476" t="n"/>
      <c r="H2445" s="570" t="n"/>
      <c r="I2445" s="570" t="n"/>
      <c r="J2445" s="476" t="n"/>
      <c r="K2445" s="570" t="n"/>
      <c r="L2445" s="570" t="n"/>
      <c r="M2445" s="476" t="n"/>
      <c r="N2445" s="570" t="n"/>
      <c r="O2445" s="570" t="n"/>
      <c r="P2445" s="476" t="n"/>
    </row>
    <row r="2446" ht="15.75" customHeight="1" s="2" thickBot="1">
      <c r="A2446" s="477" t="inlineStr">
        <is>
          <t xml:space="preserve">Minimum Hours </t>
        </is>
      </c>
      <c r="B2446" s="1171" t="n"/>
      <c r="C2446" s="816" t="inlineStr">
        <is>
          <t>Projected</t>
        </is>
      </c>
      <c r="D2446" s="817" t="inlineStr">
        <is>
          <t>Rostered</t>
        </is>
      </c>
      <c r="E2446" s="1171" t="n"/>
      <c r="F2446" s="935" t="inlineStr">
        <is>
          <t>Projected</t>
        </is>
      </c>
      <c r="G2446" s="936" t="inlineStr">
        <is>
          <t>Rostered</t>
        </is>
      </c>
      <c r="H2446" s="935" t="inlineStr">
        <is>
          <t>Min Hrs</t>
        </is>
      </c>
      <c r="I2446" s="935" t="inlineStr">
        <is>
          <t>Projected</t>
        </is>
      </c>
      <c r="J2446" s="936" t="inlineStr">
        <is>
          <t>Rostered</t>
        </is>
      </c>
      <c r="K2446" s="935" t="inlineStr">
        <is>
          <t>Min Hrs</t>
        </is>
      </c>
      <c r="L2446" s="935" t="inlineStr">
        <is>
          <t>Projected</t>
        </is>
      </c>
      <c r="M2446" s="936" t="inlineStr">
        <is>
          <t>Rostered</t>
        </is>
      </c>
      <c r="N2446" s="1171" t="n"/>
      <c r="O2446" s="935" t="inlineStr">
        <is>
          <t>Projected</t>
        </is>
      </c>
      <c r="P2446" s="936" t="inlineStr">
        <is>
          <t>Rostered</t>
        </is>
      </c>
    </row>
    <row r="2447" ht="15.75" customHeight="1" s="2">
      <c r="A2447" s="479" t="inlineStr">
        <is>
          <t>Floor</t>
        </is>
      </c>
      <c r="B2447" s="1172" t="n"/>
      <c r="C2447" s="810" t="n"/>
      <c r="D2447" s="811" t="n"/>
      <c r="E2447" s="1172" t="n"/>
      <c r="F2447" s="810" t="n">
        <v>602</v>
      </c>
      <c r="G2447" s="811" t="n">
        <v>581</v>
      </c>
      <c r="H2447" s="810" t="n"/>
      <c r="I2447" s="810" t="n">
        <v>597</v>
      </c>
      <c r="J2447" s="811" t="n">
        <v>575.5</v>
      </c>
      <c r="K2447" s="810" t="n"/>
      <c r="L2447" s="810" t="n">
        <v>618</v>
      </c>
      <c r="M2447" s="811" t="n">
        <v>590</v>
      </c>
      <c r="N2447" s="1172" t="n"/>
      <c r="O2447" s="810" t="n">
        <v>627</v>
      </c>
      <c r="P2447" s="811" t="n">
        <v>589</v>
      </c>
    </row>
    <row r="2448" ht="15.75" customHeight="1" s="2" thickBot="1">
      <c r="A2448" s="481" t="inlineStr">
        <is>
          <t>Kitchen</t>
        </is>
      </c>
      <c r="B2448" s="1173" t="n"/>
      <c r="C2448" s="813" t="n"/>
      <c r="D2448" s="814" t="n"/>
      <c r="E2448" s="1173" t="n"/>
      <c r="F2448" s="840" t="n">
        <v>493</v>
      </c>
      <c r="G2448" s="814" t="n">
        <v>554.5</v>
      </c>
      <c r="H2448" s="813" t="n"/>
      <c r="I2448" s="840" t="n">
        <v>488</v>
      </c>
      <c r="J2448" s="814" t="n">
        <v>515</v>
      </c>
      <c r="K2448" s="813" t="n"/>
      <c r="L2448" s="840" t="n">
        <v>505</v>
      </c>
      <c r="M2448" s="814" t="n">
        <v>517</v>
      </c>
      <c r="N2448" s="1173" t="n"/>
      <c r="O2448" s="813" t="n">
        <v>513</v>
      </c>
      <c r="P2448" s="814" t="n">
        <v>542.5</v>
      </c>
    </row>
    <row r="2449" ht="15.75" customHeight="1" s="2" thickBot="1">
      <c r="A2449" s="834" t="n"/>
      <c r="B2449" s="836" t="n"/>
      <c r="C2449" s="1051" t="n"/>
      <c r="D2449" s="1051" t="n"/>
      <c r="E2449" s="839" t="n"/>
      <c r="F2449" s="1051" t="n"/>
      <c r="G2449" s="1051" t="n"/>
      <c r="H2449" s="839" t="n"/>
      <c r="I2449" s="1051" t="n"/>
      <c r="J2449" s="1051" t="n"/>
      <c r="K2449" s="839" t="n"/>
      <c r="L2449" s="1051" t="n"/>
      <c r="M2449" s="1051" t="n"/>
      <c r="N2449" s="839" t="n"/>
      <c r="O2449" s="835" t="n"/>
      <c r="P2449" s="835" t="n"/>
    </row>
    <row r="2450" ht="15.75" customHeight="1" s="2">
      <c r="A2450" s="506" t="inlineStr">
        <is>
          <t>Training explanation</t>
        </is>
      </c>
      <c r="B2450" s="837" t="n"/>
      <c r="C2450" s="1051" t="n"/>
      <c r="D2450" s="1051" t="n"/>
      <c r="E2450" s="837" t="n"/>
      <c r="F2450" s="1051" t="n"/>
      <c r="G2450" s="1051" t="n"/>
      <c r="H2450" s="837" t="n"/>
      <c r="I2450" s="1051" t="n"/>
      <c r="J2450" s="1051" t="n"/>
      <c r="K2450" s="837" t="n"/>
      <c r="L2450" s="1051" t="n"/>
      <c r="M2450" s="1051" t="n"/>
      <c r="N2450" s="837" t="n"/>
      <c r="O2450" s="835" t="n"/>
      <c r="P2450" s="835" t="n"/>
    </row>
    <row r="2451" ht="15.75" customHeight="1" s="2" thickBot="1">
      <c r="A2451" s="506" t="inlineStr">
        <is>
          <t>Who is being Trained</t>
        </is>
      </c>
      <c r="B2451" s="838" t="n"/>
      <c r="C2451" s="1052" t="n"/>
      <c r="D2451" s="1052" t="n"/>
      <c r="E2451" s="838" t="n"/>
      <c r="F2451" s="1052" t="n"/>
      <c r="G2451" s="1052" t="n"/>
      <c r="H2451" s="838" t="n"/>
      <c r="I2451" s="1052" t="n"/>
      <c r="J2451" s="1052" t="n"/>
      <c r="K2451" s="838" t="n"/>
      <c r="L2451" s="1052" t="n"/>
      <c r="M2451" s="1052" t="n"/>
      <c r="N2451" s="838" t="n"/>
    </row>
    <row r="2452" ht="15.75" customHeight="1" s="2" thickBot="1">
      <c r="A2452" s="506" t="n"/>
      <c r="C2452" s="523" t="inlineStr">
        <is>
          <t>floor</t>
        </is>
      </c>
      <c r="D2452" s="524" t="inlineStr">
        <is>
          <t>kitchen</t>
        </is>
      </c>
      <c r="E2452" s="509" t="n"/>
      <c r="F2452" s="507" t="inlineStr">
        <is>
          <t>floor</t>
        </is>
      </c>
      <c r="G2452" s="508" t="inlineStr">
        <is>
          <t>kitchen</t>
        </is>
      </c>
      <c r="H2452" s="510" t="n"/>
      <c r="I2452" s="535" t="inlineStr">
        <is>
          <t>floor</t>
        </is>
      </c>
      <c r="J2452" s="511" t="inlineStr">
        <is>
          <t>kitchen</t>
        </is>
      </c>
      <c r="K2452" s="512" t="n"/>
      <c r="L2452" s="535" t="inlineStr">
        <is>
          <t>floor</t>
        </is>
      </c>
      <c r="M2452" s="513" t="inlineStr">
        <is>
          <t>kitchen</t>
        </is>
      </c>
      <c r="N2452" s="512" t="n"/>
      <c r="O2452" s="535" t="inlineStr">
        <is>
          <t>floor</t>
        </is>
      </c>
      <c r="P2452" s="513" t="inlineStr">
        <is>
          <t>kitchen</t>
        </is>
      </c>
    </row>
    <row r="2453" ht="15.75" customHeight="1" s="2">
      <c r="A2453" s="506" t="n"/>
      <c r="C2453" s="525" t="n"/>
      <c r="D2453" s="527" t="n"/>
      <c r="E2453" s="514" t="n"/>
      <c r="F2453" s="525" t="n"/>
      <c r="G2453" s="527" t="n"/>
      <c r="H2453" s="515" t="n"/>
      <c r="I2453" s="531" t="n"/>
      <c r="J2453" s="824" t="n"/>
      <c r="K2453" s="515" t="n"/>
      <c r="L2453" s="536" t="n"/>
      <c r="M2453" s="532" t="n"/>
      <c r="N2453" s="515" t="n"/>
      <c r="O2453" s="536" t="n"/>
      <c r="P2453" s="532" t="n"/>
    </row>
    <row r="2454" ht="15.75" customHeight="1" s="2">
      <c r="C2454" s="891" t="n"/>
      <c r="D2454" s="526" t="n"/>
      <c r="E2454" s="514" t="n"/>
      <c r="F2454" s="891" t="n"/>
      <c r="G2454" s="526" t="n"/>
      <c r="H2454" s="516" t="n"/>
      <c r="I2454" s="1656" t="n"/>
      <c r="J2454" s="530" t="n"/>
      <c r="K2454" s="516" t="n"/>
      <c r="L2454" s="542" t="n"/>
      <c r="M2454" s="530" t="n"/>
      <c r="N2454" s="516" t="n"/>
      <c r="O2454" s="542" t="n"/>
      <c r="P2454" s="530" t="n"/>
    </row>
    <row r="2455" ht="15.75" customHeight="1" s="2">
      <c r="C2455" s="550" t="n"/>
      <c r="D2455" s="527" t="n"/>
      <c r="E2455" s="514" t="n"/>
      <c r="F2455" s="531" t="n"/>
      <c r="G2455" s="530" t="n"/>
      <c r="H2455" s="516" t="n"/>
      <c r="I2455" s="537" t="n"/>
      <c r="J2455" s="530" t="n"/>
      <c r="K2455" s="516" t="n"/>
      <c r="L2455" s="1657" t="n"/>
      <c r="M2455" s="539" t="n"/>
      <c r="N2455" s="516" t="n"/>
      <c r="O2455" s="542" t="n"/>
      <c r="P2455" s="539" t="n"/>
    </row>
    <row r="2456" ht="15.75" customHeight="1" s="2">
      <c r="C2456" s="561" t="n"/>
      <c r="D2456" s="561" t="n"/>
      <c r="E2456" s="519" t="n"/>
      <c r="F2456" s="517" t="n"/>
      <c r="G2456" s="1659" t="n"/>
      <c r="H2456" s="516" t="n"/>
      <c r="I2456" s="537" t="n"/>
      <c r="J2456" s="530" t="n"/>
      <c r="K2456" s="516" t="n"/>
      <c r="L2456" s="537" t="n"/>
      <c r="M2456" s="539" t="n"/>
      <c r="N2456" s="516" t="n"/>
      <c r="O2456" s="537" t="n"/>
      <c r="P2456" s="539" t="n"/>
    </row>
    <row r="2457" ht="15.75" customHeight="1" s="2">
      <c r="C2457" s="551" t="n"/>
      <c r="D2457" s="528" t="n"/>
      <c r="E2457" s="519" t="n"/>
      <c r="F2457" s="517" t="n"/>
      <c r="G2457" s="518" t="n"/>
      <c r="H2457" s="516" t="n"/>
      <c r="I2457" s="537" t="n"/>
      <c r="J2457" s="533" t="n"/>
      <c r="K2457" s="516" t="n"/>
      <c r="L2457" s="537" t="n"/>
      <c r="M2457" s="540" t="n"/>
      <c r="N2457" s="516" t="n"/>
      <c r="O2457" s="537" t="n"/>
      <c r="P2457" s="540" t="n"/>
    </row>
    <row r="2458" ht="15.75" customHeight="1" s="2" thickBot="1"/>
    <row r="2459" ht="15.75" customHeight="1" s="2" thickBot="1">
      <c r="B2459" s="1652" t="inlineStr">
        <is>
          <t>04.09.2023</t>
        </is>
      </c>
      <c r="C2459" s="1641" t="n"/>
      <c r="D2459" s="1502" t="n"/>
      <c r="E2459" s="1640" t="inlineStr">
        <is>
          <t>11.09.2023</t>
        </is>
      </c>
      <c r="F2459" s="1641" t="n"/>
      <c r="G2459" s="1502" t="n"/>
      <c r="H2459" s="1640" t="inlineStr">
        <is>
          <t>18.09.2023</t>
        </is>
      </c>
      <c r="I2459" s="1641" t="n"/>
      <c r="J2459" s="1502" t="n"/>
      <c r="K2459" s="1640" t="inlineStr">
        <is>
          <t>25.09.2023</t>
        </is>
      </c>
      <c r="L2459" s="1641" t="n"/>
      <c r="M2459" s="1502" t="n"/>
      <c r="N2459" s="1660" t="inlineStr">
        <is>
          <t>02.10.2023</t>
        </is>
      </c>
      <c r="O2459" s="1641" t="n"/>
      <c r="P2459" s="1502" t="n"/>
    </row>
    <row r="2460" ht="15.75" customHeight="1" s="2" thickBot="1">
      <c r="A2460" s="455" t="n"/>
      <c r="B2460" s="1048" t="inlineStr">
        <is>
          <t>LAST YEAR</t>
        </is>
      </c>
      <c r="C2460" s="1049" t="inlineStr">
        <is>
          <t>Actual</t>
        </is>
      </c>
      <c r="D2460" s="1050" t="inlineStr">
        <is>
          <t>Projected</t>
        </is>
      </c>
      <c r="E2460" s="1048" t="inlineStr">
        <is>
          <t>LAST YEAR</t>
        </is>
      </c>
      <c r="F2460" s="1049" t="inlineStr">
        <is>
          <t>Actual</t>
        </is>
      </c>
      <c r="G2460" s="1050" t="inlineStr">
        <is>
          <t>Projected</t>
        </is>
      </c>
      <c r="H2460" s="1048" t="inlineStr">
        <is>
          <t>LAST YEAR</t>
        </is>
      </c>
      <c r="I2460" s="1049" t="inlineStr">
        <is>
          <t>Actual</t>
        </is>
      </c>
      <c r="J2460" s="1050" t="inlineStr">
        <is>
          <t>Projected</t>
        </is>
      </c>
      <c r="K2460" s="1048" t="inlineStr">
        <is>
          <t>LAST YEAR</t>
        </is>
      </c>
      <c r="L2460" s="1049" t="inlineStr">
        <is>
          <t>Actual</t>
        </is>
      </c>
      <c r="M2460" s="1050" t="inlineStr">
        <is>
          <t>Projected</t>
        </is>
      </c>
      <c r="N2460" s="1048" t="inlineStr">
        <is>
          <t>LAST YEAR</t>
        </is>
      </c>
      <c r="O2460" s="1049" t="inlineStr">
        <is>
          <t>Actual</t>
        </is>
      </c>
      <c r="P2460" s="1050" t="inlineStr">
        <is>
          <t>Projected</t>
        </is>
      </c>
    </row>
    <row r="2461" ht="15.75" customHeight="1" s="2">
      <c r="A2461" s="459" t="inlineStr">
        <is>
          <t>Total Receipts</t>
        </is>
      </c>
      <c r="B2461" s="1643" t="n">
        <v>106936.13</v>
      </c>
      <c r="C2461" s="1643" t="n">
        <v>127227</v>
      </c>
      <c r="D2461" s="1622" t="n">
        <v>138865</v>
      </c>
      <c r="E2461" s="1643" t="n">
        <v>116935.36</v>
      </c>
      <c r="F2461" s="1643" t="n">
        <v>118234</v>
      </c>
      <c r="G2461" s="1645" t="n">
        <v>141465</v>
      </c>
      <c r="H2461" s="1643" t="n">
        <v>116935.36</v>
      </c>
      <c r="I2461" s="1631" t="n">
        <v>124687</v>
      </c>
      <c r="J2461" s="1645" t="n">
        <v>132823</v>
      </c>
      <c r="K2461" s="1643" t="n">
        <v>173300</v>
      </c>
      <c r="L2461" s="1643" t="n">
        <v>152892</v>
      </c>
      <c r="M2461" s="1645" t="n">
        <v>144490</v>
      </c>
      <c r="N2461" s="1643" t="n">
        <v>173300</v>
      </c>
      <c r="O2461" s="1631" t="n">
        <v>204912</v>
      </c>
      <c r="P2461" s="1622" t="n">
        <v>194223</v>
      </c>
    </row>
    <row r="2462" ht="15.75" customHeight="1" s="2">
      <c r="A2462" s="462" t="inlineStr">
        <is>
          <t>Nett Sales</t>
        </is>
      </c>
      <c r="B2462" s="1632" t="n">
        <v>97214.66</v>
      </c>
      <c r="C2462" s="1632" t="n">
        <v>115661</v>
      </c>
      <c r="D2462" s="1625" t="n">
        <v>126240.9</v>
      </c>
      <c r="E2462" s="1632" t="n">
        <v>106304.8727272727</v>
      </c>
      <c r="F2462" s="1632" t="n">
        <v>107485</v>
      </c>
      <c r="G2462" s="1637" t="n">
        <v>128604</v>
      </c>
      <c r="H2462" s="1632" t="n">
        <v>106304.8727272727</v>
      </c>
      <c r="I2462" s="1632" t="n">
        <v>113352</v>
      </c>
      <c r="J2462" s="1625" t="n">
        <v>120747</v>
      </c>
      <c r="K2462" s="1632" t="n">
        <v>157546</v>
      </c>
      <c r="L2462" s="1632" t="n">
        <v>138993</v>
      </c>
      <c r="M2462" s="1625" t="n">
        <v>131354</v>
      </c>
      <c r="N2462" s="1632" t="n">
        <v>157546</v>
      </c>
      <c r="O2462" s="1632" t="n">
        <v>186283</v>
      </c>
      <c r="P2462" s="1625" t="n">
        <v>175565</v>
      </c>
    </row>
    <row r="2463" ht="15.75" customHeight="1" s="2">
      <c r="A2463" s="462" t="inlineStr">
        <is>
          <t>Customers</t>
        </is>
      </c>
      <c r="B2463" s="565" t="n">
        <v>4896</v>
      </c>
      <c r="C2463" s="565" t="n">
        <v>5311</v>
      </c>
      <c r="D2463" s="466" t="n">
        <v>5940</v>
      </c>
      <c r="E2463" s="565" t="n">
        <v>4931</v>
      </c>
      <c r="F2463" s="565" t="n">
        <v>4629</v>
      </c>
      <c r="G2463" s="466" t="n">
        <v>5865</v>
      </c>
      <c r="H2463" s="565" t="n">
        <v>4931</v>
      </c>
      <c r="I2463" s="565" t="n">
        <v>5136</v>
      </c>
      <c r="J2463" s="466" t="n">
        <v>5625</v>
      </c>
      <c r="K2463" s="565" t="n">
        <v>7303</v>
      </c>
      <c r="L2463" s="565" t="n">
        <v>6356</v>
      </c>
      <c r="M2463" s="466" t="n">
        <v>6147</v>
      </c>
      <c r="N2463" s="565" t="n">
        <v>7303</v>
      </c>
      <c r="O2463" s="565" t="n">
        <v>8186</v>
      </c>
      <c r="P2463" s="1655" t="n">
        <v>8100</v>
      </c>
    </row>
    <row r="2464" ht="15.75" customHeight="1" s="2">
      <c r="A2464" s="462" t="inlineStr">
        <is>
          <t>Average Customer Spend</t>
        </is>
      </c>
      <c r="B2464" s="1647" t="n">
        <v>21.93</v>
      </c>
      <c r="C2464" s="1647" t="n">
        <v>23.95</v>
      </c>
      <c r="D2464" s="1628" t="n">
        <v>23.42</v>
      </c>
      <c r="E2464" s="1647" t="n">
        <v>23.71</v>
      </c>
      <c r="F2464" s="1647" t="n">
        <v>25.54</v>
      </c>
      <c r="G2464" s="1649" t="n">
        <v>24.16</v>
      </c>
      <c r="H2464" s="1647" t="n">
        <v>23.71</v>
      </c>
      <c r="I2464" s="1635" t="n">
        <v>24.27</v>
      </c>
      <c r="J2464" s="1649" t="n">
        <v>23.65</v>
      </c>
      <c r="K2464" s="1647" t="n">
        <v>23.73</v>
      </c>
      <c r="L2464" s="1647" t="n">
        <v>24.05</v>
      </c>
      <c r="M2464" s="1649" t="n">
        <v>23.55</v>
      </c>
      <c r="N2464" s="1647" t="n">
        <v>23.73</v>
      </c>
      <c r="O2464" s="1635" t="n">
        <v>25.03</v>
      </c>
      <c r="P2464" s="1628" t="n">
        <v>24.05</v>
      </c>
    </row>
    <row r="2465" ht="15.75" customHeight="1" s="2">
      <c r="A2465" s="462" t="inlineStr">
        <is>
          <t>Wage % to Total Receipts</t>
        </is>
      </c>
      <c r="B2465" s="860" t="n">
        <v>0.3261</v>
      </c>
      <c r="C2465" s="860" t="n">
        <v>0.3522</v>
      </c>
      <c r="D2465" s="470" t="n">
        <v>0.3416</v>
      </c>
      <c r="E2465" s="860" t="n">
        <v>0.3263</v>
      </c>
      <c r="F2465" s="860" t="n">
        <v>0.3804</v>
      </c>
      <c r="G2465" s="863" t="n">
        <v>0.3311</v>
      </c>
      <c r="H2465" s="860" t="n">
        <v>0.3263</v>
      </c>
      <c r="I2465" s="567" t="n">
        <v>0.3487</v>
      </c>
      <c r="J2465" s="863" t="n">
        <v>0.3382</v>
      </c>
      <c r="K2465" s="860" t="n">
        <v>0.286</v>
      </c>
      <c r="L2465" s="860" t="n">
        <v>0.3068</v>
      </c>
      <c r="M2465" s="863" t="n">
        <v>0.3397</v>
      </c>
      <c r="N2465" s="860" t="n">
        <v>0.286</v>
      </c>
      <c r="O2465" s="567" t="n">
        <v>0.3199</v>
      </c>
      <c r="P2465" s="470" t="n">
        <v>0.3326</v>
      </c>
    </row>
    <row r="2466" ht="15.75" customHeight="1" s="2">
      <c r="A2466" s="462" t="inlineStr">
        <is>
          <t>Wage % to Nett Sales</t>
        </is>
      </c>
      <c r="B2466" s="860" t="n">
        <v>0.3587</v>
      </c>
      <c r="C2466" s="860" t="n">
        <v>0.3874</v>
      </c>
      <c r="D2466" s="470" t="n">
        <v>0.3758</v>
      </c>
      <c r="E2466" s="860" t="n">
        <v>0.3589</v>
      </c>
      <c r="F2466" s="860" t="n">
        <v>0.4185</v>
      </c>
      <c r="G2466" s="863" t="n">
        <v>0.3642</v>
      </c>
      <c r="H2466" s="860" t="n">
        <v>0.3589</v>
      </c>
      <c r="I2466" s="567" t="n">
        <v>0.3837</v>
      </c>
      <c r="J2466" s="863" t="n">
        <v>0.372</v>
      </c>
      <c r="K2466" s="860" t="n">
        <v>0.3146</v>
      </c>
      <c r="L2466" s="860" t="n">
        <v>0.3374</v>
      </c>
      <c r="M2466" s="863" t="n">
        <v>0.3736</v>
      </c>
      <c r="N2466" s="860" t="n">
        <v>0.3146</v>
      </c>
      <c r="O2466" s="567" t="n">
        <v>0.3519</v>
      </c>
      <c r="P2466" s="470" t="n">
        <v>0.3559</v>
      </c>
    </row>
    <row r="2467" ht="15.75" customHeight="1" s="2">
      <c r="A2467" s="462" t="inlineStr">
        <is>
          <t>Productivity</t>
        </is>
      </c>
      <c r="B2467" s="568" t="n">
        <v>5.02</v>
      </c>
      <c r="C2467" s="568" t="n">
        <v>4.66</v>
      </c>
      <c r="D2467" s="472" t="n">
        <v>5</v>
      </c>
      <c r="E2467" s="568" t="n">
        <v>4.81</v>
      </c>
      <c r="F2467" s="568" t="n">
        <v>4.19</v>
      </c>
      <c r="G2467" s="472" t="n">
        <v>5</v>
      </c>
      <c r="H2467" s="568" t="n">
        <v>4.81</v>
      </c>
      <c r="I2467" s="568" t="n">
        <v>4.56</v>
      </c>
      <c r="J2467" s="472" t="n">
        <v>5</v>
      </c>
      <c r="K2467" s="568" t="n">
        <v>5.68</v>
      </c>
      <c r="L2467" s="568" t="n">
        <v>5.24</v>
      </c>
      <c r="M2467" s="472" t="n">
        <v>5</v>
      </c>
      <c r="N2467" s="568" t="n">
        <v>5.68</v>
      </c>
      <c r="O2467" s="568" t="n">
        <v>5.59</v>
      </c>
      <c r="P2467" s="472" t="n">
        <v>5</v>
      </c>
    </row>
    <row r="2468" ht="15.75" customHeight="1" s="2">
      <c r="A2468" s="462" t="inlineStr">
        <is>
          <t>Average Hourly Rate</t>
        </is>
      </c>
      <c r="B2468" s="568" t="n">
        <v>35.73</v>
      </c>
      <c r="C2468" s="568" t="n">
        <v>39.36</v>
      </c>
      <c r="D2468" s="1628" t="n">
        <v>40</v>
      </c>
      <c r="E2468" s="568" t="n">
        <v>37.2</v>
      </c>
      <c r="F2468" s="568" t="n">
        <v>40.73</v>
      </c>
      <c r="G2468" s="1649" t="n">
        <v>40</v>
      </c>
      <c r="H2468" s="568" t="n">
        <v>37.2</v>
      </c>
      <c r="I2468" s="568" t="n">
        <v>38.58</v>
      </c>
      <c r="J2468" s="1649" t="n">
        <v>40</v>
      </c>
      <c r="K2468" s="568" t="n">
        <v>38.52</v>
      </c>
      <c r="L2468" s="568" t="n">
        <v>38.7</v>
      </c>
      <c r="M2468" s="1649" t="n">
        <v>40</v>
      </c>
      <c r="N2468" s="568" t="n">
        <v>38.52</v>
      </c>
      <c r="O2468" s="568" t="n">
        <v>44.79</v>
      </c>
      <c r="P2468" s="1628" t="n">
        <v>43.5</v>
      </c>
    </row>
    <row r="2469" ht="15.75" customHeight="1" s="2">
      <c r="A2469" s="462" t="inlineStr">
        <is>
          <t>Total hours for productivity</t>
        </is>
      </c>
      <c r="B2469" s="568" t="n">
        <v>975.75</v>
      </c>
      <c r="C2469" s="568" t="n">
        <v>1138.5</v>
      </c>
      <c r="D2469" s="466" t="n">
        <v>1186</v>
      </c>
      <c r="E2469" s="568" t="n">
        <v>1025.5</v>
      </c>
      <c r="F2469" s="568" t="n">
        <v>1104.5</v>
      </c>
      <c r="G2469" s="466" t="n">
        <v>1171</v>
      </c>
      <c r="H2469" s="568" t="n">
        <v>1025.5</v>
      </c>
      <c r="I2469" s="568" t="n">
        <v>1127</v>
      </c>
      <c r="J2469" s="472" t="n">
        <v>1123</v>
      </c>
      <c r="K2469" s="568" t="n">
        <v>1286.75</v>
      </c>
      <c r="L2469" s="568" t="n">
        <v>1212</v>
      </c>
      <c r="M2469" s="466" t="n">
        <v>1227</v>
      </c>
      <c r="N2469" s="568" t="n">
        <v>1286.75</v>
      </c>
      <c r="O2469" s="568" t="n">
        <v>1463</v>
      </c>
      <c r="P2469" s="466" t="n">
        <v>1615</v>
      </c>
    </row>
    <row r="2470" ht="15.75" customHeight="1" s="2">
      <c r="A2470" s="462" t="inlineStr">
        <is>
          <t>Training Hours used</t>
        </is>
      </c>
      <c r="B2470" s="569" t="n">
        <v>83</v>
      </c>
      <c r="C2470" s="569" t="n">
        <v>20</v>
      </c>
      <c r="D2470" s="466" t="n"/>
      <c r="E2470" s="569" t="n"/>
      <c r="F2470" s="569" t="n">
        <v>85</v>
      </c>
      <c r="G2470" s="466" t="n"/>
      <c r="H2470" s="569" t="n"/>
      <c r="I2470" s="569" t="n"/>
      <c r="J2470" s="466" t="n">
        <v>48</v>
      </c>
      <c r="K2470" s="569" t="n"/>
      <c r="L2470" s="569" t="n"/>
      <c r="M2470" s="466" t="n"/>
      <c r="N2470" s="569" t="n"/>
      <c r="O2470" s="569" t="n"/>
      <c r="P2470" s="466" t="n"/>
    </row>
    <row r="2471" ht="15.75" customHeight="1" s="2" thickBot="1">
      <c r="A2471" s="474" t="inlineStr">
        <is>
          <t>Number of hours used to cover sick leave</t>
        </is>
      </c>
      <c r="B2471" s="570" t="n"/>
      <c r="C2471" s="570" t="n"/>
      <c r="D2471" s="476" t="n"/>
      <c r="E2471" s="570" t="n"/>
      <c r="F2471" s="570" t="n"/>
      <c r="G2471" s="476" t="n"/>
      <c r="H2471" s="570" t="n"/>
      <c r="I2471" s="570" t="n"/>
      <c r="J2471" s="476" t="n"/>
      <c r="K2471" s="570" t="n"/>
      <c r="L2471" s="570" t="n"/>
      <c r="M2471" s="476" t="n"/>
      <c r="N2471" s="813" t="n"/>
      <c r="O2471" s="570" t="n"/>
      <c r="P2471" s="476" t="n"/>
    </row>
    <row r="2472" ht="15.75" customHeight="1" s="2" thickBot="1">
      <c r="A2472" s="477" t="inlineStr">
        <is>
          <t xml:space="preserve">Minimum Hours </t>
        </is>
      </c>
      <c r="B2472" s="1171" t="n"/>
      <c r="C2472" s="816" t="inlineStr">
        <is>
          <t>Projected</t>
        </is>
      </c>
      <c r="D2472" s="817" t="inlineStr">
        <is>
          <t>Rostered</t>
        </is>
      </c>
      <c r="E2472" s="1171" t="n"/>
      <c r="F2472" s="935" t="inlineStr">
        <is>
          <t>Projected</t>
        </is>
      </c>
      <c r="G2472" s="936" t="inlineStr">
        <is>
          <t>Rostered</t>
        </is>
      </c>
      <c r="H2472" s="935" t="inlineStr">
        <is>
          <t>Min Hrs</t>
        </is>
      </c>
      <c r="I2472" s="935" t="inlineStr">
        <is>
          <t>Projected</t>
        </is>
      </c>
      <c r="J2472" s="936" t="inlineStr">
        <is>
          <t>Rostered</t>
        </is>
      </c>
      <c r="K2472" s="935" t="inlineStr">
        <is>
          <t>Min Hrs</t>
        </is>
      </c>
      <c r="L2472" s="935" t="inlineStr">
        <is>
          <t>Projected</t>
        </is>
      </c>
      <c r="M2472" s="936" t="inlineStr">
        <is>
          <t>Rostered</t>
        </is>
      </c>
      <c r="N2472" s="1171" t="n"/>
      <c r="O2472" s="935" t="inlineStr">
        <is>
          <t>Projected</t>
        </is>
      </c>
      <c r="P2472" s="936" t="inlineStr">
        <is>
          <t>Rostered</t>
        </is>
      </c>
    </row>
    <row r="2473" ht="15.75" customHeight="1" s="2">
      <c r="A2473" s="479" t="inlineStr">
        <is>
          <t>Floor</t>
        </is>
      </c>
      <c r="B2473" s="1172" t="n"/>
      <c r="C2473" s="810" t="n">
        <v>652</v>
      </c>
      <c r="D2473" s="811" t="n">
        <v>614.5</v>
      </c>
      <c r="E2473" s="1172" t="n"/>
      <c r="F2473" s="810" t="n">
        <v>527</v>
      </c>
      <c r="G2473" s="811" t="n">
        <v>515</v>
      </c>
      <c r="H2473" s="810" t="n"/>
      <c r="I2473" s="810" t="n">
        <v>618</v>
      </c>
      <c r="J2473" s="811" t="n">
        <v>638</v>
      </c>
      <c r="K2473" s="810" t="n"/>
      <c r="L2473" s="810" t="n">
        <v>675</v>
      </c>
      <c r="M2473" s="811" t="n">
        <v>661.5</v>
      </c>
      <c r="N2473" s="1172" t="n"/>
      <c r="O2473" s="810" t="n">
        <v>888</v>
      </c>
      <c r="P2473" s="811" t="n">
        <v>777.5</v>
      </c>
    </row>
    <row r="2474" ht="15.75" customHeight="1" s="2" thickBot="1">
      <c r="A2474" s="481" t="inlineStr">
        <is>
          <t>Kitchen</t>
        </is>
      </c>
      <c r="B2474" s="1173" t="n"/>
      <c r="C2474" s="813" t="n">
        <v>534</v>
      </c>
      <c r="D2474" s="814" t="n">
        <v>527</v>
      </c>
      <c r="E2474" s="1173" t="n"/>
      <c r="F2474" s="840" t="n">
        <v>644</v>
      </c>
      <c r="G2474" s="814" t="n">
        <v>611.5</v>
      </c>
      <c r="H2474" s="813" t="n"/>
      <c r="I2474" s="840" t="n">
        <v>505</v>
      </c>
      <c r="J2474" s="814" t="n">
        <v>494.5</v>
      </c>
      <c r="K2474" s="813" t="n"/>
      <c r="L2474" s="840" t="n">
        <v>550</v>
      </c>
      <c r="M2474" s="814" t="n">
        <v>565.5</v>
      </c>
      <c r="N2474" s="1173" t="n"/>
      <c r="O2474" s="813" t="n">
        <v>727</v>
      </c>
      <c r="P2474" s="814" t="n">
        <v>691</v>
      </c>
    </row>
    <row r="2475" ht="15.75" customHeight="1" s="2" thickBot="1">
      <c r="A2475" s="834" t="n"/>
      <c r="B2475" s="836" t="n"/>
      <c r="C2475" s="1051" t="n"/>
      <c r="D2475" s="1051" t="n"/>
      <c r="E2475" s="839" t="n"/>
      <c r="F2475" s="1051" t="n"/>
      <c r="G2475" s="1051" t="n"/>
      <c r="H2475" s="839" t="n"/>
      <c r="I2475" s="1051" t="n"/>
      <c r="J2475" s="1051" t="n"/>
      <c r="K2475" s="839" t="n"/>
      <c r="L2475" s="1051" t="n"/>
      <c r="M2475" s="1051" t="n"/>
      <c r="N2475" s="839" t="n"/>
      <c r="O2475" s="835" t="n"/>
      <c r="P2475" s="835" t="n"/>
    </row>
    <row r="2476" ht="15.75" customHeight="1" s="2">
      <c r="A2476" s="506" t="inlineStr">
        <is>
          <t>Training explanation</t>
        </is>
      </c>
      <c r="B2476" s="837" t="n"/>
      <c r="C2476" s="1051" t="n"/>
      <c r="D2476" s="1051" t="n"/>
      <c r="E2476" s="837" t="n"/>
      <c r="F2476" s="1051" t="n"/>
      <c r="G2476" s="1051" t="n"/>
      <c r="H2476" s="837" t="n"/>
      <c r="I2476" s="1051" t="n"/>
      <c r="J2476" s="1051" t="n"/>
      <c r="K2476" s="837" t="n"/>
      <c r="L2476" s="1051" t="n"/>
      <c r="M2476" s="1051" t="n"/>
      <c r="N2476" s="837" t="n"/>
      <c r="O2476" s="835" t="n"/>
      <c r="P2476" s="835" t="n"/>
    </row>
    <row r="2477" ht="15.75" customHeight="1" s="2" thickBot="1">
      <c r="A2477" s="506" t="inlineStr">
        <is>
          <t>Who is being Trained</t>
        </is>
      </c>
      <c r="B2477" s="838" t="n"/>
      <c r="C2477" s="1052" t="n"/>
      <c r="D2477" s="1052" t="n"/>
      <c r="E2477" s="838" t="n"/>
      <c r="F2477" s="1052" t="n"/>
      <c r="G2477" s="1052" t="n"/>
      <c r="H2477" s="838" t="n"/>
      <c r="I2477" s="1052" t="n"/>
      <c r="J2477" s="1052" t="n"/>
      <c r="K2477" s="838" t="n"/>
      <c r="L2477" s="1052" t="n"/>
      <c r="M2477" s="1052" t="n"/>
      <c r="N2477" s="838" t="n"/>
    </row>
    <row r="2478" ht="15.75" customHeight="1" s="2" thickBot="1">
      <c r="A2478" s="506" t="n"/>
      <c r="C2478" s="523" t="inlineStr">
        <is>
          <t>floor</t>
        </is>
      </c>
      <c r="D2478" s="524" t="inlineStr">
        <is>
          <t>kitchen</t>
        </is>
      </c>
      <c r="E2478" s="509" t="n"/>
      <c r="F2478" s="507" t="inlineStr">
        <is>
          <t>floor</t>
        </is>
      </c>
      <c r="G2478" s="508" t="inlineStr">
        <is>
          <t>kitchen</t>
        </is>
      </c>
      <c r="H2478" s="510" t="n"/>
      <c r="I2478" s="535" t="inlineStr">
        <is>
          <t>floor</t>
        </is>
      </c>
      <c r="J2478" s="511" t="inlineStr">
        <is>
          <t>kitchen</t>
        </is>
      </c>
      <c r="K2478" s="512" t="n"/>
      <c r="L2478" s="535" t="inlineStr">
        <is>
          <t>floor</t>
        </is>
      </c>
      <c r="M2478" s="513" t="inlineStr">
        <is>
          <t>kitchen</t>
        </is>
      </c>
      <c r="N2478" s="512" t="n"/>
      <c r="O2478" s="535" t="inlineStr">
        <is>
          <t>floor</t>
        </is>
      </c>
      <c r="P2478" s="513" t="inlineStr">
        <is>
          <t>kitchen</t>
        </is>
      </c>
    </row>
    <row r="2479" ht="15.75" customHeight="1" s="2">
      <c r="A2479" s="506" t="n"/>
      <c r="C2479" s="525" t="n"/>
      <c r="D2479" s="527" t="n"/>
      <c r="E2479" s="514" t="n"/>
      <c r="F2479" s="525" t="n"/>
      <c r="G2479" s="527" t="n"/>
      <c r="H2479" s="515" t="n"/>
      <c r="I2479" s="531" t="n"/>
      <c r="J2479" s="824" t="n"/>
      <c r="K2479" s="515" t="n"/>
      <c r="L2479" s="536" t="n"/>
      <c r="M2479" s="532" t="n"/>
      <c r="N2479" s="515" t="n"/>
      <c r="O2479" s="536" t="n"/>
      <c r="P2479" s="532" t="n"/>
    </row>
    <row r="2480" ht="15.75" customHeight="1" s="2">
      <c r="C2480" s="891" t="n"/>
      <c r="D2480" s="526" t="n"/>
      <c r="E2480" s="514" t="n"/>
      <c r="F2480" s="891" t="n"/>
      <c r="G2480" s="526" t="n"/>
      <c r="H2480" s="516" t="n"/>
      <c r="I2480" s="1656" t="n"/>
      <c r="J2480" s="530" t="n"/>
      <c r="K2480" s="516" t="n"/>
      <c r="L2480" s="542" t="n"/>
      <c r="M2480" s="530" t="n"/>
      <c r="N2480" s="516" t="n"/>
      <c r="O2480" s="542" t="n"/>
      <c r="P2480" s="530" t="n"/>
    </row>
    <row r="2481" ht="15.75" customHeight="1" s="2">
      <c r="C2481" s="550" t="n"/>
      <c r="D2481" s="527" t="n"/>
      <c r="E2481" s="514" t="n"/>
      <c r="F2481" s="531" t="n"/>
      <c r="G2481" s="530" t="n"/>
      <c r="H2481" s="516" t="n"/>
      <c r="I2481" s="537" t="n"/>
      <c r="J2481" s="530" t="n"/>
      <c r="K2481" s="516" t="n"/>
      <c r="L2481" s="1657" t="n"/>
      <c r="M2481" s="539" t="n"/>
      <c r="N2481" s="516" t="n"/>
      <c r="O2481" s="542" t="n"/>
      <c r="P2481" s="539" t="n"/>
    </row>
    <row r="2482" ht="15.75" customHeight="1" s="2">
      <c r="C2482" s="561" t="n"/>
      <c r="D2482" s="561" t="n"/>
      <c r="E2482" s="519" t="n"/>
      <c r="F2482" s="517" t="n"/>
      <c r="G2482" s="1659" t="n"/>
      <c r="H2482" s="516" t="n"/>
      <c r="I2482" s="537" t="n"/>
      <c r="J2482" s="530" t="n"/>
      <c r="K2482" s="516" t="n"/>
      <c r="L2482" s="537" t="n"/>
      <c r="M2482" s="539" t="n"/>
      <c r="N2482" s="516" t="n"/>
      <c r="O2482" s="537" t="n"/>
      <c r="P2482" s="539" t="n"/>
    </row>
    <row r="2483" ht="15.75" customHeight="1" s="2">
      <c r="C2483" s="551" t="n"/>
      <c r="D2483" s="528" t="n"/>
      <c r="E2483" s="519" t="n"/>
      <c r="F2483" s="517" t="n"/>
      <c r="G2483" s="518" t="n"/>
      <c r="H2483" s="516" t="n"/>
      <c r="I2483" s="537" t="n"/>
      <c r="J2483" s="533" t="n"/>
      <c r="K2483" s="516" t="n"/>
      <c r="L2483" s="537" t="n"/>
      <c r="M2483" s="540" t="n"/>
      <c r="N2483" s="516" t="n"/>
      <c r="O2483" s="537" t="n"/>
      <c r="P2483" s="540" t="n"/>
    </row>
    <row r="2484" ht="15.75" customHeight="1" s="2" thickBot="1"/>
    <row r="2485" ht="15.75" customHeight="1" s="2" thickBot="1">
      <c r="B2485" s="1652" t="inlineStr">
        <is>
          <t>09.10.2023</t>
        </is>
      </c>
      <c r="C2485" s="1641" t="n"/>
      <c r="D2485" s="1502" t="n"/>
      <c r="E2485" s="1640" t="inlineStr">
        <is>
          <t>16.10.2023</t>
        </is>
      </c>
      <c r="F2485" s="1641" t="n"/>
      <c r="G2485" s="1502" t="n"/>
      <c r="H2485" s="1640" t="inlineStr">
        <is>
          <t>23.10.2023</t>
        </is>
      </c>
      <c r="I2485" s="1641" t="n"/>
      <c r="J2485" s="1502" t="n"/>
      <c r="K2485" s="1640" t="inlineStr">
        <is>
          <t>30.10.2023</t>
        </is>
      </c>
      <c r="L2485" s="1641" t="n"/>
      <c r="M2485" s="1502" t="n"/>
      <c r="N2485" s="1660" t="inlineStr">
        <is>
          <t>06.11.2023</t>
        </is>
      </c>
      <c r="O2485" s="1641" t="n"/>
      <c r="P2485" s="1502" t="n"/>
    </row>
    <row r="2486" ht="15.75" customHeight="1" s="2" thickBot="1">
      <c r="A2486" s="455" t="n"/>
      <c r="B2486" s="1048" t="inlineStr">
        <is>
          <t>LAST YEAR</t>
        </is>
      </c>
      <c r="C2486" s="1049" t="inlineStr">
        <is>
          <t>Actual</t>
        </is>
      </c>
      <c r="D2486" s="1050" t="inlineStr">
        <is>
          <t>Projected</t>
        </is>
      </c>
      <c r="E2486" s="1048" t="inlineStr">
        <is>
          <t>LAST YEAR</t>
        </is>
      </c>
      <c r="F2486" s="1049" t="inlineStr">
        <is>
          <t>Actual</t>
        </is>
      </c>
      <c r="G2486" s="1050" t="inlineStr">
        <is>
          <t>Projected</t>
        </is>
      </c>
      <c r="H2486" s="1048" t="inlineStr">
        <is>
          <t>LAST YEAR</t>
        </is>
      </c>
      <c r="I2486" s="1049" t="inlineStr">
        <is>
          <t>Actual</t>
        </is>
      </c>
      <c r="J2486" s="1050" t="inlineStr">
        <is>
          <t>Projected</t>
        </is>
      </c>
      <c r="K2486" s="1048" t="inlineStr">
        <is>
          <t>LAST YEAR</t>
        </is>
      </c>
      <c r="L2486" s="1049" t="inlineStr">
        <is>
          <t>Actual</t>
        </is>
      </c>
      <c r="M2486" s="1050" t="inlineStr">
        <is>
          <t>Projected</t>
        </is>
      </c>
      <c r="N2486" s="1048" t="inlineStr">
        <is>
          <t>LAST YEAR</t>
        </is>
      </c>
      <c r="O2486" s="1049" t="inlineStr">
        <is>
          <t>Actual</t>
        </is>
      </c>
      <c r="P2486" s="1050" t="inlineStr">
        <is>
          <t>Projected</t>
        </is>
      </c>
    </row>
    <row r="2487" ht="15.75" customHeight="1" s="2">
      <c r="A2487" s="459" t="inlineStr">
        <is>
          <t>Total Receipts</t>
        </is>
      </c>
      <c r="B2487" s="1643" t="n">
        <v>127270.77</v>
      </c>
      <c r="C2487" s="1643" t="n">
        <v>149794.67</v>
      </c>
      <c r="D2487" s="1622" t="n">
        <v>165970</v>
      </c>
      <c r="E2487" s="1643" t="n">
        <v>119235</v>
      </c>
      <c r="F2487" s="1643" t="n">
        <v>98330</v>
      </c>
      <c r="G2487" s="1645" t="n">
        <v>127275</v>
      </c>
      <c r="H2487" s="1643" t="n">
        <v>104755.75</v>
      </c>
      <c r="I2487" s="1631" t="n">
        <v>139873.86</v>
      </c>
      <c r="J2487" s="1645" t="n">
        <v>125483</v>
      </c>
      <c r="K2487" s="1643" t="n">
        <v>119066.2</v>
      </c>
      <c r="L2487" s="1643" t="n">
        <v>122578.79</v>
      </c>
      <c r="M2487" s="1645" t="n">
        <v>124888</v>
      </c>
      <c r="N2487" s="1643" t="n">
        <v>117067</v>
      </c>
      <c r="O2487" s="1631" t="n">
        <v>124905.78</v>
      </c>
      <c r="P2487" s="1622" t="n">
        <v>131758</v>
      </c>
    </row>
    <row r="2488" ht="15.75" customHeight="1" s="2">
      <c r="A2488" s="462" t="inlineStr">
        <is>
          <t>Nett Sales</t>
        </is>
      </c>
      <c r="B2488" s="1632" t="n">
        <v>115700.7</v>
      </c>
      <c r="C2488" s="1632" t="n">
        <v>136176.97</v>
      </c>
      <c r="D2488" s="1625" t="n">
        <v>150881</v>
      </c>
      <c r="E2488" s="1632" t="n">
        <v>108396.03</v>
      </c>
      <c r="F2488" s="1632" t="n">
        <v>89390</v>
      </c>
      <c r="G2488" s="1637" t="n">
        <v>115704.5</v>
      </c>
      <c r="H2488" s="1632" t="n">
        <v>95232.5</v>
      </c>
      <c r="I2488" s="1632" t="n">
        <v>127158.05</v>
      </c>
      <c r="J2488" s="1625" t="n">
        <v>114075</v>
      </c>
      <c r="K2488" s="1632" t="n">
        <v>108242</v>
      </c>
      <c r="L2488" s="1632" t="n">
        <v>111435.26</v>
      </c>
      <c r="M2488" s="1625" t="n">
        <v>113534.1</v>
      </c>
      <c r="N2488" s="1632" t="n">
        <v>106424</v>
      </c>
      <c r="O2488" s="1632" t="n">
        <v>113550.71</v>
      </c>
      <c r="P2488" s="1625" t="n">
        <v>119779.5</v>
      </c>
    </row>
    <row r="2489" ht="15.75" customHeight="1" s="2">
      <c r="A2489" s="462" t="inlineStr">
        <is>
          <t>Customers</t>
        </is>
      </c>
      <c r="B2489" s="565" t="n">
        <v>5300</v>
      </c>
      <c r="C2489" s="565" t="n">
        <v>6335</v>
      </c>
      <c r="D2489" s="466" t="n">
        <v>7060</v>
      </c>
      <c r="E2489" s="565" t="n">
        <v>4635</v>
      </c>
      <c r="F2489" s="565" t="n">
        <v>4057</v>
      </c>
      <c r="G2489" s="466" t="n">
        <v>5385</v>
      </c>
      <c r="H2489" s="565" t="n">
        <v>4319</v>
      </c>
      <c r="I2489" s="565" t="n">
        <v>5873</v>
      </c>
      <c r="J2489" s="466" t="n">
        <v>5310</v>
      </c>
      <c r="K2489" s="565" t="n">
        <v>4816</v>
      </c>
      <c r="L2489" s="565" t="n">
        <v>5247</v>
      </c>
      <c r="M2489" s="466" t="n">
        <v>5274</v>
      </c>
      <c r="N2489" s="565" t="n">
        <v>4632</v>
      </c>
      <c r="O2489" s="565" t="n">
        <v>5180</v>
      </c>
      <c r="P2489" s="1655" t="n">
        <v>5565</v>
      </c>
    </row>
    <row r="2490" ht="15.75" customHeight="1" s="2">
      <c r="A2490" s="462" t="inlineStr">
        <is>
          <t>Average Customer Spend</t>
        </is>
      </c>
      <c r="B2490" s="1647" t="n">
        <v>24.01</v>
      </c>
      <c r="C2490" s="1647" t="n">
        <v>23.64</v>
      </c>
      <c r="D2490" s="1628" t="n">
        <v>23.59</v>
      </c>
      <c r="E2490" s="1647" t="n">
        <v>25.73</v>
      </c>
      <c r="F2490" s="1647" t="n">
        <v>24.35</v>
      </c>
      <c r="G2490" s="1649" t="n">
        <v>23.7</v>
      </c>
      <c r="H2490" s="1647" t="n">
        <v>24.25</v>
      </c>
      <c r="I2490" s="1635" t="n">
        <v>23.81</v>
      </c>
      <c r="J2490" s="1649" t="n">
        <v>23.63</v>
      </c>
      <c r="K2490" s="1647" t="n">
        <v>24.72</v>
      </c>
      <c r="L2490" s="1647" t="n">
        <v>23.36</v>
      </c>
      <c r="M2490" s="1649" t="n">
        <v>23.68</v>
      </c>
      <c r="N2490" s="1647" t="n">
        <v>25.27</v>
      </c>
      <c r="O2490" s="1635" t="n">
        <v>24.11</v>
      </c>
      <c r="P2490" s="1628" t="n">
        <v>23.68</v>
      </c>
    </row>
    <row r="2491" ht="15.75" customHeight="1" s="2">
      <c r="A2491" s="462" t="inlineStr">
        <is>
          <t>Wage % to Total Receipts</t>
        </is>
      </c>
      <c r="B2491" s="860" t="n">
        <v>0.3084</v>
      </c>
      <c r="C2491" s="860" t="n">
        <v>0.336</v>
      </c>
      <c r="D2491" s="470" t="n">
        <v>0.3391</v>
      </c>
      <c r="E2491" s="860" t="n">
        <v>0.3051</v>
      </c>
      <c r="F2491" s="860" t="n">
        <v>0.4366</v>
      </c>
      <c r="G2491" s="863" t="n">
        <v>0.3375</v>
      </c>
      <c r="H2491" s="860" t="n">
        <v>0.3402</v>
      </c>
      <c r="I2491" s="567" t="n">
        <v>0.3252</v>
      </c>
      <c r="J2491" s="863" t="n">
        <v>0.3385</v>
      </c>
      <c r="K2491" s="860" t="n">
        <v>0.298</v>
      </c>
      <c r="L2491" s="860" t="n">
        <v>0.3477</v>
      </c>
      <c r="M2491" s="863" t="n">
        <v>0.3379</v>
      </c>
      <c r="N2491" s="860" t="n">
        <v>0.3077</v>
      </c>
      <c r="O2491" s="567" t="n">
        <v>0.3374</v>
      </c>
      <c r="P2491" s="470" t="n">
        <v>0.3379</v>
      </c>
    </row>
    <row r="2492" ht="15.75" customHeight="1" s="2">
      <c r="A2492" s="462" t="inlineStr">
        <is>
          <t>Wage % to Nett Sales</t>
        </is>
      </c>
      <c r="B2492" s="860" t="n">
        <v>0.3392</v>
      </c>
      <c r="C2492" s="860" t="n">
        <v>0.3696</v>
      </c>
      <c r="D2492" s="470" t="n">
        <v>0.373</v>
      </c>
      <c r="E2492" s="860" t="n">
        <v>0.3356</v>
      </c>
      <c r="F2492" s="860" t="n">
        <v>0.4802</v>
      </c>
      <c r="G2492" s="863" t="n">
        <v>0.3713</v>
      </c>
      <c r="H2492" s="860" t="n">
        <v>0.3742</v>
      </c>
      <c r="I2492" s="567" t="n">
        <v>0.3577</v>
      </c>
      <c r="J2492" s="863" t="n">
        <v>0.3724</v>
      </c>
      <c r="K2492" s="860" t="n">
        <v>0.3278</v>
      </c>
      <c r="L2492" s="860" t="n">
        <v>0.3825</v>
      </c>
      <c r="M2492" s="863" t="n">
        <v>0.3717</v>
      </c>
      <c r="N2492" s="860" t="n">
        <v>0.3377</v>
      </c>
      <c r="O2492" s="567" t="n">
        <v>0.3711</v>
      </c>
      <c r="P2492" s="470" t="n">
        <v>0.3717</v>
      </c>
    </row>
    <row r="2493" ht="15.75" customHeight="1" s="2">
      <c r="A2493" s="462" t="inlineStr">
        <is>
          <t>Productivity</t>
        </is>
      </c>
      <c r="B2493" s="568" t="n">
        <v>4.68</v>
      </c>
      <c r="C2493" s="568" t="n">
        <v>5.03</v>
      </c>
      <c r="D2493" s="472" t="n">
        <v>5</v>
      </c>
      <c r="E2493" s="568" t="n">
        <v>4.7</v>
      </c>
      <c r="F2493" s="568" t="n">
        <v>3.8</v>
      </c>
      <c r="G2493" s="472" t="n">
        <v>5</v>
      </c>
      <c r="H2493" s="568" t="n">
        <v>4.07</v>
      </c>
      <c r="I2493" s="568" t="n">
        <v>5.42</v>
      </c>
      <c r="J2493" s="472" t="n">
        <v>5</v>
      </c>
      <c r="K2493" s="568" t="n">
        <v>4.78</v>
      </c>
      <c r="L2493" s="568" t="n">
        <v>4.95</v>
      </c>
      <c r="M2493" s="472" t="n">
        <v>5</v>
      </c>
      <c r="N2493" s="568" t="n">
        <v>4.97</v>
      </c>
      <c r="O2493" s="568" t="n">
        <v>4.82</v>
      </c>
      <c r="P2493" s="472" t="n">
        <v>5</v>
      </c>
    </row>
    <row r="2494" ht="15.75" customHeight="1" s="2">
      <c r="A2494" s="462" t="inlineStr">
        <is>
          <t>Average Hourly Rate</t>
        </is>
      </c>
      <c r="B2494" s="568" t="n">
        <v>34.67</v>
      </c>
      <c r="C2494" s="568" t="n">
        <v>39.99</v>
      </c>
      <c r="D2494" s="1628" t="n">
        <v>40</v>
      </c>
      <c r="E2494" s="568" t="n">
        <v>36.88</v>
      </c>
      <c r="F2494" s="568" t="n">
        <v>40.18</v>
      </c>
      <c r="G2494" s="1649" t="n">
        <v>40</v>
      </c>
      <c r="H2494" s="568" t="n">
        <v>33.59</v>
      </c>
      <c r="I2494" s="568" t="n">
        <v>41.95</v>
      </c>
      <c r="J2494" s="1649" t="n">
        <v>40</v>
      </c>
      <c r="K2494" s="568" t="n">
        <v>35.23</v>
      </c>
      <c r="L2494" s="568" t="n">
        <v>40.22</v>
      </c>
      <c r="M2494" s="1649" t="n">
        <v>40</v>
      </c>
      <c r="N2494" s="568" t="n">
        <v>38.56</v>
      </c>
      <c r="O2494" s="568" t="n">
        <v>39.2</v>
      </c>
      <c r="P2494" s="1628" t="n">
        <v>40</v>
      </c>
    </row>
    <row r="2495" ht="15.75" customHeight="1" s="2">
      <c r="A2495" s="462" t="inlineStr">
        <is>
          <t>Total hours for productivity</t>
        </is>
      </c>
      <c r="B2495" s="568" t="n">
        <v>1132</v>
      </c>
      <c r="C2495" s="568" t="n">
        <v>1258.5</v>
      </c>
      <c r="D2495" s="466" t="n">
        <v>1407</v>
      </c>
      <c r="E2495" s="568" t="n">
        <v>986.25</v>
      </c>
      <c r="F2495" s="568" t="n">
        <v>1068.5</v>
      </c>
      <c r="G2495" s="466" t="n">
        <v>1074</v>
      </c>
      <c r="H2495" s="568" t="n">
        <v>1061</v>
      </c>
      <c r="I2495" s="568" t="n">
        <v>1084.75</v>
      </c>
      <c r="J2495" s="472" t="n">
        <v>1062</v>
      </c>
      <c r="K2495" s="568" t="n">
        <v>1007.25</v>
      </c>
      <c r="L2495" s="568" t="n">
        <v>1059.75</v>
      </c>
      <c r="M2495" s="466" t="n">
        <v>1055</v>
      </c>
      <c r="N2495" s="568" t="n">
        <v>932</v>
      </c>
      <c r="O2495" s="568" t="n">
        <v>1075</v>
      </c>
      <c r="P2495" s="466" t="n">
        <v>1113</v>
      </c>
    </row>
    <row r="2496" ht="15.75" customHeight="1" s="2">
      <c r="A2496" s="462" t="inlineStr">
        <is>
          <t>Training Hours used</t>
        </is>
      </c>
      <c r="B2496" s="569" t="n"/>
      <c r="C2496" s="569" t="n">
        <v>12</v>
      </c>
      <c r="D2496" s="466" t="n"/>
      <c r="E2496" s="569" t="n"/>
      <c r="F2496" s="569" t="n"/>
      <c r="G2496" s="466" t="n"/>
      <c r="H2496" s="569" t="n"/>
      <c r="I2496" s="569" t="n"/>
      <c r="J2496" s="466" t="n"/>
      <c r="K2496" s="569" t="n">
        <v>3</v>
      </c>
      <c r="L2496" s="569" t="n"/>
      <c r="M2496" s="466" t="n"/>
      <c r="N2496" s="569" t="n">
        <v>8</v>
      </c>
      <c r="O2496" s="569" t="n"/>
      <c r="P2496" s="466" t="n"/>
    </row>
    <row r="2497" ht="15.75" customHeight="1" s="2" thickBot="1">
      <c r="A2497" s="474" t="inlineStr">
        <is>
          <t>Number of hours used to cover sick leave</t>
        </is>
      </c>
      <c r="B2497" s="570" t="n"/>
      <c r="C2497" s="570" t="n"/>
      <c r="D2497" s="476" t="n"/>
      <c r="E2497" s="570" t="n"/>
      <c r="F2497" s="570" t="n"/>
      <c r="G2497" s="476" t="n"/>
      <c r="H2497" s="570" t="n"/>
      <c r="I2497" s="570" t="n"/>
      <c r="J2497" s="476" t="n"/>
      <c r="K2497" s="570" t="n"/>
      <c r="L2497" s="570" t="n"/>
      <c r="M2497" s="476" t="n"/>
      <c r="N2497" s="813" t="n"/>
      <c r="O2497" s="570" t="n"/>
      <c r="P2497" s="476" t="n"/>
    </row>
    <row r="2498" ht="15.75" customHeight="1" s="2" thickBot="1">
      <c r="A2498" s="477" t="inlineStr">
        <is>
          <t xml:space="preserve">Minimum Hours </t>
        </is>
      </c>
      <c r="B2498" s="1171" t="n"/>
      <c r="C2498" s="816" t="inlineStr">
        <is>
          <t>Projected</t>
        </is>
      </c>
      <c r="D2498" s="817" t="inlineStr">
        <is>
          <t>Rostered</t>
        </is>
      </c>
      <c r="E2498" s="1171" t="n"/>
      <c r="F2498" s="935" t="inlineStr">
        <is>
          <t>Projected</t>
        </is>
      </c>
      <c r="G2498" s="936" t="inlineStr">
        <is>
          <t>Rostered</t>
        </is>
      </c>
      <c r="H2498" s="935" t="inlineStr">
        <is>
          <t>Min Hrs</t>
        </is>
      </c>
      <c r="I2498" s="935" t="inlineStr">
        <is>
          <t>Projected</t>
        </is>
      </c>
      <c r="J2498" s="936" t="inlineStr">
        <is>
          <t>Rostered</t>
        </is>
      </c>
      <c r="K2498" s="935" t="inlineStr">
        <is>
          <t>Min Hrs</t>
        </is>
      </c>
      <c r="L2498" s="935" t="inlineStr">
        <is>
          <t>Projected</t>
        </is>
      </c>
      <c r="M2498" s="936" t="inlineStr">
        <is>
          <t>Rostered</t>
        </is>
      </c>
      <c r="N2498" s="1171" t="n"/>
      <c r="O2498" s="935" t="inlineStr">
        <is>
          <t>Projected</t>
        </is>
      </c>
      <c r="P2498" s="936" t="inlineStr">
        <is>
          <t>Rostered</t>
        </is>
      </c>
    </row>
    <row r="2499" ht="15.75" customHeight="1" s="2">
      <c r="A2499" s="479" t="inlineStr">
        <is>
          <t>Floor</t>
        </is>
      </c>
      <c r="B2499" s="1172" t="n"/>
      <c r="C2499" s="810" t="n">
        <v>774</v>
      </c>
      <c r="D2499" s="811" t="n">
        <v>722.5</v>
      </c>
      <c r="E2499" s="1172" t="n"/>
      <c r="F2499" s="810" t="n">
        <v>591</v>
      </c>
      <c r="G2499" s="811" t="n">
        <v>591.5</v>
      </c>
      <c r="H2499" s="810" t="n"/>
      <c r="I2499" s="810" t="n">
        <v>584</v>
      </c>
      <c r="J2499" s="811" t="n">
        <v>584.5</v>
      </c>
      <c r="K2499" s="810" t="n"/>
      <c r="L2499" s="810" t="n">
        <v>580</v>
      </c>
      <c r="M2499" s="811" t="n">
        <v>574</v>
      </c>
      <c r="N2499" s="1172" t="n"/>
      <c r="O2499" s="810" t="n">
        <v>612</v>
      </c>
      <c r="P2499" s="811" t="n">
        <v>516</v>
      </c>
    </row>
    <row r="2500" ht="15.75" customHeight="1" s="2" thickBot="1">
      <c r="A2500" s="481" t="inlineStr">
        <is>
          <t>Kitchen</t>
        </is>
      </c>
      <c r="B2500" s="1173" t="n"/>
      <c r="C2500" s="813" t="n">
        <v>633</v>
      </c>
      <c r="D2500" s="814" t="n">
        <v>617</v>
      </c>
      <c r="E2500" s="1173" t="n"/>
      <c r="F2500" s="840" t="n">
        <v>483</v>
      </c>
      <c r="G2500" s="814" t="n">
        <v>542</v>
      </c>
      <c r="H2500" s="813" t="n"/>
      <c r="I2500" s="840" t="n">
        <v>478</v>
      </c>
      <c r="J2500" s="814" t="n">
        <v>511.5</v>
      </c>
      <c r="K2500" s="813" t="n"/>
      <c r="L2500" s="840" t="n">
        <v>475</v>
      </c>
      <c r="M2500" s="814" t="n">
        <v>512.5</v>
      </c>
      <c r="N2500" s="1173" t="n"/>
      <c r="O2500" s="813" t="n">
        <v>501</v>
      </c>
      <c r="P2500" s="814" t="n">
        <v>538.5</v>
      </c>
    </row>
    <row r="2501" ht="15.75" customHeight="1" s="2" thickBot="1">
      <c r="A2501" s="834" t="n"/>
      <c r="B2501" s="836" t="n"/>
      <c r="C2501" s="1051" t="n"/>
      <c r="D2501" s="1051" t="n"/>
      <c r="E2501" s="839" t="n"/>
      <c r="F2501" s="1051" t="n"/>
      <c r="G2501" s="1051" t="n"/>
      <c r="H2501" s="839" t="n"/>
      <c r="I2501" s="1051" t="n"/>
      <c r="J2501" s="1051" t="n"/>
      <c r="K2501" s="839" t="n"/>
      <c r="L2501" s="1051" t="n"/>
      <c r="M2501" s="1051" t="n"/>
      <c r="N2501" s="839" t="n"/>
      <c r="O2501" s="835" t="n"/>
      <c r="P2501" s="835" t="n"/>
    </row>
    <row r="2502" ht="15.75" customHeight="1" s="2">
      <c r="A2502" s="506" t="inlineStr">
        <is>
          <t>Training explanation</t>
        </is>
      </c>
      <c r="B2502" s="837" t="n"/>
      <c r="C2502" s="1051" t="n"/>
      <c r="D2502" s="1051" t="n"/>
      <c r="E2502" s="837" t="n"/>
      <c r="F2502" s="1051" t="n"/>
      <c r="G2502" s="1051" t="n"/>
      <c r="H2502" s="837" t="n"/>
      <c r="I2502" s="1051" t="n"/>
      <c r="J2502" s="1051" t="n"/>
      <c r="K2502" s="837" t="n"/>
      <c r="L2502" s="1051" t="n"/>
      <c r="M2502" s="1051" t="n"/>
      <c r="N2502" s="837" t="n"/>
      <c r="O2502" s="835" t="n"/>
      <c r="P2502" s="835" t="n"/>
    </row>
    <row r="2503" ht="15.75" customHeight="1" s="2" thickBot="1">
      <c r="A2503" s="506" t="inlineStr">
        <is>
          <t>Who is being Trained</t>
        </is>
      </c>
      <c r="B2503" s="838" t="n"/>
      <c r="C2503" s="1052" t="n"/>
      <c r="D2503" s="1052" t="n"/>
      <c r="E2503" s="838" t="n"/>
      <c r="F2503" s="1052" t="n"/>
      <c r="G2503" s="1052" t="n"/>
      <c r="H2503" s="838" t="n"/>
      <c r="I2503" s="1052" t="n"/>
      <c r="J2503" s="1052" t="n"/>
      <c r="K2503" s="838" t="n"/>
      <c r="L2503" s="1052" t="n"/>
      <c r="M2503" s="1052" t="n"/>
      <c r="N2503" s="838" t="n"/>
    </row>
    <row r="2504" ht="15.75" customHeight="1" s="2" thickBot="1">
      <c r="A2504" s="506" t="n"/>
      <c r="C2504" s="523" t="inlineStr">
        <is>
          <t>floor</t>
        </is>
      </c>
      <c r="D2504" s="524" t="inlineStr">
        <is>
          <t>kitchen</t>
        </is>
      </c>
      <c r="E2504" s="509" t="n"/>
      <c r="F2504" s="507" t="inlineStr">
        <is>
          <t>floor</t>
        </is>
      </c>
      <c r="G2504" s="508" t="inlineStr">
        <is>
          <t>kitchen</t>
        </is>
      </c>
      <c r="H2504" s="510" t="n"/>
      <c r="I2504" s="535" t="inlineStr">
        <is>
          <t>floor</t>
        </is>
      </c>
      <c r="J2504" s="511" t="inlineStr">
        <is>
          <t>kitchen</t>
        </is>
      </c>
      <c r="K2504" s="512" t="n"/>
      <c r="L2504" s="535" t="inlineStr">
        <is>
          <t>floor</t>
        </is>
      </c>
      <c r="M2504" s="513" t="inlineStr">
        <is>
          <t>kitchen</t>
        </is>
      </c>
      <c r="N2504" s="512" t="n"/>
      <c r="O2504" s="535" t="inlineStr">
        <is>
          <t>floor</t>
        </is>
      </c>
      <c r="P2504" s="513" t="inlineStr">
        <is>
          <t>kitchen</t>
        </is>
      </c>
    </row>
    <row r="2505" ht="15.75" customHeight="1" s="2">
      <c r="A2505" s="506" t="n"/>
      <c r="C2505" s="525" t="n"/>
      <c r="D2505" s="527" t="n"/>
      <c r="E2505" s="514" t="n"/>
      <c r="F2505" s="525" t="n"/>
      <c r="G2505" s="527" t="n"/>
      <c r="H2505" s="515" t="n"/>
      <c r="I2505" s="531" t="n"/>
      <c r="J2505" s="824" t="n"/>
      <c r="K2505" s="515" t="n"/>
      <c r="L2505" s="536" t="n"/>
      <c r="M2505" s="532" t="n"/>
      <c r="N2505" s="515" t="n"/>
      <c r="O2505" s="536" t="n"/>
      <c r="P2505" s="532" t="n"/>
    </row>
    <row r="2506" ht="15.75" customHeight="1" s="2">
      <c r="C2506" s="891" t="n"/>
      <c r="D2506" s="526" t="n"/>
      <c r="E2506" s="514" t="n"/>
      <c r="F2506" s="891" t="n"/>
      <c r="G2506" s="526" t="n"/>
      <c r="H2506" s="516" t="n"/>
      <c r="I2506" s="1656" t="n"/>
      <c r="J2506" s="530" t="n"/>
      <c r="K2506" s="516" t="n"/>
      <c r="L2506" s="542" t="n"/>
      <c r="M2506" s="530" t="n"/>
      <c r="N2506" s="516" t="n"/>
      <c r="O2506" s="542" t="n"/>
      <c r="P2506" s="530" t="n"/>
    </row>
    <row r="2507" ht="15.75" customHeight="1" s="2">
      <c r="C2507" s="550" t="n"/>
      <c r="D2507" s="527" t="n"/>
      <c r="E2507" s="514" t="n"/>
      <c r="F2507" s="531" t="n"/>
      <c r="G2507" s="530" t="n"/>
      <c r="H2507" s="516" t="n"/>
      <c r="I2507" s="537" t="n"/>
      <c r="J2507" s="530" t="n"/>
      <c r="K2507" s="516" t="n"/>
      <c r="L2507" s="1657" t="n"/>
      <c r="M2507" s="539" t="n"/>
      <c r="N2507" s="516" t="n"/>
      <c r="O2507" s="542" t="n"/>
      <c r="P2507" s="539" t="n"/>
    </row>
    <row r="2508" ht="15.75" customHeight="1" s="2">
      <c r="C2508" s="561" t="n"/>
      <c r="D2508" s="561" t="n"/>
      <c r="E2508" s="519" t="n"/>
      <c r="F2508" s="517" t="n"/>
      <c r="G2508" s="1659" t="n"/>
      <c r="H2508" s="516" t="n"/>
      <c r="I2508" s="537" t="n"/>
      <c r="J2508" s="530" t="n"/>
      <c r="K2508" s="516" t="n"/>
      <c r="L2508" s="537" t="n"/>
      <c r="M2508" s="539" t="n"/>
      <c r="N2508" s="516" t="n"/>
      <c r="O2508" s="537" t="n"/>
      <c r="P2508" s="539" t="n"/>
    </row>
    <row r="2509" ht="15.75" customHeight="1" s="2">
      <c r="C2509" s="551" t="n"/>
      <c r="D2509" s="528" t="n"/>
      <c r="E2509" s="519" t="n"/>
      <c r="F2509" s="517" t="n"/>
      <c r="G2509" s="518" t="n"/>
      <c r="H2509" s="516" t="n"/>
      <c r="I2509" s="537" t="n"/>
      <c r="J2509" s="533" t="n"/>
      <c r="K2509" s="516" t="n"/>
      <c r="L2509" s="537" t="n"/>
      <c r="M2509" s="540" t="n"/>
      <c r="N2509" s="516" t="n"/>
      <c r="O2509" s="537" t="n"/>
      <c r="P2509" s="540" t="n"/>
    </row>
    <row r="2510" ht="15.75" customHeight="1" s="2" thickBot="1"/>
    <row r="2511" ht="15.75" customHeight="1" s="2" thickBot="1">
      <c r="B2511" s="1652" t="inlineStr">
        <is>
          <t>13.11.2023</t>
        </is>
      </c>
      <c r="C2511" s="1641" t="n"/>
      <c r="D2511" s="1502" t="n"/>
      <c r="E2511" s="1640" t="inlineStr">
        <is>
          <t>20.11.2023</t>
        </is>
      </c>
      <c r="F2511" s="1641" t="n"/>
      <c r="G2511" s="1502" t="n"/>
      <c r="H2511" s="1640" t="inlineStr">
        <is>
          <t>27.11.2023</t>
        </is>
      </c>
      <c r="I2511" s="1641" t="n"/>
      <c r="J2511" s="1502" t="n"/>
      <c r="K2511" s="1640" t="inlineStr">
        <is>
          <t>04.12.2023</t>
        </is>
      </c>
      <c r="L2511" s="1641" t="n"/>
      <c r="M2511" s="1502" t="n"/>
      <c r="N2511" s="1660" t="inlineStr">
        <is>
          <t>11.12.2023</t>
        </is>
      </c>
      <c r="O2511" s="1641" t="n"/>
      <c r="P2511" s="1502" t="n"/>
    </row>
    <row r="2512" ht="15.75" customHeight="1" s="2" thickBot="1">
      <c r="A2512" s="455" t="n"/>
      <c r="B2512" s="1048" t="inlineStr">
        <is>
          <t>LAST YEAR</t>
        </is>
      </c>
      <c r="C2512" s="1049" t="inlineStr">
        <is>
          <t>Actual</t>
        </is>
      </c>
      <c r="D2512" s="1050" t="inlineStr">
        <is>
          <t>Projected</t>
        </is>
      </c>
      <c r="E2512" s="1048" t="inlineStr">
        <is>
          <t>LAST YEAR</t>
        </is>
      </c>
      <c r="F2512" s="1049" t="inlineStr">
        <is>
          <t>Actual</t>
        </is>
      </c>
      <c r="G2512" s="1050" t="inlineStr">
        <is>
          <t>Projected</t>
        </is>
      </c>
      <c r="H2512" s="1048" t="inlineStr">
        <is>
          <t>LAST YEAR</t>
        </is>
      </c>
      <c r="I2512" s="1049" t="inlineStr">
        <is>
          <t>Actual</t>
        </is>
      </c>
      <c r="J2512" s="1050" t="inlineStr">
        <is>
          <t>Projected</t>
        </is>
      </c>
      <c r="K2512" s="1048" t="inlineStr">
        <is>
          <t>LAST YEAR</t>
        </is>
      </c>
      <c r="L2512" s="1049" t="inlineStr">
        <is>
          <t>Actual</t>
        </is>
      </c>
      <c r="M2512" s="1050" t="inlineStr">
        <is>
          <t>Projected</t>
        </is>
      </c>
      <c r="N2512" s="1048" t="inlineStr">
        <is>
          <t>LAST YEAR</t>
        </is>
      </c>
      <c r="O2512" s="1049" t="inlineStr">
        <is>
          <t>Actual</t>
        </is>
      </c>
      <c r="P2512" s="1050" t="inlineStr">
        <is>
          <t>Projected</t>
        </is>
      </c>
    </row>
    <row r="2513" ht="15.75" customHeight="1" s="2">
      <c r="A2513" s="459" t="inlineStr">
        <is>
          <t>Total Receipts</t>
        </is>
      </c>
      <c r="B2513" s="1643" t="n">
        <v>127270.77</v>
      </c>
      <c r="C2513" s="1662" t="n">
        <v>131832.54</v>
      </c>
      <c r="D2513" s="1663" t="n">
        <v>131590</v>
      </c>
      <c r="E2513" s="1643" t="n">
        <v>119235</v>
      </c>
      <c r="F2513" s="1662" t="n">
        <v>136876.02</v>
      </c>
      <c r="G2513" s="1664" t="n">
        <v>126663</v>
      </c>
      <c r="H2513" s="1643" t="n">
        <v>104755.75</v>
      </c>
      <c r="I2513" s="1665" t="n">
        <v>142940.07</v>
      </c>
      <c r="J2513" s="1664" t="n">
        <v>133218</v>
      </c>
      <c r="K2513" s="1643" t="n">
        <v>119066.2</v>
      </c>
      <c r="L2513" s="1662" t="n">
        <v>136271.79</v>
      </c>
      <c r="M2513" s="1664" t="n">
        <v>143193</v>
      </c>
      <c r="N2513" s="1643" t="n">
        <v>117067</v>
      </c>
      <c r="O2513" s="1665" t="n">
        <v>135141.64</v>
      </c>
      <c r="P2513" s="1663" t="n">
        <v>163857</v>
      </c>
    </row>
    <row r="2514" ht="15.75" customHeight="1" s="2">
      <c r="A2514" s="462" t="inlineStr">
        <is>
          <t>Nett Sales</t>
        </is>
      </c>
      <c r="B2514" s="1632" t="n">
        <v>115700.7</v>
      </c>
      <c r="C2514" s="1666" t="n">
        <v>119847.76</v>
      </c>
      <c r="D2514" s="1633" t="n">
        <v>119627</v>
      </c>
      <c r="E2514" s="1632" t="n">
        <v>108396.03</v>
      </c>
      <c r="F2514" s="1666" t="n">
        <v>124311.42</v>
      </c>
      <c r="G2514" s="1667" t="n">
        <v>115148</v>
      </c>
      <c r="H2514" s="1632" t="n">
        <v>95232.5</v>
      </c>
      <c r="I2514" s="1666" t="n">
        <v>129945.52</v>
      </c>
      <c r="J2514" s="1633" t="n">
        <v>121106.8</v>
      </c>
      <c r="K2514" s="1632" t="n">
        <v>108242</v>
      </c>
      <c r="L2514" s="1666" t="n">
        <v>123883.45</v>
      </c>
      <c r="M2514" s="1633" t="n">
        <v>130175</v>
      </c>
      <c r="N2514" s="1632" t="n">
        <v>106424</v>
      </c>
      <c r="O2514" s="1666" t="n">
        <v>122856.04</v>
      </c>
      <c r="P2514" s="1633" t="n">
        <v>148960.9</v>
      </c>
    </row>
    <row r="2515" ht="15.75" customHeight="1" s="2">
      <c r="A2515" s="462" t="inlineStr">
        <is>
          <t>Customers</t>
        </is>
      </c>
      <c r="B2515" s="565" t="n">
        <v>5300</v>
      </c>
      <c r="C2515" s="1237" t="n">
        <v>5052</v>
      </c>
      <c r="D2515" s="1244" t="n">
        <v>5555</v>
      </c>
      <c r="E2515" s="565" t="n">
        <v>4635</v>
      </c>
      <c r="F2515" s="1237" t="n">
        <v>5827</v>
      </c>
      <c r="G2515" s="1244" t="n">
        <v>5425</v>
      </c>
      <c r="H2515" s="565" t="n">
        <v>4319</v>
      </c>
      <c r="I2515" s="1237" t="n">
        <v>5817</v>
      </c>
      <c r="J2515" s="1244" t="n">
        <v>5630</v>
      </c>
      <c r="K2515" s="565" t="n">
        <v>4816</v>
      </c>
      <c r="L2515" s="1237" t="n">
        <v>5609</v>
      </c>
      <c r="M2515" s="1244" t="n">
        <v>5935</v>
      </c>
      <c r="N2515" s="565" t="n">
        <v>4632</v>
      </c>
      <c r="O2515" s="1237" t="n">
        <v>5658</v>
      </c>
      <c r="P2515" s="1668" t="n">
        <v>6840</v>
      </c>
    </row>
    <row r="2516" ht="15.75" customHeight="1" s="2">
      <c r="A2516" s="462" t="inlineStr">
        <is>
          <t>Average Customer Spend</t>
        </is>
      </c>
      <c r="B2516" s="1647" t="n">
        <v>24.01</v>
      </c>
      <c r="C2516" s="1669" t="n">
        <v>26.09</v>
      </c>
      <c r="D2516" s="1661" t="n">
        <v>23.69</v>
      </c>
      <c r="E2516" s="1647" t="n">
        <v>25.73</v>
      </c>
      <c r="F2516" s="1669" t="n">
        <v>23.48</v>
      </c>
      <c r="G2516" s="1670" t="n">
        <v>23.35</v>
      </c>
      <c r="H2516" s="1647" t="n">
        <v>24.25</v>
      </c>
      <c r="I2516" s="1671" t="n">
        <v>24.57</v>
      </c>
      <c r="J2516" s="1670" t="n">
        <v>23.66</v>
      </c>
      <c r="K2516" s="1647" t="n">
        <v>24.72</v>
      </c>
      <c r="L2516" s="1669" t="n">
        <v>24.29</v>
      </c>
      <c r="M2516" s="1670" t="n">
        <v>24.13</v>
      </c>
      <c r="N2516" s="1647" t="n">
        <v>25.27</v>
      </c>
      <c r="O2516" s="1671" t="n">
        <v>23.88</v>
      </c>
      <c r="P2516" s="1661" t="n">
        <v>23.96</v>
      </c>
    </row>
    <row r="2517" ht="15.75" customHeight="1" s="2">
      <c r="A2517" s="462" t="inlineStr">
        <is>
          <t>Wage % to Total Receipts</t>
        </is>
      </c>
      <c r="B2517" s="860" t="n">
        <v>0.3084</v>
      </c>
      <c r="C2517" s="1239" t="n">
        <v>0.3289</v>
      </c>
      <c r="D2517" s="1245" t="n">
        <v>0.3377</v>
      </c>
      <c r="E2517" s="860" t="n">
        <v>0.3051</v>
      </c>
      <c r="F2517" s="1239" t="n">
        <v>0.3194</v>
      </c>
      <c r="G2517" s="1250" t="n">
        <v>0.3426</v>
      </c>
      <c r="H2517" s="860" t="n">
        <v>0.3402</v>
      </c>
      <c r="I2517" s="1255" t="n">
        <v>0.3258</v>
      </c>
      <c r="J2517" s="1250" t="n">
        <v>0.3251</v>
      </c>
      <c r="K2517" s="860" t="n">
        <v>0.298</v>
      </c>
      <c r="L2517" s="1239" t="n">
        <v>0.3366</v>
      </c>
      <c r="M2517" s="1250" t="n">
        <v>0.3188</v>
      </c>
      <c r="N2517" s="860" t="n">
        <v>0.3077</v>
      </c>
      <c r="O2517" s="1255" t="n">
        <v>0.3547</v>
      </c>
      <c r="P2517" s="1245" t="n">
        <v>0.3211</v>
      </c>
    </row>
    <row r="2518" ht="15.75" customHeight="1" s="2">
      <c r="A2518" s="462" t="inlineStr">
        <is>
          <t>Wage % to Nett Sales</t>
        </is>
      </c>
      <c r="B2518" s="860" t="n">
        <v>0.3392</v>
      </c>
      <c r="C2518" s="1239" t="n">
        <v>0.3618</v>
      </c>
      <c r="D2518" s="1245" t="n">
        <v>0.3715</v>
      </c>
      <c r="E2518" s="860" t="n">
        <v>0.3356</v>
      </c>
      <c r="F2518" s="1239" t="n">
        <v>0.3513</v>
      </c>
      <c r="G2518" s="1250" t="n">
        <v>0.3769</v>
      </c>
      <c r="H2518" s="860" t="n">
        <v>0.3742</v>
      </c>
      <c r="I2518" s="1255" t="n">
        <v>0.3584</v>
      </c>
      <c r="J2518" s="1250" t="n">
        <v>0.3576</v>
      </c>
      <c r="K2518" s="860" t="n">
        <v>0.3278</v>
      </c>
      <c r="L2518" s="1239" t="n">
        <v>0.3703</v>
      </c>
      <c r="M2518" s="1250" t="n">
        <v>0.3507</v>
      </c>
      <c r="N2518" s="860" t="n">
        <v>0.3377</v>
      </c>
      <c r="O2518" s="1255" t="n">
        <v>0.3902</v>
      </c>
      <c r="P2518" s="1245" t="n">
        <v>0.3532</v>
      </c>
    </row>
    <row r="2519" ht="15.75" customHeight="1" s="2">
      <c r="A2519" s="462" t="inlineStr">
        <is>
          <t>Productivity</t>
        </is>
      </c>
      <c r="B2519" s="568" t="n">
        <v>4.68</v>
      </c>
      <c r="C2519" s="1240" t="n">
        <v>4.73</v>
      </c>
      <c r="D2519" s="1246" t="n">
        <v>5</v>
      </c>
      <c r="E2519" s="568" t="n">
        <v>4.7</v>
      </c>
      <c r="F2519" s="1240" t="n">
        <v>5.34</v>
      </c>
      <c r="G2519" s="1246" t="n">
        <v>5</v>
      </c>
      <c r="H2519" s="568" t="n">
        <v>4.07</v>
      </c>
      <c r="I2519" s="1240" t="n">
        <v>5.11</v>
      </c>
      <c r="J2519" s="1246" t="n">
        <v>5</v>
      </c>
      <c r="K2519" s="568" t="n">
        <v>4.78</v>
      </c>
      <c r="L2519" s="1240" t="n">
        <v>4.83</v>
      </c>
      <c r="M2519" s="1246" t="n">
        <v>5.2</v>
      </c>
      <c r="N2519" s="568" t="n">
        <v>4.97</v>
      </c>
      <c r="O2519" s="1240" t="n">
        <v>4.52</v>
      </c>
      <c r="P2519" s="1246" t="n">
        <v>5.2</v>
      </c>
    </row>
    <row r="2520" ht="15.75" customHeight="1" s="2">
      <c r="A2520" s="462" t="inlineStr">
        <is>
          <t>Average Hourly Rate</t>
        </is>
      </c>
      <c r="B2520" s="568" t="n">
        <v>34.67</v>
      </c>
      <c r="C2520" s="1240" t="n">
        <v>40.57</v>
      </c>
      <c r="D2520" s="1661" t="n">
        <v>40</v>
      </c>
      <c r="E2520" s="568" t="n">
        <v>36.88</v>
      </c>
      <c r="F2520" s="1240" t="n">
        <v>40.06</v>
      </c>
      <c r="G2520" s="1670" t="n">
        <v>40</v>
      </c>
      <c r="H2520" s="568" t="n">
        <v>33.59</v>
      </c>
      <c r="I2520" s="1240" t="n">
        <v>40.89</v>
      </c>
      <c r="J2520" s="1670" t="n">
        <v>40</v>
      </c>
      <c r="K2520" s="568" t="n">
        <v>35.23</v>
      </c>
      <c r="L2520" s="1240" t="n">
        <v>39.47</v>
      </c>
      <c r="M2520" s="1670" t="n">
        <v>40</v>
      </c>
      <c r="N2520" s="568" t="n">
        <v>38.56</v>
      </c>
      <c r="O2520" s="1240" t="n">
        <v>38.31</v>
      </c>
      <c r="P2520" s="1661" t="n">
        <v>40</v>
      </c>
    </row>
    <row r="2521" ht="15.75" customHeight="1" s="2">
      <c r="A2521" s="462" t="inlineStr">
        <is>
          <t>Total hours for productivity</t>
        </is>
      </c>
      <c r="B2521" s="568" t="n">
        <v>1132</v>
      </c>
      <c r="C2521" s="1240" t="n">
        <v>1068.75</v>
      </c>
      <c r="D2521" s="1244" t="n">
        <v>1111</v>
      </c>
      <c r="E2521" s="568" t="n">
        <v>986.25</v>
      </c>
      <c r="F2521" s="1240" t="n">
        <v>1090.25</v>
      </c>
      <c r="G2521" s="1244" t="n">
        <v>1085</v>
      </c>
      <c r="H2521" s="568" t="n">
        <v>1061</v>
      </c>
      <c r="I2521" s="1240" t="n">
        <v>1139</v>
      </c>
      <c r="J2521" s="1246" t="n">
        <v>1083</v>
      </c>
      <c r="K2521" s="568" t="n">
        <v>1007.25</v>
      </c>
      <c r="L2521" s="1240" t="n">
        <v>1162.25</v>
      </c>
      <c r="M2521" s="1244" t="n">
        <v>1141</v>
      </c>
      <c r="N2521" s="568" t="n">
        <v>932</v>
      </c>
      <c r="O2521" s="1240" t="n">
        <v>1251.5</v>
      </c>
      <c r="P2521" s="1244" t="n">
        <v>1315</v>
      </c>
    </row>
    <row r="2522" ht="15.75" customHeight="1" s="2">
      <c r="A2522" s="462" t="inlineStr">
        <is>
          <t>Training Hours used</t>
        </is>
      </c>
      <c r="B2522" s="569" t="n"/>
      <c r="C2522" s="1241" t="n"/>
      <c r="D2522" s="1244" t="n"/>
      <c r="E2522" s="569" t="n"/>
      <c r="F2522" s="1241" t="n"/>
      <c r="G2522" s="1244" t="n"/>
      <c r="H2522" s="569" t="n"/>
      <c r="I2522" s="1241" t="n">
        <v>65</v>
      </c>
      <c r="J2522" s="1244" t="n"/>
      <c r="K2522" s="569" t="n">
        <v>3</v>
      </c>
      <c r="L2522" s="1241" t="n"/>
      <c r="M2522" s="1244" t="n"/>
      <c r="N2522" s="569" t="n">
        <v>8</v>
      </c>
      <c r="O2522" s="1241" t="n"/>
      <c r="P2522" s="1244" t="n"/>
    </row>
    <row r="2523" ht="15.75" customHeight="1" s="2" thickBot="1">
      <c r="A2523" s="474" t="inlineStr">
        <is>
          <t>Number of hours used to cover sick leave</t>
        </is>
      </c>
      <c r="B2523" s="570" t="n"/>
      <c r="C2523" s="1242" t="n"/>
      <c r="D2523" s="476" t="n"/>
      <c r="E2523" s="570" t="n"/>
      <c r="F2523" s="1242" t="n"/>
      <c r="G2523" s="1251" t="n"/>
      <c r="H2523" s="570" t="n"/>
      <c r="I2523" s="1242" t="n"/>
      <c r="J2523" s="1251" t="n"/>
      <c r="K2523" s="570" t="n"/>
      <c r="L2523" s="1242" t="n"/>
      <c r="M2523" s="1251" t="n"/>
      <c r="N2523" s="813" t="n"/>
      <c r="O2523" s="1242" t="n"/>
      <c r="P2523" s="476" t="n"/>
    </row>
    <row r="2524" ht="15.75" customHeight="1" s="2" thickBot="1">
      <c r="A2524" s="477" t="inlineStr">
        <is>
          <t xml:space="preserve">Minimum Hours </t>
        </is>
      </c>
      <c r="B2524" s="1171" t="n"/>
      <c r="C2524" s="935" t="inlineStr">
        <is>
          <t>Minimum</t>
        </is>
      </c>
      <c r="D2524" s="817" t="inlineStr">
        <is>
          <t>Rostered</t>
        </is>
      </c>
      <c r="E2524" s="1171" t="n"/>
      <c r="F2524" s="935" t="inlineStr">
        <is>
          <t>Minimum</t>
        </is>
      </c>
      <c r="G2524" s="936" t="inlineStr">
        <is>
          <t>Rostered</t>
        </is>
      </c>
      <c r="H2524" s="935" t="inlineStr">
        <is>
          <t>Min Hrs</t>
        </is>
      </c>
      <c r="I2524" s="935" t="inlineStr">
        <is>
          <t>Minimum</t>
        </is>
      </c>
      <c r="J2524" s="936" t="inlineStr">
        <is>
          <t>Rostered</t>
        </is>
      </c>
      <c r="K2524" s="935" t="inlineStr">
        <is>
          <t>Min Hrs</t>
        </is>
      </c>
      <c r="L2524" s="935" t="inlineStr">
        <is>
          <t>Minimum</t>
        </is>
      </c>
      <c r="M2524" s="936" t="inlineStr">
        <is>
          <t>Rostered</t>
        </is>
      </c>
      <c r="N2524" s="1171" t="n"/>
      <c r="O2524" s="935" t="inlineStr">
        <is>
          <t>Minimum</t>
        </is>
      </c>
      <c r="P2524" s="936" t="inlineStr">
        <is>
          <t>Rostered</t>
        </is>
      </c>
    </row>
    <row r="2525" ht="15.75" customHeight="1" s="2">
      <c r="A2525" s="479" t="inlineStr">
        <is>
          <t>Floor</t>
        </is>
      </c>
      <c r="B2525" s="1172" t="n"/>
      <c r="C2525" s="810" t="n">
        <v>554</v>
      </c>
      <c r="D2525" s="811" t="n">
        <v>593.5</v>
      </c>
      <c r="E2525" s="1172" t="n"/>
      <c r="F2525" s="810" t="n">
        <v>597</v>
      </c>
      <c r="G2525" s="811" t="n">
        <v>577</v>
      </c>
      <c r="H2525" s="810" t="n"/>
      <c r="I2525" s="810" t="n">
        <v>590</v>
      </c>
      <c r="J2525" s="811" t="n">
        <v>590.5</v>
      </c>
      <c r="K2525" s="810" t="n"/>
      <c r="L2525" s="810" t="n"/>
      <c r="M2525" s="811" t="n"/>
      <c r="N2525" s="1172" t="n"/>
      <c r="O2525" s="810" t="n">
        <v>723</v>
      </c>
      <c r="P2525" s="811" t="n">
        <v>632</v>
      </c>
    </row>
    <row r="2526" ht="15.75" customHeight="1" s="2" thickBot="1">
      <c r="A2526" s="481" t="inlineStr">
        <is>
          <t>Kitchen</t>
        </is>
      </c>
      <c r="B2526" s="1173" t="n"/>
      <c r="C2526" s="813" t="n">
        <v>501</v>
      </c>
      <c r="D2526" s="814" t="n">
        <v>516</v>
      </c>
      <c r="E2526" s="1173" t="n"/>
      <c r="F2526" s="840" t="n">
        <v>488</v>
      </c>
      <c r="G2526" s="814" t="n">
        <v>459.05</v>
      </c>
      <c r="H2526" s="813" t="n"/>
      <c r="I2526" s="840" t="n">
        <v>487</v>
      </c>
      <c r="J2526" s="814" t="n">
        <v>489.5</v>
      </c>
      <c r="K2526" s="813" t="n"/>
      <c r="L2526" s="840" t="n"/>
      <c r="M2526" s="814" t="n"/>
      <c r="N2526" s="1173" t="n"/>
      <c r="O2526" s="813" t="n">
        <v>592</v>
      </c>
      <c r="P2526" s="814" t="n">
        <v>518</v>
      </c>
    </row>
    <row r="2527" ht="15.75" customHeight="1" s="2" thickBot="1">
      <c r="A2527" s="834" t="n"/>
      <c r="B2527" s="836" t="n"/>
      <c r="C2527" s="1051" t="n"/>
      <c r="D2527" s="1051" t="n"/>
      <c r="E2527" s="839" t="n"/>
      <c r="F2527" s="1051" t="n"/>
      <c r="G2527" s="1051" t="n"/>
      <c r="H2527" s="839" t="n"/>
      <c r="I2527" s="1051" t="n"/>
      <c r="J2527" s="1051" t="n"/>
      <c r="K2527" s="839" t="n"/>
      <c r="L2527" s="1051" t="n"/>
      <c r="M2527" s="1051" t="n"/>
      <c r="N2527" s="839" t="n"/>
      <c r="O2527" s="835" t="n"/>
      <c r="P2527" s="835" t="n"/>
    </row>
    <row r="2528" ht="15.75" customHeight="1" s="2">
      <c r="A2528" s="506" t="inlineStr">
        <is>
          <t>Training explanation</t>
        </is>
      </c>
      <c r="B2528" s="837" t="n"/>
      <c r="C2528" s="1051" t="n"/>
      <c r="D2528" s="1051" t="n"/>
      <c r="E2528" s="837" t="n"/>
      <c r="F2528" s="1051" t="n"/>
      <c r="G2528" s="1051" t="n"/>
      <c r="H2528" s="837" t="n"/>
      <c r="I2528" s="1051" t="n"/>
      <c r="J2528" s="1051" t="n"/>
      <c r="K2528" s="837" t="n"/>
      <c r="L2528" s="1051" t="n"/>
      <c r="M2528" s="1051" t="n"/>
      <c r="N2528" s="837" t="n"/>
      <c r="O2528" s="835" t="n"/>
      <c r="P2528" s="835" t="n"/>
    </row>
    <row r="2529" ht="15.75" customHeight="1" s="2" thickBot="1">
      <c r="A2529" s="506" t="inlineStr">
        <is>
          <t>Who is being Trained</t>
        </is>
      </c>
      <c r="B2529" s="838" t="n"/>
      <c r="C2529" s="1052" t="n"/>
      <c r="D2529" s="1052" t="n"/>
      <c r="E2529" s="838" t="n"/>
      <c r="F2529" s="1052" t="n"/>
      <c r="G2529" s="1052" t="n"/>
      <c r="H2529" s="838" t="n"/>
      <c r="I2529" s="1052" t="n"/>
      <c r="J2529" s="1052" t="n"/>
      <c r="K2529" s="838" t="n"/>
      <c r="L2529" s="1052" t="n"/>
      <c r="M2529" s="1052" t="n"/>
      <c r="N2529" s="838" t="n"/>
    </row>
    <row r="2530" ht="15.75" customHeight="1" s="2" thickBot="1">
      <c r="A2530" s="506" t="n"/>
      <c r="C2530" s="523" t="inlineStr">
        <is>
          <t>floor</t>
        </is>
      </c>
      <c r="D2530" s="524" t="inlineStr">
        <is>
          <t>kitchen</t>
        </is>
      </c>
      <c r="E2530" s="509" t="n"/>
      <c r="F2530" s="507" t="inlineStr">
        <is>
          <t>floor</t>
        </is>
      </c>
      <c r="G2530" s="508" t="inlineStr">
        <is>
          <t>kitchen</t>
        </is>
      </c>
      <c r="H2530" s="510" t="n"/>
      <c r="I2530" s="535" t="inlineStr">
        <is>
          <t>floor</t>
        </is>
      </c>
      <c r="J2530" s="511" t="inlineStr">
        <is>
          <t>kitchen</t>
        </is>
      </c>
      <c r="K2530" s="512" t="n"/>
      <c r="L2530" s="535" t="inlineStr">
        <is>
          <t>floor</t>
        </is>
      </c>
      <c r="M2530" s="513" t="inlineStr">
        <is>
          <t>kitchen</t>
        </is>
      </c>
      <c r="N2530" s="512" t="n"/>
      <c r="O2530" s="535" t="inlineStr">
        <is>
          <t>floor</t>
        </is>
      </c>
      <c r="P2530" s="513" t="inlineStr">
        <is>
          <t>kitchen</t>
        </is>
      </c>
    </row>
    <row r="2531" ht="15.75" customHeight="1" s="2">
      <c r="A2531" s="506" t="n"/>
      <c r="C2531" s="525" t="n"/>
      <c r="D2531" s="527" t="n"/>
      <c r="E2531" s="514" t="n"/>
      <c r="F2531" s="525" t="n"/>
      <c r="G2531" s="527" t="n"/>
      <c r="H2531" s="515" t="n"/>
      <c r="I2531" s="531" t="n"/>
      <c r="J2531" s="824" t="n"/>
      <c r="K2531" s="515" t="n"/>
      <c r="L2531" s="536" t="n"/>
      <c r="M2531" s="532" t="n"/>
      <c r="N2531" s="515" t="n"/>
      <c r="O2531" s="536" t="n"/>
      <c r="P2531" s="532" t="n"/>
    </row>
    <row r="2532" ht="15.75" customHeight="1" s="2">
      <c r="C2532" s="891" t="n"/>
      <c r="D2532" s="526" t="n"/>
      <c r="E2532" s="514" t="n"/>
      <c r="F2532" s="891" t="n"/>
      <c r="G2532" s="526" t="n"/>
      <c r="H2532" s="516" t="n"/>
      <c r="I2532" s="1656" t="n"/>
      <c r="J2532" s="530" t="n"/>
      <c r="K2532" s="516" t="n"/>
      <c r="L2532" s="542" t="n"/>
      <c r="M2532" s="530" t="n"/>
      <c r="N2532" s="516" t="n"/>
      <c r="O2532" s="542" t="n"/>
      <c r="P2532" s="530" t="n"/>
    </row>
    <row r="2533" ht="15.75" customHeight="1" s="2">
      <c r="C2533" s="550" t="n"/>
      <c r="D2533" s="527" t="n"/>
      <c r="E2533" s="514" t="n"/>
      <c r="F2533" s="531" t="n"/>
      <c r="G2533" s="530" t="n"/>
      <c r="H2533" s="516" t="n"/>
      <c r="I2533" s="537" t="n"/>
      <c r="J2533" s="530" t="n"/>
      <c r="K2533" s="516" t="n"/>
      <c r="L2533" s="1657" t="n"/>
      <c r="M2533" s="539" t="n"/>
      <c r="N2533" s="516" t="n"/>
      <c r="O2533" s="542" t="n"/>
      <c r="P2533" s="539" t="n"/>
    </row>
    <row r="2534" ht="15.75" customHeight="1" s="2">
      <c r="C2534" s="561" t="n"/>
      <c r="D2534" s="561" t="n"/>
      <c r="E2534" s="519" t="n"/>
      <c r="F2534" s="517" t="n"/>
      <c r="G2534" s="1659" t="n"/>
      <c r="H2534" s="516" t="n"/>
      <c r="I2534" s="537" t="n"/>
      <c r="J2534" s="530" t="n"/>
      <c r="K2534" s="516" t="n"/>
      <c r="L2534" s="537" t="n"/>
      <c r="M2534" s="539" t="n"/>
      <c r="N2534" s="516" t="n"/>
      <c r="O2534" s="537" t="n"/>
      <c r="P2534" s="539" t="n"/>
    </row>
    <row r="2535" ht="15.75" customHeight="1" s="2">
      <c r="C2535" s="551" t="n"/>
      <c r="D2535" s="528" t="n"/>
      <c r="E2535" s="519" t="n"/>
      <c r="F2535" s="517" t="n"/>
      <c r="G2535" s="518" t="n"/>
      <c r="H2535" s="516" t="n"/>
      <c r="I2535" s="537" t="n"/>
      <c r="J2535" s="533" t="n"/>
      <c r="K2535" s="516" t="n"/>
      <c r="L2535" s="537" t="n"/>
      <c r="M2535" s="540" t="n"/>
      <c r="N2535" s="516" t="n"/>
      <c r="O2535" s="537" t="n"/>
      <c r="P2535" s="540" t="n"/>
    </row>
    <row r="2536" ht="15.75" customHeight="1" s="2" thickBot="1"/>
    <row r="2537" ht="15.75" customHeight="1" s="2" thickBot="1">
      <c r="B2537" s="1652" t="inlineStr">
        <is>
          <t>18.12.2023</t>
        </is>
      </c>
      <c r="C2537" s="1641" t="n"/>
      <c r="D2537" s="1502" t="n"/>
      <c r="E2537" s="1640" t="inlineStr">
        <is>
          <t>25.12.2023</t>
        </is>
      </c>
      <c r="F2537" s="1641" t="n"/>
      <c r="G2537" s="1502" t="n"/>
      <c r="H2537" s="1640" t="inlineStr">
        <is>
          <t>01.01.2024</t>
        </is>
      </c>
      <c r="I2537" s="1641" t="n"/>
      <c r="J2537" s="1502" t="n"/>
      <c r="K2537" s="1640" t="n"/>
      <c r="L2537" s="1641" t="n"/>
      <c r="M2537" s="1502" t="n"/>
      <c r="N2537" s="1660" t="n"/>
      <c r="O2537" s="1641" t="n"/>
      <c r="P2537" s="1502" t="n"/>
    </row>
    <row r="2538" ht="15.75" customHeight="1" s="2" thickBot="1">
      <c r="A2538" s="455" t="n"/>
      <c r="B2538" s="1048" t="inlineStr">
        <is>
          <t>LAST YEAR</t>
        </is>
      </c>
      <c r="C2538" s="1049" t="inlineStr">
        <is>
          <t>Actual</t>
        </is>
      </c>
      <c r="D2538" s="1050" t="inlineStr">
        <is>
          <t>Projected</t>
        </is>
      </c>
      <c r="E2538" s="1048" t="inlineStr">
        <is>
          <t>LAST YEAR</t>
        </is>
      </c>
      <c r="F2538" s="1049" t="inlineStr">
        <is>
          <t>Actual</t>
        </is>
      </c>
      <c r="G2538" s="1050" t="inlineStr">
        <is>
          <t>Projected</t>
        </is>
      </c>
      <c r="H2538" s="1048" t="inlineStr">
        <is>
          <t>LAST YEAR</t>
        </is>
      </c>
      <c r="I2538" s="1049" t="inlineStr">
        <is>
          <t>Actual</t>
        </is>
      </c>
      <c r="J2538" s="1050" t="inlineStr">
        <is>
          <t>Projected</t>
        </is>
      </c>
      <c r="K2538" s="1048" t="inlineStr">
        <is>
          <t>LAST YEAR</t>
        </is>
      </c>
      <c r="L2538" s="1049" t="inlineStr">
        <is>
          <t>Actual</t>
        </is>
      </c>
      <c r="M2538" s="1050" t="inlineStr">
        <is>
          <t>Projected</t>
        </is>
      </c>
      <c r="N2538" s="1048" t="inlineStr">
        <is>
          <t>LAST YEAR</t>
        </is>
      </c>
      <c r="O2538" s="1049" t="inlineStr">
        <is>
          <t>Actual</t>
        </is>
      </c>
      <c r="P2538" s="1050" t="inlineStr">
        <is>
          <t>Projected</t>
        </is>
      </c>
    </row>
    <row r="2539" ht="15.75" customHeight="1" s="2">
      <c r="A2539" s="459" t="inlineStr">
        <is>
          <t>Total Receipts</t>
        </is>
      </c>
      <c r="B2539" s="1643" t="n">
        <v>127270.77</v>
      </c>
      <c r="C2539" s="1644" t="n">
        <v>155556.16</v>
      </c>
      <c r="D2539" s="1663" t="n">
        <v>176542</v>
      </c>
      <c r="E2539" s="1643" t="n">
        <v>119235</v>
      </c>
      <c r="F2539" s="1644" t="n">
        <v>216295.59</v>
      </c>
      <c r="G2539" s="1664" t="n">
        <v>224056</v>
      </c>
      <c r="H2539" s="1643" t="n">
        <v>248324.46</v>
      </c>
      <c r="I2539" s="1653" t="n">
        <v>262830.86</v>
      </c>
      <c r="J2539" s="1664" t="n">
        <v>249809</v>
      </c>
      <c r="K2539" s="1643" t="n"/>
      <c r="L2539" s="1644" t="n"/>
      <c r="M2539" s="1664" t="n"/>
      <c r="N2539" s="1643" t="n"/>
      <c r="O2539" s="1653" t="n"/>
      <c r="P2539" s="1663" t="n"/>
    </row>
    <row r="2540" ht="15.75" customHeight="1" s="2">
      <c r="A2540" s="462" t="inlineStr">
        <is>
          <t>Nett Sales</t>
        </is>
      </c>
      <c r="B2540" s="1632" t="n">
        <v>115700.7</v>
      </c>
      <c r="C2540" s="1646" t="n">
        <v>141414.69</v>
      </c>
      <c r="D2540" s="1633" t="n">
        <v>160492.7</v>
      </c>
      <c r="E2540" s="1632" t="n">
        <v>108396.03</v>
      </c>
      <c r="F2540" s="1646" t="n">
        <v>199632.35</v>
      </c>
      <c r="G2540" s="1667" t="n">
        <v>203686.8</v>
      </c>
      <c r="H2540" s="1632" t="n">
        <v>225749.51</v>
      </c>
      <c r="I2540" s="1646" t="n">
        <v>238937.15</v>
      </c>
      <c r="J2540" s="1633" t="n">
        <v>227099</v>
      </c>
      <c r="K2540" s="1632" t="n"/>
      <c r="L2540" s="1646" t="n"/>
      <c r="M2540" s="1633" t="n"/>
      <c r="N2540" s="1632" t="n"/>
      <c r="O2540" s="1646" t="n"/>
      <c r="P2540" s="1633" t="n"/>
    </row>
    <row r="2541" ht="15.75" customHeight="1" s="2">
      <c r="A2541" s="462" t="inlineStr">
        <is>
          <t>Customers</t>
        </is>
      </c>
      <c r="B2541" s="565" t="n">
        <v>5300</v>
      </c>
      <c r="C2541" s="866" t="n">
        <v>6473</v>
      </c>
      <c r="D2541" s="1244" t="n">
        <v>7240</v>
      </c>
      <c r="E2541" s="565" t="n">
        <v>4635</v>
      </c>
      <c r="F2541" s="866" t="n">
        <v>8917</v>
      </c>
      <c r="G2541" s="1244" t="n">
        <v>8970</v>
      </c>
      <c r="H2541" s="565" t="n">
        <v>9642</v>
      </c>
      <c r="I2541" s="866" t="n">
        <v>10456</v>
      </c>
      <c r="J2541" s="1244" t="n">
        <v>9895</v>
      </c>
      <c r="K2541" s="565" t="n"/>
      <c r="L2541" s="866" t="n"/>
      <c r="M2541" s="1244" t="n"/>
      <c r="N2541" s="565" t="n"/>
      <c r="O2541" s="866" t="n"/>
      <c r="P2541" s="1668" t="n"/>
    </row>
    <row r="2542" ht="15.75" customHeight="1" s="2">
      <c r="A2542" s="462" t="inlineStr">
        <is>
          <t>Average Customer Spend</t>
        </is>
      </c>
      <c r="B2542" s="1647" t="n">
        <v>24.01</v>
      </c>
      <c r="C2542" s="1648" t="n">
        <v>24.03</v>
      </c>
      <c r="D2542" s="1661" t="n">
        <v>24.38</v>
      </c>
      <c r="E2542" s="1647" t="n">
        <v>25.73</v>
      </c>
      <c r="F2542" s="1648" t="n">
        <v>24.25</v>
      </c>
      <c r="G2542" s="1670" t="n">
        <v>24.98</v>
      </c>
      <c r="H2542" s="1647" t="n">
        <v>25.75</v>
      </c>
      <c r="I2542" s="1654" t="n">
        <v>25.13</v>
      </c>
      <c r="J2542" s="1670" t="n">
        <v>25.25</v>
      </c>
      <c r="K2542" s="1647" t="n"/>
      <c r="L2542" s="1648" t="n"/>
      <c r="M2542" s="1670" t="n"/>
      <c r="N2542" s="1647" t="n"/>
      <c r="O2542" s="1654" t="n"/>
      <c r="P2542" s="1661" t="n"/>
    </row>
    <row r="2543" ht="15.75" customHeight="1" s="2">
      <c r="A2543" s="462" t="inlineStr">
        <is>
          <t>Wage % to Total Receipts</t>
        </is>
      </c>
      <c r="B2543" s="860" t="n">
        <v>0.3084</v>
      </c>
      <c r="C2543" s="868" t="n">
        <v>0.3359</v>
      </c>
      <c r="D2543" s="1245" t="n">
        <v>0.3155</v>
      </c>
      <c r="E2543" s="860" t="n">
        <v>0.3051</v>
      </c>
      <c r="F2543" s="868" t="n">
        <v>0.3284</v>
      </c>
      <c r="G2543" s="1250" t="n">
        <v>0.334</v>
      </c>
      <c r="H2543" s="860" t="n">
        <v>0.3811</v>
      </c>
      <c r="I2543" s="890" t="n">
        <v>0.3326</v>
      </c>
      <c r="J2543" s="1250" t="n">
        <v>0.3047</v>
      </c>
      <c r="K2543" s="860" t="n"/>
      <c r="L2543" s="868" t="n"/>
      <c r="M2543" s="1250" t="n"/>
      <c r="N2543" s="860" t="n"/>
      <c r="O2543" s="890" t="n"/>
      <c r="P2543" s="1245" t="n"/>
    </row>
    <row r="2544" ht="15.75" customHeight="1" s="2">
      <c r="A2544" s="462" t="inlineStr">
        <is>
          <t>Wage % to Nett Sales</t>
        </is>
      </c>
      <c r="B2544" s="860" t="n">
        <v>0.3392</v>
      </c>
      <c r="C2544" s="868" t="n">
        <v>0.3695</v>
      </c>
      <c r="D2544" s="1245" t="n">
        <v>0.347</v>
      </c>
      <c r="E2544" s="860" t="n">
        <v>0.3356</v>
      </c>
      <c r="F2544" s="868" t="n">
        <v>0.3613</v>
      </c>
      <c r="G2544" s="1250" t="n">
        <v>0.3683</v>
      </c>
      <c r="H2544" s="860" t="n">
        <v>0.4192</v>
      </c>
      <c r="I2544" s="890" t="n">
        <v>0.3659</v>
      </c>
      <c r="J2544" s="1250" t="n">
        <v>0.3352</v>
      </c>
      <c r="K2544" s="860" t="n"/>
      <c r="L2544" s="868" t="n"/>
      <c r="M2544" s="1250" t="n"/>
      <c r="N2544" s="860" t="n"/>
      <c r="O2544" s="890" t="n"/>
      <c r="P2544" s="1245" t="n"/>
    </row>
    <row r="2545" ht="15.75" customHeight="1" s="2">
      <c r="A2545" s="462" t="inlineStr">
        <is>
          <t>Productivity</t>
        </is>
      </c>
      <c r="B2545" s="568" t="n">
        <v>4.68</v>
      </c>
      <c r="C2545" s="869" t="n">
        <v>4.92</v>
      </c>
      <c r="D2545" s="1246" t="n">
        <v>5.2</v>
      </c>
      <c r="E2545" s="568" t="n">
        <v>4.7</v>
      </c>
      <c r="F2545" s="869" t="n">
        <v>5.48</v>
      </c>
      <c r="G2545" s="1246" t="n">
        <v>5.2</v>
      </c>
      <c r="H2545" s="568" t="n">
        <v>5.5</v>
      </c>
      <c r="I2545" s="869" t="n">
        <v>5.73</v>
      </c>
      <c r="J2545" s="1246" t="n">
        <v>5.2</v>
      </c>
      <c r="K2545" s="568" t="n"/>
      <c r="L2545" s="869" t="n"/>
      <c r="M2545" s="1246" t="n"/>
      <c r="N2545" s="568" t="n"/>
      <c r="O2545" s="869" t="n"/>
      <c r="P2545" s="1246" t="n"/>
    </row>
    <row r="2546" ht="15.75" customHeight="1" s="2">
      <c r="A2546" s="462" t="inlineStr">
        <is>
          <t>Average Hourly Rate</t>
        </is>
      </c>
      <c r="B2546" s="568" t="n">
        <v>34.67</v>
      </c>
      <c r="C2546" s="869" t="n">
        <v>39.7</v>
      </c>
      <c r="D2546" s="1661" t="n">
        <v>40</v>
      </c>
      <c r="E2546" s="568" t="n">
        <v>36.88</v>
      </c>
      <c r="F2546" s="869" t="n">
        <v>43.65</v>
      </c>
      <c r="G2546" s="1670" t="n">
        <v>43.5</v>
      </c>
      <c r="H2546" s="568" t="n">
        <v>54.03</v>
      </c>
      <c r="I2546" s="869" t="n">
        <v>47.89</v>
      </c>
      <c r="J2546" s="1670" t="n">
        <v>47.5</v>
      </c>
      <c r="K2546" s="568" t="n"/>
      <c r="L2546" s="869" t="n"/>
      <c r="M2546" s="1670" t="n"/>
      <c r="N2546" s="568" t="n"/>
      <c r="O2546" s="869" t="n"/>
      <c r="P2546" s="1661" t="n"/>
    </row>
    <row r="2547" ht="15.75" customHeight="1" s="2">
      <c r="A2547" s="462" t="inlineStr">
        <is>
          <t>Total hours for productivity</t>
        </is>
      </c>
      <c r="B2547" s="568" t="n">
        <v>1132</v>
      </c>
      <c r="C2547" s="869" t="n">
        <v>1316.25</v>
      </c>
      <c r="D2547" s="1244" t="n">
        <v>1392</v>
      </c>
      <c r="E2547" s="568" t="n">
        <v>986.25</v>
      </c>
      <c r="F2547" s="869" t="n">
        <v>1626.5</v>
      </c>
      <c r="G2547" s="1244" t="n">
        <v>1725</v>
      </c>
      <c r="H2547" s="568" t="n">
        <v>1745.5</v>
      </c>
      <c r="I2547" s="869" t="n">
        <v>1825.5</v>
      </c>
      <c r="J2547" s="1246" t="n">
        <v>1903</v>
      </c>
      <c r="K2547" s="568" t="n"/>
      <c r="L2547" s="869" t="n"/>
      <c r="M2547" s="1244" t="n"/>
      <c r="N2547" s="568" t="n"/>
      <c r="O2547" s="869" t="n"/>
      <c r="P2547" s="1244" t="n"/>
    </row>
    <row r="2548" ht="15.75" customHeight="1" s="2">
      <c r="A2548" s="462" t="inlineStr">
        <is>
          <t>Training Hours used</t>
        </is>
      </c>
      <c r="B2548" s="569" t="n"/>
      <c r="C2548" s="870" t="n"/>
      <c r="D2548" s="1244" t="n"/>
      <c r="E2548" s="569" t="n"/>
      <c r="F2548" s="870" t="n"/>
      <c r="G2548" s="1244" t="n"/>
      <c r="H2548" s="1266" t="n"/>
      <c r="I2548" s="870" t="n"/>
      <c r="J2548" s="1244" t="n"/>
      <c r="K2548" s="569" t="n"/>
      <c r="L2548" s="870" t="n"/>
      <c r="M2548" s="1244" t="n"/>
      <c r="N2548" s="569" t="n"/>
      <c r="O2548" s="870" t="n"/>
      <c r="P2548" s="1244" t="n"/>
    </row>
    <row r="2549" ht="15.75" customHeight="1" s="2" thickBot="1">
      <c r="A2549" s="474" t="inlineStr">
        <is>
          <t>Number of hours used to cover sick leave</t>
        </is>
      </c>
      <c r="B2549" s="570" t="n"/>
      <c r="C2549" s="813" t="n"/>
      <c r="D2549" s="1251" t="n"/>
      <c r="E2549" s="570" t="n"/>
      <c r="F2549" s="813" t="n"/>
      <c r="G2549" s="1251" t="n"/>
      <c r="H2549" s="1267" t="n"/>
      <c r="I2549" s="813" t="n"/>
      <c r="J2549" s="1251" t="n"/>
      <c r="K2549" s="570" t="n"/>
      <c r="L2549" s="813" t="n"/>
      <c r="M2549" s="1251" t="n"/>
      <c r="N2549" s="570" t="n"/>
      <c r="O2549" s="813" t="n"/>
      <c r="P2549" s="1251" t="n"/>
    </row>
    <row r="2550" ht="15.75" customHeight="1" s="2" thickBot="1">
      <c r="A2550" s="477" t="inlineStr">
        <is>
          <t xml:space="preserve">Minimum Hours </t>
        </is>
      </c>
      <c r="B2550" s="1171" t="n"/>
      <c r="C2550" s="816" t="inlineStr">
        <is>
          <t>Projected</t>
        </is>
      </c>
      <c r="D2550" s="817" t="inlineStr">
        <is>
          <t>Rostered</t>
        </is>
      </c>
      <c r="E2550" s="1171" t="n"/>
      <c r="F2550" s="935" t="inlineStr">
        <is>
          <t>Projected</t>
        </is>
      </c>
      <c r="G2550" s="936" t="inlineStr">
        <is>
          <t>Rostered</t>
        </is>
      </c>
      <c r="H2550" s="935" t="inlineStr">
        <is>
          <t>Min Hrs</t>
        </is>
      </c>
      <c r="I2550" s="935" t="inlineStr">
        <is>
          <t>Projected</t>
        </is>
      </c>
      <c r="J2550" s="936" t="inlineStr">
        <is>
          <t>Rostered</t>
        </is>
      </c>
      <c r="K2550" s="935" t="inlineStr">
        <is>
          <t>Min Hrs</t>
        </is>
      </c>
      <c r="L2550" s="935" t="inlineStr">
        <is>
          <t>Projected</t>
        </is>
      </c>
      <c r="M2550" s="936" t="inlineStr">
        <is>
          <t>Rostered</t>
        </is>
      </c>
      <c r="N2550" s="1171" t="n"/>
      <c r="O2550" s="935" t="inlineStr">
        <is>
          <t>Projected</t>
        </is>
      </c>
      <c r="P2550" s="936" t="inlineStr">
        <is>
          <t>Rostered</t>
        </is>
      </c>
    </row>
    <row r="2551" ht="15.75" customHeight="1" s="2">
      <c r="A2551" s="479" t="inlineStr">
        <is>
          <t>Floor</t>
        </is>
      </c>
      <c r="B2551" s="1172" t="n"/>
      <c r="C2551" s="810" t="n"/>
      <c r="D2551" s="811" t="n"/>
      <c r="E2551" s="1172" t="n"/>
      <c r="F2551" s="810" t="n"/>
      <c r="G2551" s="811" t="n">
        <v>773</v>
      </c>
      <c r="H2551" s="810" t="n"/>
      <c r="I2551" s="810" t="n"/>
      <c r="J2551" s="811" t="n"/>
      <c r="K2551" s="810" t="n"/>
      <c r="L2551" s="810" t="n"/>
      <c r="M2551" s="811" t="n"/>
      <c r="N2551" s="1172" t="n"/>
      <c r="O2551" s="810" t="n"/>
      <c r="P2551" s="811" t="n"/>
    </row>
    <row r="2552" ht="15.75" customHeight="1" s="2" thickBot="1">
      <c r="A2552" s="481" t="inlineStr">
        <is>
          <t>Kitchen</t>
        </is>
      </c>
      <c r="B2552" s="1173" t="n"/>
      <c r="C2552" s="813" t="n"/>
      <c r="D2552" s="814" t="n"/>
      <c r="E2552" s="1173" t="n"/>
      <c r="F2552" s="840" t="n"/>
      <c r="G2552" s="814" t="n">
        <v>735.5</v>
      </c>
      <c r="H2552" s="813" t="n"/>
      <c r="I2552" s="840" t="n"/>
      <c r="J2552" s="814" t="n"/>
      <c r="K2552" s="813" t="n"/>
      <c r="L2552" s="840" t="n"/>
      <c r="M2552" s="814" t="n"/>
      <c r="N2552" s="1173" t="n"/>
      <c r="O2552" s="813" t="n"/>
      <c r="P2552" s="814" t="n"/>
    </row>
    <row r="2553" ht="15.75" customHeight="1" s="2" thickBot="1">
      <c r="A2553" s="834" t="n"/>
      <c r="B2553" s="836" t="n"/>
      <c r="C2553" s="1051" t="n"/>
      <c r="D2553" s="1051" t="n"/>
      <c r="E2553" s="839" t="n"/>
      <c r="F2553" s="1051" t="n"/>
      <c r="G2553" s="1051" t="n"/>
      <c r="H2553" s="839" t="n"/>
      <c r="I2553" s="1051" t="n"/>
      <c r="J2553" s="1051" t="n"/>
      <c r="K2553" s="839" t="n"/>
      <c r="L2553" s="1051" t="n"/>
      <c r="M2553" s="1051" t="n"/>
      <c r="N2553" s="839" t="n"/>
      <c r="O2553" s="835" t="n"/>
      <c r="P2553" s="835" t="n"/>
    </row>
    <row r="2554" ht="15.75" customHeight="1" s="2">
      <c r="A2554" s="506" t="inlineStr">
        <is>
          <t>Training explanation</t>
        </is>
      </c>
      <c r="B2554" s="837" t="n"/>
      <c r="C2554" s="1051" t="n"/>
      <c r="D2554" s="1051" t="n"/>
      <c r="E2554" s="837" t="n"/>
      <c r="F2554" s="1051" t="n"/>
      <c r="G2554" s="1051" t="n"/>
      <c r="H2554" s="837" t="n"/>
      <c r="I2554" s="1051" t="n"/>
      <c r="J2554" s="1051" t="n"/>
      <c r="K2554" s="837" t="n"/>
      <c r="L2554" s="1051" t="n"/>
      <c r="M2554" s="1051" t="n"/>
      <c r="N2554" s="837" t="n"/>
      <c r="O2554" s="835" t="n"/>
      <c r="P2554" s="835" t="n"/>
    </row>
    <row r="2555" ht="15.75" customHeight="1" s="2" thickBot="1">
      <c r="A2555" s="506" t="inlineStr">
        <is>
          <t>Who is being Trained</t>
        </is>
      </c>
      <c r="B2555" s="838" t="n"/>
      <c r="C2555" s="1052" t="n"/>
      <c r="D2555" s="1052" t="n"/>
      <c r="E2555" s="838" t="n"/>
      <c r="F2555" s="1052" t="n"/>
      <c r="G2555" s="1052" t="n"/>
      <c r="H2555" s="838" t="n"/>
      <c r="I2555" s="1052" t="n"/>
      <c r="J2555" s="1052" t="n"/>
      <c r="K2555" s="838" t="n"/>
      <c r="L2555" s="1052" t="n"/>
      <c r="M2555" s="1052" t="n"/>
      <c r="N2555" s="838" t="n"/>
    </row>
    <row r="2556" ht="15.75" customHeight="1" s="2" thickBot="1">
      <c r="A2556" s="506" t="n"/>
      <c r="C2556" s="523" t="inlineStr">
        <is>
          <t>floor</t>
        </is>
      </c>
      <c r="D2556" s="524" t="inlineStr">
        <is>
          <t>kitchen</t>
        </is>
      </c>
      <c r="E2556" s="509" t="n"/>
      <c r="F2556" s="507" t="inlineStr">
        <is>
          <t>floor</t>
        </is>
      </c>
      <c r="G2556" s="508" t="inlineStr">
        <is>
          <t>kitchen</t>
        </is>
      </c>
      <c r="H2556" s="510" t="n"/>
      <c r="I2556" s="535" t="inlineStr">
        <is>
          <t>floor</t>
        </is>
      </c>
      <c r="J2556" s="511" t="inlineStr">
        <is>
          <t>kitchen</t>
        </is>
      </c>
      <c r="K2556" s="512" t="n"/>
      <c r="L2556" s="535" t="inlineStr">
        <is>
          <t>floor</t>
        </is>
      </c>
      <c r="M2556" s="513" t="inlineStr">
        <is>
          <t>kitchen</t>
        </is>
      </c>
      <c r="N2556" s="512" t="n"/>
      <c r="O2556" s="535" t="inlineStr">
        <is>
          <t>floor</t>
        </is>
      </c>
      <c r="P2556" s="513" t="inlineStr">
        <is>
          <t>kitchen</t>
        </is>
      </c>
    </row>
    <row r="2557" ht="15.75" customHeight="1" s="2">
      <c r="A2557" s="506" t="n"/>
      <c r="C2557" s="525" t="n"/>
      <c r="D2557" s="527" t="inlineStr">
        <is>
          <t>Partho 8.5  SR</t>
        </is>
      </c>
      <c r="E2557" s="514" t="n"/>
      <c r="F2557" s="525" t="n"/>
      <c r="G2557" s="527" t="n"/>
      <c r="H2557" s="515" t="n"/>
      <c r="I2557" s="531" t="n"/>
      <c r="J2557" s="824" t="n"/>
      <c r="K2557" s="515" t="n"/>
      <c r="L2557" s="536" t="n"/>
      <c r="M2557" s="532" t="n"/>
      <c r="N2557" s="515" t="n"/>
      <c r="O2557" s="536" t="n"/>
      <c r="P2557" s="532" t="n"/>
    </row>
    <row r="2558" ht="15.75" customHeight="1" s="2">
      <c r="C2558" s="891" t="n"/>
      <c r="D2558" s="526" t="n"/>
      <c r="E2558" s="514" t="n"/>
      <c r="F2558" s="891" t="n"/>
      <c r="G2558" s="526" t="n"/>
      <c r="H2558" s="516" t="n"/>
      <c r="I2558" s="1656" t="n"/>
      <c r="J2558" s="530" t="n"/>
      <c r="K2558" s="516" t="n"/>
      <c r="L2558" s="542" t="n"/>
      <c r="M2558" s="530" t="n"/>
      <c r="N2558" s="516" t="n"/>
      <c r="O2558" s="542" t="n"/>
      <c r="P2558" s="530" t="n"/>
    </row>
    <row r="2559" ht="15.75" customHeight="1" s="2">
      <c r="C2559" s="550" t="n"/>
      <c r="D2559" s="527" t="n"/>
      <c r="E2559" s="514" t="n"/>
      <c r="F2559" s="531" t="n"/>
      <c r="G2559" s="530" t="n"/>
      <c r="H2559" s="516" t="n"/>
      <c r="I2559" s="537" t="n"/>
      <c r="J2559" s="530" t="n"/>
      <c r="K2559" s="516" t="n"/>
      <c r="L2559" s="1657" t="n"/>
      <c r="M2559" s="539" t="n"/>
      <c r="N2559" s="516" t="n"/>
      <c r="O2559" s="542" t="n"/>
      <c r="P2559" s="539" t="n"/>
    </row>
    <row r="2560" ht="15.75" customHeight="1" s="2">
      <c r="C2560" s="561" t="n"/>
      <c r="D2560" s="561" t="n"/>
      <c r="E2560" s="519" t="n"/>
      <c r="F2560" s="517" t="n"/>
      <c r="G2560" s="1659" t="n"/>
      <c r="H2560" s="516" t="n"/>
      <c r="I2560" s="537" t="n"/>
      <c r="J2560" s="530" t="n"/>
      <c r="K2560" s="516" t="n"/>
      <c r="L2560" s="537" t="n"/>
      <c r="M2560" s="539" t="n"/>
      <c r="N2560" s="516" t="n"/>
      <c r="O2560" s="537" t="n"/>
      <c r="P2560" s="539" t="n"/>
    </row>
    <row r="2561" ht="15.75" customHeight="1" s="2">
      <c r="C2561" s="551" t="n"/>
      <c r="D2561" s="528" t="n"/>
      <c r="E2561" s="519" t="n"/>
      <c r="F2561" s="517" t="n"/>
      <c r="G2561" s="518" t="n"/>
      <c r="H2561" s="516" t="n"/>
      <c r="I2561" s="537" t="n"/>
      <c r="J2561" s="533" t="n"/>
      <c r="K2561" s="516" t="n"/>
      <c r="L2561" s="537" t="n"/>
      <c r="M2561" s="540" t="n"/>
      <c r="N2561" s="516" t="n"/>
      <c r="O2561" s="537" t="n"/>
      <c r="P2561" s="540" t="n"/>
    </row>
    <row r="2564" ht="15.75" customHeight="1" s="2">
      <c r="H2564" s="454" t="n">
        <v>2024</v>
      </c>
    </row>
    <row r="2565" ht="15.75" customHeight="1" s="2" thickBot="1"/>
    <row r="2566" ht="15.75" customHeight="1" s="2" thickBot="1">
      <c r="B2566" s="1652" t="inlineStr">
        <is>
          <t>08.01.2024</t>
        </is>
      </c>
      <c r="C2566" s="1641" t="n"/>
      <c r="D2566" s="1502" t="n"/>
      <c r="E2566" s="1640" t="inlineStr">
        <is>
          <t>15.01.2024</t>
        </is>
      </c>
      <c r="F2566" s="1641" t="n"/>
      <c r="G2566" s="1502" t="n"/>
      <c r="H2566" s="1640" t="inlineStr">
        <is>
          <t>22.01.2024</t>
        </is>
      </c>
      <c r="I2566" s="1641" t="n"/>
      <c r="J2566" s="1502" t="n"/>
      <c r="K2566" s="1640" t="inlineStr">
        <is>
          <t>29.01.2024</t>
        </is>
      </c>
      <c r="L2566" s="1641" t="n"/>
      <c r="M2566" s="1502" t="n"/>
      <c r="N2566" s="1660" t="inlineStr">
        <is>
          <t>05.02.2024</t>
        </is>
      </c>
      <c r="O2566" s="1641" t="n"/>
      <c r="P2566" s="1502" t="n"/>
    </row>
    <row r="2567" ht="15.75" customHeight="1" s="2" thickBot="1">
      <c r="A2567" s="455" t="n"/>
      <c r="B2567" s="1217" t="inlineStr">
        <is>
          <t>LAST YEAR</t>
        </is>
      </c>
      <c r="C2567" s="1218" t="inlineStr">
        <is>
          <t>Actual</t>
        </is>
      </c>
      <c r="D2567" s="1219" t="inlineStr">
        <is>
          <t>Projected</t>
        </is>
      </c>
      <c r="E2567" s="1217" t="inlineStr">
        <is>
          <t>LAST YEAR</t>
        </is>
      </c>
      <c r="F2567" s="1218" t="inlineStr">
        <is>
          <t>Actual</t>
        </is>
      </c>
      <c r="G2567" s="1219" t="inlineStr">
        <is>
          <t>Projected</t>
        </is>
      </c>
      <c r="H2567" s="1217" t="inlineStr">
        <is>
          <t>LAST YEAR</t>
        </is>
      </c>
      <c r="I2567" s="1218" t="inlineStr">
        <is>
          <t>Actual</t>
        </is>
      </c>
      <c r="J2567" s="1219" t="inlineStr">
        <is>
          <t>Projected</t>
        </is>
      </c>
      <c r="K2567" s="1217" t="inlineStr">
        <is>
          <t>LAST YEAR</t>
        </is>
      </c>
      <c r="L2567" s="1218" t="inlineStr">
        <is>
          <t>Actual</t>
        </is>
      </c>
      <c r="M2567" s="1219" t="inlineStr">
        <is>
          <t>Projected</t>
        </is>
      </c>
      <c r="N2567" s="1217" t="inlineStr">
        <is>
          <t>LAST YEAR</t>
        </is>
      </c>
      <c r="O2567" s="1218" t="inlineStr">
        <is>
          <t>Actual</t>
        </is>
      </c>
      <c r="P2567" s="1219" t="inlineStr">
        <is>
          <t>Projected</t>
        </is>
      </c>
    </row>
    <row r="2568" ht="15.75" customHeight="1" s="2">
      <c r="A2568" s="459" t="inlineStr">
        <is>
          <t>Total Receipts</t>
        </is>
      </c>
      <c r="B2568" s="1672" t="n">
        <v>194028.42</v>
      </c>
      <c r="C2568" s="1673" t="n">
        <v>207640.99</v>
      </c>
      <c r="D2568" s="1674" t="n">
        <v>185057</v>
      </c>
      <c r="E2568" s="1672" t="n">
        <v>157515.12</v>
      </c>
      <c r="F2568" s="1673" t="n">
        <v>148421.68</v>
      </c>
      <c r="G2568" s="1675" t="n">
        <v>196714</v>
      </c>
      <c r="H2568" s="1672" t="n">
        <v>143075.63</v>
      </c>
      <c r="I2568" s="1676" t="n">
        <v>145332.72</v>
      </c>
      <c r="J2568" s="1675" t="n">
        <v>171753</v>
      </c>
      <c r="K2568" s="1672" t="n">
        <v>156742</v>
      </c>
      <c r="L2568" s="1673" t="n">
        <v>178739.22</v>
      </c>
      <c r="M2568" s="1675" t="n">
        <v>187173</v>
      </c>
      <c r="N2568" s="1672" t="n">
        <v>110125.51</v>
      </c>
      <c r="O2568" s="1676" t="n">
        <v>131839.48</v>
      </c>
      <c r="P2568" s="1674" t="n">
        <v>137686</v>
      </c>
    </row>
    <row r="2569" ht="15.75" customHeight="1" s="2">
      <c r="A2569" s="462" t="inlineStr">
        <is>
          <t>Nett Sales</t>
        </is>
      </c>
      <c r="B2569" s="1677" t="n">
        <v>176389.47</v>
      </c>
      <c r="C2569" s="1678" t="n">
        <v>188764.54</v>
      </c>
      <c r="D2569" s="1679" t="n">
        <v>168233.2</v>
      </c>
      <c r="E2569" s="1677" t="n">
        <v>14315</v>
      </c>
      <c r="F2569" s="1678" t="n">
        <v>134928.25</v>
      </c>
      <c r="G2569" s="1680" t="n">
        <v>178830</v>
      </c>
      <c r="H2569" s="1677" t="n">
        <v>130068.75</v>
      </c>
      <c r="I2569" s="1678" t="n">
        <v>132120.66</v>
      </c>
      <c r="J2569" s="1679" t="n">
        <v>156138.6</v>
      </c>
      <c r="K2569" s="1677" t="n">
        <v>142493.47</v>
      </c>
      <c r="L2569" s="1678" t="n">
        <v>162490.2</v>
      </c>
      <c r="M2569" s="1679" t="n">
        <v>170157.5</v>
      </c>
      <c r="N2569" s="1677" t="n">
        <v>100114.1</v>
      </c>
      <c r="O2569" s="1678" t="n">
        <v>119854.07</v>
      </c>
      <c r="P2569" s="1679" t="n">
        <v>125168.6</v>
      </c>
    </row>
    <row r="2570" ht="15.75" customHeight="1" s="2">
      <c r="A2570" s="462" t="inlineStr">
        <is>
          <t>Customers</t>
        </is>
      </c>
      <c r="B2570" s="1270" t="n">
        <v>7686</v>
      </c>
      <c r="C2570" s="1224" t="n">
        <v>8592</v>
      </c>
      <c r="D2570" s="1277" t="n">
        <v>7590</v>
      </c>
      <c r="E2570" s="1270" t="n">
        <v>6316</v>
      </c>
      <c r="F2570" s="1224" t="n">
        <v>6264</v>
      </c>
      <c r="G2570" s="1277" t="n">
        <v>8090</v>
      </c>
      <c r="H2570" s="1270" t="n">
        <v>5937</v>
      </c>
      <c r="I2570" s="1224" t="n">
        <v>6086</v>
      </c>
      <c r="J2570" s="1277" t="n">
        <v>7060</v>
      </c>
      <c r="K2570" s="1270" t="n">
        <v>6074</v>
      </c>
      <c r="L2570" s="1224" t="n">
        <v>7475</v>
      </c>
      <c r="M2570" s="1277" t="n">
        <v>7515</v>
      </c>
      <c r="N2570" s="1270" t="n">
        <v>4350</v>
      </c>
      <c r="O2570" s="1224" t="n">
        <v>5515</v>
      </c>
      <c r="P2570" s="1681" t="n">
        <v>5660</v>
      </c>
    </row>
    <row r="2571" ht="15.75" customHeight="1" s="2">
      <c r="A2571" s="462" t="inlineStr">
        <is>
          <t>Average Customer Spend</t>
        </is>
      </c>
      <c r="B2571" s="1682" t="n">
        <v>25.24</v>
      </c>
      <c r="C2571" s="1683" t="n">
        <v>24.16</v>
      </c>
      <c r="D2571" s="1684" t="n">
        <v>24.38</v>
      </c>
      <c r="E2571" s="1682">
        <f>E2568/E2570</f>
        <v/>
      </c>
      <c r="F2571" s="1683" t="n">
        <v>23.69</v>
      </c>
      <c r="G2571" s="1685" t="n">
        <v>24.32</v>
      </c>
      <c r="H2571" s="1682">
        <f>H2568/5937</f>
        <v/>
      </c>
      <c r="I2571" s="1686" t="n">
        <v>23.87</v>
      </c>
      <c r="J2571" s="1685" t="n">
        <v>24.33</v>
      </c>
      <c r="K2571" s="1682">
        <f>K2568/6074</f>
        <v/>
      </c>
      <c r="L2571" s="1683" t="n">
        <v>23.91</v>
      </c>
      <c r="M2571" s="1685" t="n">
        <v>24.91</v>
      </c>
      <c r="N2571" s="1682" t="n">
        <v>25.32</v>
      </c>
      <c r="O2571" s="1686" t="n">
        <v>23.9</v>
      </c>
      <c r="P2571" s="1684" t="n">
        <v>24.33</v>
      </c>
    </row>
    <row r="2572" ht="15.75" customHeight="1" s="2">
      <c r="A2572" s="462" t="inlineStr">
        <is>
          <t>Wage % to Total Receipts</t>
        </is>
      </c>
      <c r="B2572" s="1272" t="n">
        <v>0.3081</v>
      </c>
      <c r="C2572" s="1226" t="n">
        <v>0.2878</v>
      </c>
      <c r="D2572" s="1279" t="n">
        <v>0.3273</v>
      </c>
      <c r="E2572" s="1272" t="n">
        <v>0.3408</v>
      </c>
      <c r="F2572" s="1226" t="n">
        <v>0.3588</v>
      </c>
      <c r="G2572" s="1286" t="n">
        <v>0.3282</v>
      </c>
      <c r="H2572" s="1272" t="n">
        <v>0.3285</v>
      </c>
      <c r="I2572" s="1232" t="n">
        <v>0.3501</v>
      </c>
      <c r="J2572" s="1286" t="n">
        <v>0.3281</v>
      </c>
      <c r="K2572" s="1272" t="n">
        <v>0.3613</v>
      </c>
      <c r="L2572" s="1226" t="n">
        <v>0.3456</v>
      </c>
      <c r="M2572" s="1286" t="n">
        <v>0.3204</v>
      </c>
      <c r="N2572" s="1272" t="n">
        <v>0.3597</v>
      </c>
      <c r="O2572" s="1232" t="n">
        <v>0.3426</v>
      </c>
      <c r="P2572" s="1279" t="n">
        <v>0.3281</v>
      </c>
    </row>
    <row r="2573" ht="15.75" customHeight="1" s="2">
      <c r="A2573" s="462" t="inlineStr">
        <is>
          <t>Wage % to Nett Sales</t>
        </is>
      </c>
      <c r="B2573" s="1272" t="n">
        <v>0.339</v>
      </c>
      <c r="C2573" s="1226" t="n">
        <v>0.3166</v>
      </c>
      <c r="D2573" s="1279" t="n">
        <v>0.3601</v>
      </c>
      <c r="E2573" s="1272" t="n">
        <v>0.3749</v>
      </c>
      <c r="F2573" s="1226" t="n">
        <v>0.3947</v>
      </c>
      <c r="G2573" s="1286" t="n">
        <v>0.361</v>
      </c>
      <c r="H2573" s="1272" t="n">
        <v>0.3613</v>
      </c>
      <c r="I2573" s="1232" t="n">
        <v>0.385</v>
      </c>
      <c r="J2573" s="1286" t="n">
        <v>0.3609</v>
      </c>
      <c r="K2573" s="1272" t="n">
        <v>0.3974</v>
      </c>
      <c r="L2573" s="1226" t="n">
        <v>0.3802</v>
      </c>
      <c r="M2573" s="1286" t="n">
        <v>0.3525</v>
      </c>
      <c r="N2573" s="1272" t="n">
        <v>0.3956</v>
      </c>
      <c r="O2573" s="1232" t="n">
        <v>0.3768</v>
      </c>
      <c r="P2573" s="1279" t="n">
        <v>0.3609</v>
      </c>
    </row>
    <row r="2574" ht="15.75" customHeight="1" s="2">
      <c r="A2574" s="462" t="inlineStr">
        <is>
          <t>Productivity</t>
        </is>
      </c>
      <c r="B2574" s="1273" t="n">
        <v>5.17</v>
      </c>
      <c r="C2574" s="1227" t="n">
        <v>5.79</v>
      </c>
      <c r="D2574" s="1280" t="n">
        <v>5.2</v>
      </c>
      <c r="E2574" s="1273" t="n">
        <v>4.51</v>
      </c>
      <c r="F2574" s="1227" t="n">
        <v>4.46</v>
      </c>
      <c r="G2574" s="1280" t="n">
        <v>5.2</v>
      </c>
      <c r="H2574" s="1273" t="n">
        <v>4.74</v>
      </c>
      <c r="I2574" s="1227" t="n">
        <v>4.59</v>
      </c>
      <c r="J2574" s="1280" t="n">
        <v>5.2</v>
      </c>
      <c r="K2574" s="1273" t="n">
        <v>4.7</v>
      </c>
      <c r="L2574" s="1227" t="n">
        <v>5.51</v>
      </c>
      <c r="M2574" s="1280" t="n">
        <v>5.2</v>
      </c>
      <c r="N2574" s="1273" t="n">
        <v>4.22</v>
      </c>
      <c r="O2574" s="1227" t="n">
        <v>4.76</v>
      </c>
      <c r="P2574" s="1280" t="n">
        <v>5.2</v>
      </c>
    </row>
    <row r="2575" ht="15.75" customHeight="1" s="2">
      <c r="A2575" s="462" t="inlineStr">
        <is>
          <t>Average Hourly Rate</t>
        </is>
      </c>
      <c r="B2575" s="1273" t="n">
        <v>40.23</v>
      </c>
      <c r="C2575" s="1227" t="n">
        <v>40.25</v>
      </c>
      <c r="D2575" s="1684" t="n">
        <v>41.5</v>
      </c>
      <c r="E2575" s="1273" t="n">
        <v>38.32</v>
      </c>
      <c r="F2575" s="1227" t="n">
        <v>37.95</v>
      </c>
      <c r="G2575" s="1685" t="n">
        <v>41.5</v>
      </c>
      <c r="H2575" s="1273" t="n">
        <v>37.51</v>
      </c>
      <c r="I2575" s="1227" t="n">
        <v>38.41</v>
      </c>
      <c r="J2575" s="1685" t="n">
        <v>41.5</v>
      </c>
      <c r="K2575" s="1273" t="n">
        <v>43.82</v>
      </c>
      <c r="L2575" s="1227" t="n">
        <v>45.56</v>
      </c>
      <c r="M2575" s="1685" t="n">
        <v>41.5</v>
      </c>
      <c r="N2575" s="1273" t="n">
        <v>38.39</v>
      </c>
      <c r="O2575" s="1227" t="n">
        <v>38.99</v>
      </c>
      <c r="P2575" s="1684" t="n">
        <v>41.5</v>
      </c>
    </row>
    <row r="2576" ht="15.75" customHeight="1" s="2">
      <c r="A2576" s="462" t="inlineStr">
        <is>
          <t>Total hours for productivity</t>
        </is>
      </c>
      <c r="B2576" s="1273" t="n">
        <v>1486.25</v>
      </c>
      <c r="C2576" s="1227" t="n">
        <v>1484.75</v>
      </c>
      <c r="D2576" s="1277" t="n">
        <v>1460</v>
      </c>
      <c r="E2576" s="1273" t="n">
        <v>1401</v>
      </c>
      <c r="F2576" s="1227" t="n">
        <v>1403.25</v>
      </c>
      <c r="G2576" s="1277" t="n">
        <v>1556</v>
      </c>
      <c r="H2576" s="1273" t="n">
        <v>1253</v>
      </c>
      <c r="I2576" s="1227" t="n">
        <v>1324.5</v>
      </c>
      <c r="J2576" s="1280" t="n">
        <v>1358</v>
      </c>
      <c r="K2576" s="1273" t="n">
        <v>1292.25</v>
      </c>
      <c r="L2576" s="1227" t="n">
        <v>1356</v>
      </c>
      <c r="M2576" s="1277" t="n">
        <v>1445</v>
      </c>
      <c r="N2576" s="1273" t="n">
        <v>1031.75</v>
      </c>
      <c r="O2576" s="1227" t="n">
        <v>1158.25</v>
      </c>
      <c r="P2576" s="1277" t="n">
        <v>1088</v>
      </c>
    </row>
    <row r="2577" ht="15.75" customHeight="1" s="2">
      <c r="A2577" s="462" t="inlineStr">
        <is>
          <t>Training Hours used</t>
        </is>
      </c>
      <c r="B2577" s="1274" t="n"/>
      <c r="C2577" s="1228" t="n"/>
      <c r="D2577" s="1277" t="n"/>
      <c r="E2577" s="1274" t="n"/>
      <c r="F2577" s="1228" t="n"/>
      <c r="G2577" s="1277" t="n"/>
      <c r="H2577" s="1274" t="n">
        <v>5</v>
      </c>
      <c r="I2577" s="1228" t="n"/>
      <c r="J2577" s="1277" t="n"/>
      <c r="K2577" s="1274" t="n">
        <v>25</v>
      </c>
      <c r="L2577" s="1228" t="n"/>
      <c r="M2577" s="1277" t="n"/>
      <c r="N2577" s="1274" t="n">
        <v>53.5</v>
      </c>
      <c r="O2577" s="1228" t="n"/>
      <c r="P2577" s="1277" t="n"/>
    </row>
    <row r="2578" ht="15.75" customHeight="1" s="2" thickBot="1">
      <c r="A2578" s="474" t="inlineStr">
        <is>
          <t>Number of hours used to cover sick leave</t>
        </is>
      </c>
      <c r="B2578" s="1282" t="n"/>
      <c r="C2578" s="1229" t="n"/>
      <c r="D2578" s="1281" t="n"/>
      <c r="E2578" s="1282" t="n"/>
      <c r="F2578" s="1229" t="n"/>
      <c r="G2578" s="1281" t="n"/>
      <c r="H2578" s="1282" t="n">
        <v>0</v>
      </c>
      <c r="I2578" s="1229" t="n"/>
      <c r="J2578" s="1281" t="n"/>
      <c r="K2578" s="1282" t="n">
        <v>0</v>
      </c>
      <c r="L2578" s="1229" t="n"/>
      <c r="M2578" s="1281" t="n"/>
      <c r="N2578" s="1282" t="n">
        <v>5</v>
      </c>
      <c r="O2578" s="1229" t="n"/>
      <c r="P2578" s="1281" t="n"/>
    </row>
    <row r="2579" ht="15.75" customHeight="1" s="2" thickBot="1">
      <c r="A2579" s="477" t="inlineStr">
        <is>
          <t xml:space="preserve">Minimum Hours </t>
        </is>
      </c>
      <c r="B2579" s="1171" t="n"/>
      <c r="C2579" s="816" t="inlineStr">
        <is>
          <t>Projected</t>
        </is>
      </c>
      <c r="D2579" s="817" t="inlineStr">
        <is>
          <t>Rostered</t>
        </is>
      </c>
      <c r="E2579" s="1171" t="n"/>
      <c r="F2579" s="935" t="inlineStr">
        <is>
          <t>Projected</t>
        </is>
      </c>
      <c r="G2579" s="936" t="inlineStr">
        <is>
          <t>Rostered</t>
        </is>
      </c>
      <c r="H2579" s="935" t="inlineStr">
        <is>
          <t>Min Hrs</t>
        </is>
      </c>
      <c r="I2579" s="935" t="inlineStr">
        <is>
          <t>Projected</t>
        </is>
      </c>
      <c r="J2579" s="936" t="inlineStr">
        <is>
          <t>Rostered</t>
        </is>
      </c>
      <c r="K2579" s="935" t="inlineStr">
        <is>
          <t>Min Hrs</t>
        </is>
      </c>
      <c r="L2579" s="935" t="inlineStr">
        <is>
          <t>Projected</t>
        </is>
      </c>
      <c r="M2579" s="936" t="inlineStr">
        <is>
          <t>Rostered</t>
        </is>
      </c>
      <c r="N2579" s="1171" t="n"/>
      <c r="O2579" s="935" t="inlineStr">
        <is>
          <t>Projected</t>
        </is>
      </c>
      <c r="P2579" s="936" t="inlineStr">
        <is>
          <t>Rostered</t>
        </is>
      </c>
    </row>
    <row r="2580" ht="15.75" customHeight="1" s="2">
      <c r="A2580" s="479" t="inlineStr">
        <is>
          <t>Floor</t>
        </is>
      </c>
      <c r="B2580" s="1172" t="n"/>
      <c r="C2580" s="810" t="n"/>
      <c r="D2580" s="811" t="n"/>
      <c r="E2580" s="1172" t="n"/>
      <c r="F2580" s="810" t="n"/>
      <c r="G2580" s="811" t="n"/>
      <c r="H2580" s="810" t="n"/>
      <c r="I2580" s="810" t="n"/>
      <c r="J2580" s="811" t="n"/>
      <c r="K2580" s="810" t="n"/>
      <c r="L2580" s="810" t="n"/>
      <c r="M2580" s="811" t="n"/>
      <c r="N2580" s="1172" t="n"/>
      <c r="O2580" s="810" t="n"/>
      <c r="P2580" s="811" t="n"/>
    </row>
    <row r="2581" ht="15.75" customHeight="1" s="2" thickBot="1">
      <c r="A2581" s="481" t="inlineStr">
        <is>
          <t>Kitchen</t>
        </is>
      </c>
      <c r="B2581" s="1173" t="n"/>
      <c r="C2581" s="813" t="n"/>
      <c r="D2581" s="814" t="n"/>
      <c r="E2581" s="1173" t="n"/>
      <c r="F2581" s="840" t="n"/>
      <c r="G2581" s="814" t="n"/>
      <c r="H2581" s="813" t="n"/>
      <c r="I2581" s="840" t="n"/>
      <c r="J2581" s="814" t="n"/>
      <c r="K2581" s="813" t="n"/>
      <c r="L2581" s="840" t="n"/>
      <c r="M2581" s="814" t="n"/>
      <c r="N2581" s="1173" t="n"/>
      <c r="O2581" s="813" t="n"/>
      <c r="P2581" s="814" t="n"/>
    </row>
    <row r="2582" ht="15.75" customHeight="1" s="2" thickBot="1">
      <c r="A2582" s="834" t="n"/>
      <c r="B2582" s="836" t="n"/>
      <c r="C2582" s="1220" t="n"/>
      <c r="D2582" s="1220" t="n"/>
      <c r="E2582" s="839" t="n"/>
      <c r="F2582" s="1220" t="n"/>
      <c r="G2582" s="1220" t="n"/>
      <c r="H2582" s="839" t="n"/>
      <c r="I2582" s="1220" t="n"/>
      <c r="J2582" s="1220" t="n"/>
      <c r="K2582" s="839" t="n"/>
      <c r="L2582" s="1220" t="n"/>
      <c r="M2582" s="1220" t="n"/>
      <c r="N2582" s="839" t="n"/>
      <c r="O2582" s="835" t="n"/>
      <c r="P2582" s="835" t="n"/>
    </row>
    <row r="2583" ht="15.75" customHeight="1" s="2">
      <c r="A2583" s="506" t="inlineStr">
        <is>
          <t>Training explanation</t>
        </is>
      </c>
      <c r="B2583" s="837" t="n"/>
      <c r="C2583" s="1220" t="n"/>
      <c r="D2583" s="1220" t="n"/>
      <c r="E2583" s="837" t="n"/>
      <c r="F2583" s="1220" t="n"/>
      <c r="G2583" s="1220" t="n"/>
      <c r="H2583" s="837" t="n"/>
      <c r="I2583" s="1220" t="n"/>
      <c r="J2583" s="1220" t="n"/>
      <c r="K2583" s="837" t="n"/>
      <c r="L2583" s="1220" t="n"/>
      <c r="M2583" s="1220" t="n"/>
      <c r="N2583" s="837" t="n"/>
      <c r="O2583" s="835" t="n"/>
      <c r="P2583" s="835" t="n"/>
    </row>
    <row r="2584" ht="15.75" customHeight="1" s="2" thickBot="1">
      <c r="A2584" s="506" t="inlineStr">
        <is>
          <t>Who is being Trained</t>
        </is>
      </c>
      <c r="B2584" s="838" t="n"/>
      <c r="C2584" s="1221" t="n"/>
      <c r="D2584" s="1221" t="n"/>
      <c r="E2584" s="838" t="n"/>
      <c r="F2584" s="1221" t="n"/>
      <c r="G2584" s="1221" t="n"/>
      <c r="H2584" s="838" t="n"/>
      <c r="I2584" s="1221" t="n"/>
      <c r="J2584" s="1221" t="n"/>
      <c r="K2584" s="838" t="n"/>
      <c r="L2584" s="1221" t="n"/>
      <c r="M2584" s="1221" t="n"/>
      <c r="N2584" s="838" t="n"/>
    </row>
    <row r="2585" ht="15.75" customHeight="1" s="2" thickBot="1">
      <c r="A2585" s="506" t="n"/>
      <c r="C2585" s="523" t="inlineStr">
        <is>
          <t>floor</t>
        </is>
      </c>
      <c r="D2585" s="524" t="inlineStr">
        <is>
          <t>kitchen</t>
        </is>
      </c>
      <c r="E2585" s="509" t="n"/>
      <c r="F2585" s="507" t="inlineStr">
        <is>
          <t>floor</t>
        </is>
      </c>
      <c r="G2585" s="508" t="inlineStr">
        <is>
          <t>kitchen</t>
        </is>
      </c>
      <c r="H2585" s="510" t="n"/>
      <c r="I2585" s="535" t="inlineStr">
        <is>
          <t>floor</t>
        </is>
      </c>
      <c r="J2585" s="511" t="inlineStr">
        <is>
          <t>kitchen</t>
        </is>
      </c>
      <c r="K2585" s="512" t="n"/>
      <c r="L2585" s="535" t="inlineStr">
        <is>
          <t>floor</t>
        </is>
      </c>
      <c r="M2585" s="513" t="inlineStr">
        <is>
          <t>kitchen</t>
        </is>
      </c>
      <c r="N2585" s="512" t="n"/>
      <c r="O2585" s="535" t="inlineStr">
        <is>
          <t>floor</t>
        </is>
      </c>
      <c r="P2585" s="513" t="inlineStr">
        <is>
          <t>kitchen</t>
        </is>
      </c>
    </row>
    <row r="2586" ht="15.75" customHeight="1" s="2">
      <c r="A2586" s="506" t="n"/>
      <c r="C2586" s="525" t="n"/>
      <c r="D2586" s="527" t="n"/>
      <c r="E2586" s="514" t="n"/>
      <c r="F2586" s="1287" t="inlineStr">
        <is>
          <t>BAR - 25 hrs</t>
        </is>
      </c>
      <c r="G2586" s="1293" t="inlineStr">
        <is>
          <t>STOCKING- 23 hrs</t>
        </is>
      </c>
      <c r="H2586" s="515" t="n"/>
      <c r="I2586" s="1296" t="inlineStr">
        <is>
          <t>new  starter - 40 hrs</t>
        </is>
      </c>
      <c r="J2586" s="824" t="n"/>
      <c r="K2586" s="515" t="n"/>
      <c r="L2586" s="536" t="n"/>
      <c r="M2586" s="532" t="n"/>
      <c r="N2586" s="515" t="n"/>
      <c r="O2586" s="536" t="n"/>
      <c r="P2586" s="532" t="n"/>
    </row>
    <row r="2587" ht="15.75" customHeight="1" s="2">
      <c r="C2587" s="891" t="n"/>
      <c r="D2587" s="526" t="n"/>
      <c r="E2587" s="514" t="n"/>
      <c r="F2587" s="1288" t="inlineStr">
        <is>
          <t xml:space="preserve">Host - 5 hrs </t>
        </is>
      </c>
      <c r="G2587" s="1289" t="inlineStr">
        <is>
          <t xml:space="preserve">BREAKFAST-17hrs </t>
        </is>
      </c>
      <c r="H2587" s="516" t="n"/>
      <c r="I2587" s="1656" t="n"/>
      <c r="J2587" s="530" t="n"/>
      <c r="K2587" s="516" t="n"/>
      <c r="L2587" s="542" t="n"/>
      <c r="M2587" s="530" t="n"/>
      <c r="N2587" s="516" t="n"/>
      <c r="O2587" s="542" t="n"/>
      <c r="P2587" s="530" t="n"/>
    </row>
    <row r="2588" ht="15.75" customHeight="1" s="2">
      <c r="C2588" s="550" t="n"/>
      <c r="D2588" s="527" t="n"/>
      <c r="E2588" s="514" t="n"/>
      <c r="F2588" s="531" t="n"/>
      <c r="G2588" s="1290" t="inlineStr">
        <is>
          <t>CLOSING- 8HRS</t>
        </is>
      </c>
      <c r="H2588" s="516" t="n"/>
      <c r="I2588" s="537" t="n"/>
      <c r="J2588" s="530" t="n"/>
      <c r="K2588" s="516" t="n"/>
      <c r="L2588" s="1657" t="n"/>
      <c r="M2588" s="539" t="n"/>
      <c r="N2588" s="516" t="n"/>
      <c r="O2588" s="542" t="n"/>
      <c r="P2588" s="539" t="n"/>
    </row>
    <row r="2589" ht="15.75" customHeight="1" s="2">
      <c r="C2589" s="561" t="n"/>
      <c r="D2589" s="561" t="n"/>
      <c r="E2589" s="519" t="n"/>
      <c r="F2589" s="517" t="n"/>
      <c r="G2589" s="1687" t="inlineStr">
        <is>
          <t>CREPES- 23.5</t>
        </is>
      </c>
      <c r="H2589" s="516" t="n"/>
      <c r="I2589" s="537" t="n"/>
      <c r="J2589" s="530" t="n"/>
      <c r="K2589" s="516" t="n"/>
      <c r="L2589" s="537" t="n"/>
      <c r="M2589" s="539" t="n"/>
      <c r="N2589" s="516" t="n"/>
      <c r="O2589" s="537" t="n"/>
      <c r="P2589" s="539" t="n"/>
    </row>
    <row r="2590" ht="15.75" customHeight="1" s="2">
      <c r="C2590" s="551" t="n"/>
      <c r="D2590" s="528" t="n"/>
      <c r="E2590" s="519" t="n"/>
      <c r="F2590" s="517" t="n"/>
      <c r="G2590" s="1292" t="n"/>
      <c r="H2590" s="516" t="n"/>
      <c r="I2590" s="537" t="n"/>
      <c r="J2590" s="533" t="n"/>
      <c r="K2590" s="516" t="n"/>
      <c r="L2590" s="537" t="n"/>
      <c r="M2590" s="540" t="n"/>
      <c r="N2590" s="516" t="n"/>
      <c r="O2590" s="537" t="n"/>
      <c r="P2590" s="540" t="n"/>
    </row>
    <row r="2593" ht="15.75" customHeight="1" s="2" thickBot="1"/>
    <row r="2594" ht="15.75" customHeight="1" s="2" thickBot="1">
      <c r="B2594" s="1652" t="inlineStr">
        <is>
          <t>12.02.2024</t>
        </is>
      </c>
      <c r="C2594" s="1641" t="n"/>
      <c r="D2594" s="1502" t="n"/>
      <c r="E2594" s="1640" t="inlineStr">
        <is>
          <t>19.02.2024</t>
        </is>
      </c>
      <c r="F2594" s="1641" t="n"/>
      <c r="G2594" s="1502" t="n"/>
      <c r="H2594" s="1640" t="inlineStr">
        <is>
          <t>26.02.2024</t>
        </is>
      </c>
      <c r="I2594" s="1641" t="n"/>
      <c r="J2594" s="1502" t="n"/>
      <c r="K2594" s="1640" t="inlineStr">
        <is>
          <t>04.03.2024</t>
        </is>
      </c>
      <c r="L2594" s="1641" t="n"/>
      <c r="M2594" s="1502" t="n"/>
      <c r="N2594" s="1660" t="inlineStr">
        <is>
          <t>11.03.2024</t>
        </is>
      </c>
      <c r="O2594" s="1641" t="n"/>
      <c r="P2594" s="1502" t="n"/>
    </row>
    <row r="2595" ht="15.75" customHeight="1" s="2" thickBot="1">
      <c r="A2595" s="455" t="n"/>
      <c r="B2595" s="1217" t="inlineStr">
        <is>
          <t>LAST YEAR</t>
        </is>
      </c>
      <c r="C2595" s="1218" t="inlineStr">
        <is>
          <t>Actual</t>
        </is>
      </c>
      <c r="D2595" s="1219" t="inlineStr">
        <is>
          <t>Projected</t>
        </is>
      </c>
      <c r="E2595" s="1217" t="inlineStr">
        <is>
          <t>LAST YEAR</t>
        </is>
      </c>
      <c r="F2595" s="1218" t="inlineStr">
        <is>
          <t>Actual</t>
        </is>
      </c>
      <c r="G2595" s="1219" t="inlineStr">
        <is>
          <t>Projected</t>
        </is>
      </c>
      <c r="H2595" s="1217" t="inlineStr">
        <is>
          <t>LAST YEAR</t>
        </is>
      </c>
      <c r="I2595" s="1218" t="inlineStr">
        <is>
          <t>Actual</t>
        </is>
      </c>
      <c r="J2595" s="1219" t="inlineStr">
        <is>
          <t>Projected</t>
        </is>
      </c>
      <c r="K2595" s="1217" t="inlineStr">
        <is>
          <t>LAST YEAR</t>
        </is>
      </c>
      <c r="L2595" s="1218" t="inlineStr">
        <is>
          <t>Actual</t>
        </is>
      </c>
      <c r="M2595" s="1219" t="inlineStr">
        <is>
          <t>Projected</t>
        </is>
      </c>
      <c r="N2595" s="1217" t="inlineStr">
        <is>
          <t>LAST YEAR</t>
        </is>
      </c>
      <c r="O2595" s="1218" t="inlineStr">
        <is>
          <t>Actual</t>
        </is>
      </c>
      <c r="P2595" s="1219" t="inlineStr">
        <is>
          <t>Projected</t>
        </is>
      </c>
    </row>
    <row r="2596" ht="15.75" customHeight="1" s="2">
      <c r="A2596" s="459" t="inlineStr">
        <is>
          <t>Total Receipts</t>
        </is>
      </c>
      <c r="B2596" s="1672" t="n">
        <v>112660.79</v>
      </c>
      <c r="C2596" s="1673" t="n">
        <v>176077.22</v>
      </c>
      <c r="D2596" s="1674" t="n">
        <v>164884</v>
      </c>
      <c r="E2596" s="1672" t="n">
        <v>131583.93</v>
      </c>
      <c r="F2596" s="1673" t="n">
        <v>162933.34</v>
      </c>
      <c r="G2596" s="1675" t="n">
        <v>144824</v>
      </c>
      <c r="H2596" s="1672" t="n">
        <v>142297</v>
      </c>
      <c r="I2596" s="1676" t="n">
        <v>159849.49</v>
      </c>
      <c r="J2596" s="1675" t="n">
        <v>127265</v>
      </c>
      <c r="K2596" s="1672" t="n">
        <v>129014.39</v>
      </c>
      <c r="L2596" s="1673" t="n">
        <v>127922.16</v>
      </c>
      <c r="M2596" s="1675" t="n">
        <v>126123</v>
      </c>
      <c r="N2596" s="1672" t="n">
        <v>127386.74</v>
      </c>
      <c r="O2596" s="1676" t="n">
        <v>130383.63</v>
      </c>
      <c r="P2596" s="1674" t="n">
        <v>140126</v>
      </c>
    </row>
    <row r="2597" ht="15.75" customHeight="1" s="2">
      <c r="A2597" s="462" t="inlineStr">
        <is>
          <t>Nett Sales</t>
        </is>
      </c>
      <c r="B2597" s="1677" t="n">
        <v>102418.9</v>
      </c>
      <c r="C2597" s="1678" t="n">
        <v>160070.2</v>
      </c>
      <c r="D2597" s="1679" t="n">
        <v>149894.8</v>
      </c>
      <c r="E2597" s="1677" t="n">
        <v>119621.75</v>
      </c>
      <c r="F2597" s="1678" t="n">
        <v>148121.22</v>
      </c>
      <c r="G2597" s="1680" t="n">
        <v>131658.2</v>
      </c>
      <c r="H2597" s="1677" t="n">
        <v>129361</v>
      </c>
      <c r="I2597" s="1678" t="n">
        <v>145317.69</v>
      </c>
      <c r="J2597" s="1679" t="n">
        <v>115695.7</v>
      </c>
      <c r="K2597" s="1677" t="n">
        <v>117285</v>
      </c>
      <c r="L2597" s="1678" t="n">
        <v>116292.87</v>
      </c>
      <c r="M2597" s="1679" t="n">
        <v>114657</v>
      </c>
      <c r="N2597" s="1677" t="n">
        <v>115806</v>
      </c>
      <c r="O2597" s="1678" t="n">
        <v>118530.57</v>
      </c>
      <c r="P2597" s="1679" t="n">
        <v>127386.8</v>
      </c>
    </row>
    <row r="2598" ht="15.75" customHeight="1" s="2">
      <c r="A2598" s="462" t="inlineStr">
        <is>
          <t>Customers</t>
        </is>
      </c>
      <c r="B2598" s="1270" t="n">
        <v>4456</v>
      </c>
      <c r="C2598" s="1224" t="n">
        <v>7104</v>
      </c>
      <c r="D2598" s="1277" t="n">
        <v>6735</v>
      </c>
      <c r="E2598" s="1270" t="n">
        <v>5257</v>
      </c>
      <c r="F2598" s="1224" t="n">
        <v>6425</v>
      </c>
      <c r="G2598" s="1277" t="n">
        <v>5915</v>
      </c>
      <c r="H2598" s="1270" t="n">
        <v>5722</v>
      </c>
      <c r="I2598" s="1224" t="n">
        <v>6619</v>
      </c>
      <c r="J2598" s="1277" t="n">
        <v>5225</v>
      </c>
      <c r="K2598" s="1270" t="n">
        <v>5199</v>
      </c>
      <c r="L2598" s="1224" t="n">
        <v>5323</v>
      </c>
      <c r="M2598" s="1277" t="n">
        <v>5175</v>
      </c>
      <c r="N2598" s="1270" t="n">
        <v>5124</v>
      </c>
      <c r="O2598" s="1224" t="n">
        <v>5325</v>
      </c>
      <c r="P2598" s="1681" t="n">
        <v>5760</v>
      </c>
    </row>
    <row r="2599" ht="15.75" customHeight="1" s="2">
      <c r="A2599" s="462" t="inlineStr">
        <is>
          <t>Average Customer Spend</t>
        </is>
      </c>
      <c r="B2599" s="1682" t="n">
        <v>25.28</v>
      </c>
      <c r="C2599" s="1683" t="n">
        <v>24.78</v>
      </c>
      <c r="D2599" s="1684" t="n">
        <v>24.48</v>
      </c>
      <c r="E2599" s="1682" t="n">
        <v>25.03</v>
      </c>
      <c r="F2599" s="1683" t="n">
        <v>25.35</v>
      </c>
      <c r="G2599" s="1685" t="n">
        <v>24.49</v>
      </c>
      <c r="H2599" s="1682" t="n">
        <v>22.6</v>
      </c>
      <c r="I2599" s="1686" t="n">
        <v>24.15</v>
      </c>
      <c r="J2599" s="1685" t="n">
        <v>24.36</v>
      </c>
      <c r="K2599" s="1682" t="n">
        <v>24.81</v>
      </c>
      <c r="L2599" s="1683" t="n">
        <v>24.03</v>
      </c>
      <c r="M2599" s="1685" t="n">
        <v>24.37</v>
      </c>
      <c r="N2599" s="1682" t="n">
        <v>24.86</v>
      </c>
      <c r="O2599" s="1686" t="n">
        <v>24.48</v>
      </c>
      <c r="P2599" s="1684" t="n">
        <v>24.33</v>
      </c>
    </row>
    <row r="2600" ht="15.75" customHeight="1" s="2">
      <c r="A2600" s="462" t="inlineStr">
        <is>
          <t>Wage % to Total Receipts</t>
        </is>
      </c>
      <c r="B2600" s="1272" t="n">
        <v>0.3414</v>
      </c>
      <c r="C2600" s="1226" t="n">
        <v>0.2733</v>
      </c>
      <c r="D2600" s="1279" t="n">
        <v>0.2915</v>
      </c>
      <c r="E2600" s="1272" t="n">
        <v>0.3183</v>
      </c>
      <c r="F2600" s="1226" t="n">
        <v>0.3023</v>
      </c>
      <c r="G2600" s="1286" t="n">
        <v>0.3259</v>
      </c>
      <c r="H2600" s="1272" t="n">
        <v>0.3095</v>
      </c>
      <c r="I2600" s="1232" t="n">
        <v>0.2961</v>
      </c>
      <c r="J2600" s="1286" t="n">
        <v>0.3277</v>
      </c>
      <c r="K2600" s="1272" t="n">
        <v>0.3238</v>
      </c>
      <c r="L2600" s="1226" t="n">
        <v>0.3474</v>
      </c>
      <c r="M2600" s="1286" t="n">
        <v>0.3275</v>
      </c>
      <c r="N2600" s="1272" t="n">
        <v>0.3314</v>
      </c>
      <c r="O2600" s="1232" t="n">
        <v>0.3338</v>
      </c>
      <c r="P2600" s="1279" t="n">
        <v>0.3281</v>
      </c>
    </row>
    <row r="2601" ht="15.75" customHeight="1" s="2">
      <c r="A2601" s="462" t="inlineStr">
        <is>
          <t>Wage % to Nett Sales</t>
        </is>
      </c>
      <c r="B2601" s="1272" t="n">
        <v>0.3756</v>
      </c>
      <c r="C2601" s="1226" t="n">
        <v>0.3007</v>
      </c>
      <c r="D2601" s="1279" t="n">
        <v>0.3207</v>
      </c>
      <c r="E2601" s="1272" t="n">
        <v>0.3501</v>
      </c>
      <c r="F2601" s="1226" t="n">
        <v>0.3325</v>
      </c>
      <c r="G2601" s="1286" t="n">
        <v>0.3585</v>
      </c>
      <c r="H2601" s="1272" t="n">
        <v>0.3405</v>
      </c>
      <c r="I2601" s="1232" t="n">
        <v>0.3257</v>
      </c>
      <c r="J2601" s="1286" t="n">
        <v>0.3604</v>
      </c>
      <c r="K2601" s="1272" t="n">
        <v>0.3561</v>
      </c>
      <c r="L2601" s="1226" t="n">
        <v>0.3821</v>
      </c>
      <c r="M2601" s="1286" t="n">
        <v>0.3602</v>
      </c>
      <c r="N2601" s="1272" t="n">
        <v>0.3646</v>
      </c>
      <c r="O2601" s="1232" t="n">
        <v>0.3672</v>
      </c>
      <c r="P2601" s="1279" t="n">
        <v>0.3609</v>
      </c>
    </row>
    <row r="2602" ht="15.75" customHeight="1" s="2">
      <c r="A2602" s="462" t="inlineStr">
        <is>
          <t>Productivity</t>
        </is>
      </c>
      <c r="B2602" s="1273" t="n">
        <v>4.36</v>
      </c>
      <c r="C2602" s="1227" t="n">
        <v>5.78</v>
      </c>
      <c r="D2602" s="1280" t="n">
        <v>5.2</v>
      </c>
      <c r="E2602" s="1273" t="n">
        <v>4.69</v>
      </c>
      <c r="F2602" s="1227" t="n">
        <v>5.15</v>
      </c>
      <c r="G2602" s="1280" t="n">
        <v>5.2</v>
      </c>
      <c r="H2602" s="1273" t="n">
        <v>5.06</v>
      </c>
      <c r="I2602" s="1227" t="n">
        <v>5.49</v>
      </c>
      <c r="J2602" s="1280" t="n">
        <v>5.2</v>
      </c>
      <c r="K2602" s="1273" t="n">
        <v>4.78</v>
      </c>
      <c r="L2602" s="1227" t="n">
        <v>4.81</v>
      </c>
      <c r="M2602" s="1280" t="n">
        <v>5.2</v>
      </c>
      <c r="N2602" s="1273" t="n">
        <v>4.67</v>
      </c>
      <c r="O2602" s="1227" t="n">
        <v>4.62</v>
      </c>
      <c r="P2602" s="1280" t="n">
        <v>5.2</v>
      </c>
    </row>
    <row r="2603" ht="15.75" customHeight="1" s="2">
      <c r="A2603" s="462" t="inlineStr">
        <is>
          <t>Average Hourly Rate</t>
        </is>
      </c>
      <c r="B2603" s="1273" t="n">
        <v>37.67</v>
      </c>
      <c r="C2603" s="1227" t="n">
        <v>39.17</v>
      </c>
      <c r="D2603" s="1684" t="n">
        <v>39.5</v>
      </c>
      <c r="E2603" s="1273" t="n">
        <v>37.33</v>
      </c>
      <c r="F2603" s="1227" t="n">
        <v>39.51</v>
      </c>
      <c r="G2603" s="1685" t="n">
        <v>41.5</v>
      </c>
      <c r="H2603" s="1273" t="n">
        <v>38.98</v>
      </c>
      <c r="I2603" s="1227" t="n">
        <v>39.29</v>
      </c>
      <c r="J2603" s="1685" t="n">
        <v>41.5</v>
      </c>
      <c r="K2603" s="1273" t="n">
        <v>38.44</v>
      </c>
      <c r="L2603" s="1227" t="n">
        <v>40.12</v>
      </c>
      <c r="M2603" s="1685" t="n">
        <v>41.5</v>
      </c>
      <c r="N2603" s="1273" t="n">
        <v>38.48</v>
      </c>
      <c r="O2603" s="1227" t="n">
        <v>37.97</v>
      </c>
      <c r="P2603" s="1684" t="n">
        <v>41.5</v>
      </c>
    </row>
    <row r="2604" ht="15.75" customHeight="1" s="2">
      <c r="A2604" s="462" t="inlineStr">
        <is>
          <t>Total hours for productivity</t>
        </is>
      </c>
      <c r="B2604" s="1273" t="n">
        <v>1021.25</v>
      </c>
      <c r="C2604" s="1227" t="n">
        <v>1228.75</v>
      </c>
      <c r="D2604" s="1277" t="n">
        <v>1217</v>
      </c>
      <c r="E2604" s="1273" t="n">
        <v>1122</v>
      </c>
      <c r="F2604" s="1227" t="n">
        <v>1246.5</v>
      </c>
      <c r="G2604" s="1277" t="n">
        <v>1137</v>
      </c>
      <c r="H2604" s="1273" t="n">
        <v>1131</v>
      </c>
      <c r="I2604" s="1227" t="n">
        <v>1204.75</v>
      </c>
      <c r="J2604" s="1280" t="n">
        <v>1005</v>
      </c>
      <c r="K2604" s="1273" t="n">
        <v>1086.75</v>
      </c>
      <c r="L2604" s="1227" t="n">
        <v>1107.75</v>
      </c>
      <c r="M2604" s="1277" t="n">
        <v>995</v>
      </c>
      <c r="N2604" s="1273" t="n">
        <v>1097.25</v>
      </c>
      <c r="O2604" s="1227" t="n">
        <v>1146.25</v>
      </c>
      <c r="P2604" s="1277" t="n">
        <v>1108</v>
      </c>
    </row>
    <row r="2605" ht="15.75" customHeight="1" s="2">
      <c r="A2605" s="462" t="inlineStr">
        <is>
          <t>Training Hours used</t>
        </is>
      </c>
      <c r="B2605" s="1298" t="n"/>
      <c r="C2605" s="1228" t="n"/>
      <c r="D2605" s="1277" t="n"/>
      <c r="E2605" s="1274" t="n">
        <v>31.5</v>
      </c>
      <c r="F2605" s="1228" t="n"/>
      <c r="G2605" s="1277" t="n"/>
      <c r="H2605" s="1274" t="n">
        <v>44</v>
      </c>
      <c r="I2605" s="1228" t="n">
        <v>61.5</v>
      </c>
      <c r="J2605" s="1277" t="n"/>
      <c r="K2605" s="1274" t="n">
        <v>53.75</v>
      </c>
      <c r="L2605" s="1228" t="n">
        <v>49</v>
      </c>
      <c r="M2605" s="1277" t="n"/>
      <c r="N2605" s="1274" t="n">
        <v>36.5</v>
      </c>
      <c r="O2605" s="1228" t="n">
        <v>32</v>
      </c>
      <c r="P2605" s="1277" t="n"/>
    </row>
    <row r="2606" ht="15.75" customHeight="1" s="2" thickBot="1">
      <c r="A2606" s="474" t="inlineStr">
        <is>
          <t>Number of hours used to cover sick leave</t>
        </is>
      </c>
      <c r="B2606" s="1298" t="n"/>
      <c r="C2606" s="1229" t="n"/>
      <c r="D2606" s="1281" t="n"/>
      <c r="E2606" s="1282" t="n"/>
      <c r="F2606" s="1229" t="n"/>
      <c r="G2606" s="1281" t="n"/>
      <c r="H2606" s="1229" t="n"/>
      <c r="I2606" s="1229" t="n"/>
      <c r="J2606" s="1281" t="n"/>
      <c r="K2606" s="1282" t="n"/>
      <c r="L2606" s="1229" t="n"/>
      <c r="M2606" s="1281" t="n"/>
      <c r="N2606" s="1282" t="n">
        <v>10.5</v>
      </c>
      <c r="O2606" s="1229" t="n"/>
      <c r="P2606" s="1281" t="n"/>
    </row>
    <row r="2607" ht="15.75" customHeight="1" s="2" thickBot="1">
      <c r="A2607" s="477" t="inlineStr">
        <is>
          <t xml:space="preserve">Minimum Hours </t>
        </is>
      </c>
      <c r="B2607" s="1171" t="n"/>
      <c r="C2607" s="816" t="inlineStr">
        <is>
          <t>Projected</t>
        </is>
      </c>
      <c r="D2607" s="817" t="inlineStr">
        <is>
          <t>Rostered</t>
        </is>
      </c>
      <c r="E2607" s="1171" t="n"/>
      <c r="F2607" s="935" t="inlineStr">
        <is>
          <t>Projected</t>
        </is>
      </c>
      <c r="G2607" s="936" t="inlineStr">
        <is>
          <t>Rostered</t>
        </is>
      </c>
      <c r="H2607" s="935" t="inlineStr">
        <is>
          <t>Min Hrs</t>
        </is>
      </c>
      <c r="I2607" s="935" t="inlineStr">
        <is>
          <t>Projected</t>
        </is>
      </c>
      <c r="J2607" s="936" t="inlineStr">
        <is>
          <t>Rostered</t>
        </is>
      </c>
      <c r="K2607" s="935" t="inlineStr">
        <is>
          <t>Min Hrs</t>
        </is>
      </c>
      <c r="L2607" s="935" t="inlineStr">
        <is>
          <t>Projected</t>
        </is>
      </c>
      <c r="M2607" s="936" t="inlineStr">
        <is>
          <t>Rostered</t>
        </is>
      </c>
      <c r="N2607" s="1171" t="n"/>
      <c r="O2607" s="935" t="inlineStr">
        <is>
          <t>Min. Hours</t>
        </is>
      </c>
      <c r="P2607" s="935" t="inlineStr">
        <is>
          <t>Projected</t>
        </is>
      </c>
    </row>
    <row r="2608" ht="15.75" customHeight="1" s="2">
      <c r="A2608" s="479" t="inlineStr">
        <is>
          <t>Floor</t>
        </is>
      </c>
      <c r="B2608" s="1172" t="n"/>
      <c r="C2608" s="810" t="n"/>
      <c r="D2608" s="811" t="n"/>
      <c r="E2608" s="1172" t="n"/>
      <c r="F2608" s="810" t="n"/>
      <c r="G2608" s="811" t="n"/>
      <c r="H2608" s="810" t="n"/>
      <c r="I2608" s="810" t="n">
        <v>553</v>
      </c>
      <c r="J2608" s="811" t="n">
        <v>588</v>
      </c>
      <c r="K2608" s="810" t="n"/>
      <c r="L2608" s="810" t="n">
        <v>547</v>
      </c>
      <c r="M2608" s="811" t="n">
        <v>575</v>
      </c>
      <c r="N2608" s="1172" t="n"/>
      <c r="O2608" s="810" t="n">
        <v>577</v>
      </c>
      <c r="P2608" s="810" t="n">
        <v>609</v>
      </c>
    </row>
    <row r="2609" ht="15.75" customHeight="1" s="2" thickBot="1">
      <c r="A2609" s="481" t="inlineStr">
        <is>
          <t>Kitchen</t>
        </is>
      </c>
      <c r="B2609" s="1173" t="n"/>
      <c r="C2609" s="813" t="n"/>
      <c r="D2609" s="814" t="n"/>
      <c r="E2609" s="1173" t="n"/>
      <c r="F2609" s="840" t="n"/>
      <c r="G2609" s="814" t="n"/>
      <c r="H2609" s="813" t="n"/>
      <c r="I2609" s="840" t="n">
        <v>452</v>
      </c>
      <c r="J2609" s="814" t="n">
        <v>586.5</v>
      </c>
      <c r="K2609" s="813" t="n"/>
      <c r="L2609" s="840" t="n">
        <v>448</v>
      </c>
      <c r="M2609" s="814" t="n">
        <v>564</v>
      </c>
      <c r="N2609" s="1173" t="n"/>
      <c r="O2609" s="813" t="n">
        <v>479</v>
      </c>
      <c r="P2609" s="813" t="n">
        <v>498</v>
      </c>
    </row>
    <row r="2610" ht="15.75" customHeight="1" s="2" thickBot="1">
      <c r="A2610" s="834" t="n"/>
      <c r="B2610" s="836" t="n"/>
      <c r="C2610" s="1220" t="n"/>
      <c r="D2610" s="1220" t="n"/>
      <c r="E2610" s="839" t="n"/>
      <c r="F2610" s="1220" t="n"/>
      <c r="G2610" s="1220" t="n"/>
      <c r="H2610" s="839" t="n"/>
      <c r="I2610" s="1220" t="n"/>
      <c r="J2610" s="1220" t="n"/>
      <c r="K2610" s="839" t="n"/>
      <c r="L2610" s="1220" t="n"/>
      <c r="M2610" s="1220" t="n"/>
      <c r="N2610" s="839" t="n"/>
      <c r="O2610" s="835" t="n"/>
      <c r="P2610" s="835" t="n"/>
    </row>
    <row r="2611" ht="15.75" customHeight="1" s="2">
      <c r="A2611" s="506" t="inlineStr">
        <is>
          <t>Training explanation</t>
        </is>
      </c>
      <c r="B2611" s="837" t="n"/>
      <c r="C2611" s="1220" t="n"/>
      <c r="D2611" s="1220" t="n"/>
      <c r="E2611" s="837" t="n"/>
      <c r="F2611" s="1220" t="n"/>
      <c r="G2611" s="1220" t="n"/>
      <c r="H2611" s="837" t="n"/>
      <c r="I2611" s="1220" t="n"/>
      <c r="J2611" s="1220" t="n"/>
      <c r="K2611" s="837" t="n"/>
      <c r="L2611" s="1220" t="n"/>
      <c r="M2611" s="1220" t="n"/>
      <c r="N2611" s="837" t="n"/>
      <c r="O2611" s="835" t="n"/>
      <c r="P2611" s="835" t="n"/>
    </row>
    <row r="2612" ht="15.75" customHeight="1" s="2" thickBot="1">
      <c r="A2612" s="506" t="inlineStr">
        <is>
          <t>Who is being Trained</t>
        </is>
      </c>
      <c r="B2612" s="838" t="n"/>
      <c r="C2612" s="1221" t="n"/>
      <c r="D2612" s="1221" t="n"/>
      <c r="E2612" s="838" t="n"/>
      <c r="F2612" s="1221" t="n"/>
      <c r="G2612" s="1221" t="n"/>
      <c r="H2612" s="838" t="n"/>
      <c r="I2612" s="1221" t="n"/>
      <c r="J2612" s="1221" t="n"/>
      <c r="K2612" s="838" t="n"/>
      <c r="L2612" s="1221" t="n"/>
      <c r="M2612" s="1221" t="n"/>
      <c r="N2612" s="838" t="n"/>
    </row>
    <row r="2613" ht="15.75" customHeight="1" s="2" thickBot="1">
      <c r="A2613" s="506" t="n"/>
      <c r="C2613" s="523" t="inlineStr">
        <is>
          <t>floor</t>
        </is>
      </c>
      <c r="D2613" s="524" t="inlineStr">
        <is>
          <t>kitchen</t>
        </is>
      </c>
      <c r="E2613" s="509" t="n"/>
      <c r="F2613" s="507" t="inlineStr">
        <is>
          <t>floor</t>
        </is>
      </c>
      <c r="G2613" s="508" t="inlineStr">
        <is>
          <t>kitchen</t>
        </is>
      </c>
      <c r="H2613" s="510" t="n"/>
      <c r="I2613" s="535" t="inlineStr">
        <is>
          <t>floor</t>
        </is>
      </c>
      <c r="J2613" s="511" t="inlineStr">
        <is>
          <t>kitchen</t>
        </is>
      </c>
      <c r="K2613" s="512" t="n"/>
      <c r="L2613" s="535" t="inlineStr">
        <is>
          <t>floor</t>
        </is>
      </c>
      <c r="M2613" s="513" t="inlineStr">
        <is>
          <t>kitchen</t>
        </is>
      </c>
      <c r="N2613" s="512" t="n"/>
      <c r="O2613" s="535" t="inlineStr">
        <is>
          <t>floor</t>
        </is>
      </c>
      <c r="P2613" s="513" t="inlineStr">
        <is>
          <t>kitchen</t>
        </is>
      </c>
    </row>
    <row r="2614" ht="15.75" customHeight="1" s="2">
      <c r="A2614" s="506" t="n"/>
      <c r="C2614" s="525" t="n"/>
      <c r="D2614" s="527" t="n"/>
      <c r="E2614" s="514" t="n"/>
      <c r="F2614" s="525" t="n"/>
      <c r="G2614" s="527" t="n"/>
      <c r="H2614" s="515" t="n"/>
      <c r="I2614" s="531" t="n"/>
      <c r="J2614" s="824" t="n"/>
      <c r="K2614" s="515" t="n"/>
      <c r="L2614" s="536" t="n"/>
      <c r="M2614" s="532" t="n"/>
      <c r="N2614" s="515" t="n"/>
      <c r="O2614" s="536" t="n"/>
      <c r="P2614" s="532" t="inlineStr">
        <is>
          <t>Dinesh(Creps)-5hrs</t>
        </is>
      </c>
    </row>
    <row r="2615" ht="15.75" customHeight="1" s="2">
      <c r="C2615" s="891" t="n"/>
      <c r="D2615" s="526" t="n"/>
      <c r="E2615" s="514" t="n"/>
      <c r="F2615" s="891" t="n"/>
      <c r="G2615" s="526" t="n"/>
      <c r="H2615" s="516" t="n"/>
      <c r="I2615" s="1656" t="n"/>
      <c r="J2615" s="530" t="n"/>
      <c r="K2615" s="516" t="n"/>
      <c r="L2615" s="542" t="n"/>
      <c r="M2615" s="530" t="n"/>
      <c r="N2615" s="516" t="n"/>
      <c r="O2615" s="542" t="n"/>
      <c r="P2615" s="530" t="inlineStr">
        <is>
          <t>Alyssa(pizza)-12 hrs</t>
        </is>
      </c>
    </row>
    <row r="2616" ht="15.75" customHeight="1" s="2">
      <c r="C2616" s="550" t="n"/>
      <c r="D2616" s="527" t="n"/>
      <c r="E2616" s="514" t="n"/>
      <c r="F2616" s="531" t="n"/>
      <c r="G2616" s="530" t="n"/>
      <c r="H2616" s="516" t="n"/>
      <c r="I2616" s="537" t="n"/>
      <c r="J2616" s="530" t="n"/>
      <c r="K2616" s="516" t="n"/>
      <c r="L2616" s="1657" t="n"/>
      <c r="M2616" s="539" t="n"/>
      <c r="N2616" s="516" t="n"/>
      <c r="O2616" s="542" t="n"/>
      <c r="P2616" s="539" t="inlineStr">
        <is>
          <t>Engercia(Grill)-11 hrs</t>
        </is>
      </c>
    </row>
    <row r="2617" ht="15.75" customHeight="1" s="2">
      <c r="C2617" s="561" t="n"/>
      <c r="D2617" s="561" t="n"/>
      <c r="E2617" s="519" t="n"/>
      <c r="F2617" s="517" t="n"/>
      <c r="G2617" s="1659" t="n"/>
      <c r="H2617" s="516" t="n"/>
      <c r="I2617" s="537" t="n"/>
      <c r="J2617" s="530" t="n"/>
      <c r="K2617" s="516" t="n"/>
      <c r="L2617" s="537" t="n"/>
      <c r="M2617" s="539" t="n"/>
      <c r="N2617" s="516" t="n"/>
      <c r="O2617" s="537" t="inlineStr">
        <is>
          <t>Johanna(Bar)-4hrs</t>
        </is>
      </c>
      <c r="P2617" s="539" t="n"/>
    </row>
    <row r="2618" ht="15.75" customHeight="1" s="2">
      <c r="C2618" s="551" t="n"/>
      <c r="D2618" s="528" t="n"/>
      <c r="E2618" s="519" t="n"/>
      <c r="F2618" s="517" t="n"/>
      <c r="G2618" s="518" t="n"/>
      <c r="H2618" s="516" t="n"/>
      <c r="I2618" s="537" t="n"/>
      <c r="J2618" s="533" t="n"/>
      <c r="K2618" s="516" t="n"/>
      <c r="L2618" s="537" t="n"/>
      <c r="M2618" s="540" t="n"/>
      <c r="N2618" s="516" t="n"/>
      <c r="O2618" s="537" t="n"/>
      <c r="P2618" s="540" t="n"/>
    </row>
    <row r="2621" ht="15.75" customHeight="1" s="2" thickBot="1"/>
    <row r="2622" ht="15.75" customHeight="1" s="2" thickBot="1">
      <c r="B2622" s="1652" t="inlineStr">
        <is>
          <t>18.03.2024</t>
        </is>
      </c>
      <c r="C2622" s="1641" t="n"/>
      <c r="D2622" s="1502" t="n"/>
      <c r="E2622" s="1640" t="inlineStr">
        <is>
          <t>25.03.2024</t>
        </is>
      </c>
      <c r="F2622" s="1641" t="n"/>
      <c r="G2622" s="1502" t="n"/>
      <c r="H2622" s="1640" t="inlineStr">
        <is>
          <t>01.04.2024</t>
        </is>
      </c>
      <c r="I2622" s="1641" t="n"/>
      <c r="J2622" s="1502" t="n"/>
      <c r="K2622" s="1640" t="inlineStr">
        <is>
          <t>08.04.2024</t>
        </is>
      </c>
      <c r="L2622" s="1641" t="n"/>
      <c r="M2622" s="1502" t="n"/>
      <c r="N2622" s="1660" t="inlineStr">
        <is>
          <t>15.04.2024</t>
        </is>
      </c>
      <c r="O2622" s="1641" t="n"/>
      <c r="P2622" s="1502" t="n"/>
    </row>
    <row r="2623" ht="15.75" customHeight="1" s="2" thickBot="1">
      <c r="A2623" s="455" t="n"/>
      <c r="B2623" s="1217" t="inlineStr">
        <is>
          <t>LAST YEAR</t>
        </is>
      </c>
      <c r="C2623" s="1218" t="inlineStr">
        <is>
          <t>Actual</t>
        </is>
      </c>
      <c r="D2623" s="1219" t="inlineStr">
        <is>
          <t>Projected</t>
        </is>
      </c>
      <c r="E2623" s="1217" t="inlineStr">
        <is>
          <t>LAST YEAR</t>
        </is>
      </c>
      <c r="F2623" s="1218" t="inlineStr">
        <is>
          <t>Actual</t>
        </is>
      </c>
      <c r="G2623" s="1219" t="inlineStr">
        <is>
          <t>Projected</t>
        </is>
      </c>
      <c r="H2623" s="1217" t="inlineStr">
        <is>
          <t>LAST YEAR</t>
        </is>
      </c>
      <c r="I2623" s="1218" t="inlineStr">
        <is>
          <t>Actual</t>
        </is>
      </c>
      <c r="J2623" s="1219" t="inlineStr">
        <is>
          <t>Projected</t>
        </is>
      </c>
      <c r="K2623" s="1217" t="inlineStr">
        <is>
          <t>LAST YEAR</t>
        </is>
      </c>
      <c r="L2623" s="1218" t="inlineStr">
        <is>
          <t>Actual</t>
        </is>
      </c>
      <c r="M2623" s="1219" t="inlineStr">
        <is>
          <t>Projected</t>
        </is>
      </c>
      <c r="N2623" s="1217" t="inlineStr">
        <is>
          <t>LAST YEAR</t>
        </is>
      </c>
      <c r="O2623" s="1218" t="inlineStr">
        <is>
          <t>Actual</t>
        </is>
      </c>
      <c r="P2623" s="1219" t="inlineStr">
        <is>
          <t>Projected</t>
        </is>
      </c>
    </row>
    <row r="2624" ht="15.75" customHeight="1" s="2">
      <c r="A2624" s="459" t="inlineStr">
        <is>
          <t>Total Receipts</t>
        </is>
      </c>
      <c r="B2624" s="1672" t="n">
        <v>123466.78</v>
      </c>
      <c r="C2624" s="1673" t="n">
        <v>133387.54</v>
      </c>
      <c r="D2624" s="1674" t="n">
        <v>135863</v>
      </c>
      <c r="E2624" s="1672" t="n">
        <v>119513.41</v>
      </c>
      <c r="F2624" s="1673" t="n">
        <v>120173.73</v>
      </c>
      <c r="G2624" s="1675" t="n">
        <v>129257</v>
      </c>
      <c r="H2624" s="1672" t="n">
        <v>115448</v>
      </c>
      <c r="I2624" s="1676" t="n">
        <v>185203.46</v>
      </c>
      <c r="J2624" s="1675" t="n">
        <v>183304</v>
      </c>
      <c r="K2624" s="1672" t="n">
        <v>186658.1</v>
      </c>
      <c r="L2624" s="1644" t="n">
        <v>123637.45</v>
      </c>
      <c r="M2624" s="1675" t="n">
        <v>127156</v>
      </c>
      <c r="N2624" s="1672" t="n">
        <v>143349.96</v>
      </c>
      <c r="O2624" s="1676" t="n">
        <v>138811.59</v>
      </c>
      <c r="P2624" s="1674" t="n">
        <v>146894</v>
      </c>
    </row>
    <row r="2625" ht="15.75" customHeight="1" s="2">
      <c r="A2625" s="462" t="inlineStr">
        <is>
          <t>Nett Sales</t>
        </is>
      </c>
      <c r="B2625" s="1677" t="n">
        <v>112242.53</v>
      </c>
      <c r="C2625" s="1678" t="n">
        <v>121261.4</v>
      </c>
      <c r="D2625" s="1679" t="n">
        <v>123512</v>
      </c>
      <c r="E2625" s="1677" t="n">
        <v>108648</v>
      </c>
      <c r="F2625" s="1678" t="n">
        <v>109248.85</v>
      </c>
      <c r="G2625" s="1680" t="n">
        <v>117523</v>
      </c>
      <c r="H2625" s="1677" t="n">
        <v>104952</v>
      </c>
      <c r="I2625" s="1678" t="n">
        <v>168366.78</v>
      </c>
      <c r="J2625" s="1679" t="n">
        <v>166639.8</v>
      </c>
      <c r="K2625" s="1677" t="n">
        <v>169689</v>
      </c>
      <c r="L2625" s="1646" t="n">
        <v>112397.68</v>
      </c>
      <c r="M2625" s="1679" t="n">
        <v>115596</v>
      </c>
      <c r="N2625" s="1677" t="n">
        <v>130318</v>
      </c>
      <c r="O2625" s="1678" t="n">
        <v>126192.35</v>
      </c>
      <c r="P2625" s="1679" t="n">
        <v>133539</v>
      </c>
    </row>
    <row r="2626" ht="15.75" customHeight="1" s="2">
      <c r="A2626" s="462" t="inlineStr">
        <is>
          <t>Customers</t>
        </is>
      </c>
      <c r="B2626" s="1270" t="n">
        <v>5045</v>
      </c>
      <c r="C2626" s="1224" t="n">
        <v>5447</v>
      </c>
      <c r="D2626" s="1277" t="n">
        <v>5585</v>
      </c>
      <c r="E2626" s="1270" t="n">
        <v>4881</v>
      </c>
      <c r="F2626" s="1224" t="n">
        <v>4753</v>
      </c>
      <c r="G2626" s="1277" t="n">
        <v>5315</v>
      </c>
      <c r="H2626" s="1270" t="n">
        <v>4616</v>
      </c>
      <c r="I2626" s="1224" t="n">
        <v>6938</v>
      </c>
      <c r="J2626" s="1277" t="n">
        <v>6970</v>
      </c>
      <c r="K2626" s="1270" t="n">
        <v>7066</v>
      </c>
      <c r="L2626" s="866" t="n">
        <v>5227</v>
      </c>
      <c r="M2626" s="1277" t="n">
        <v>5215</v>
      </c>
      <c r="N2626" s="1270" t="n">
        <v>6250</v>
      </c>
      <c r="O2626" s="1224" t="n">
        <v>5651</v>
      </c>
      <c r="P2626" s="1681" t="n">
        <v>6025</v>
      </c>
    </row>
    <row r="2627" ht="15.75" customHeight="1" s="2">
      <c r="A2627" s="462" t="inlineStr">
        <is>
          <t>Average Customer Spend</t>
        </is>
      </c>
      <c r="B2627" s="1682" t="n">
        <v>24.47</v>
      </c>
      <c r="C2627" s="1683" t="n">
        <v>24.48</v>
      </c>
      <c r="D2627" s="1684" t="n">
        <v>24.33</v>
      </c>
      <c r="E2627" s="1682" t="n">
        <v>24.49</v>
      </c>
      <c r="F2627" s="1683" t="n">
        <v>25.28</v>
      </c>
      <c r="G2627" s="1685" t="n">
        <v>24.32</v>
      </c>
      <c r="H2627" s="1682" t="n">
        <v>25.01</v>
      </c>
      <c r="I2627" s="1686" t="n">
        <v>26.69</v>
      </c>
      <c r="J2627" s="1685" t="n">
        <v>26.3</v>
      </c>
      <c r="K2627" s="1682" t="n">
        <v>26.42</v>
      </c>
      <c r="L2627" s="1648" t="n">
        <v>23.65</v>
      </c>
      <c r="M2627" s="1685" t="n">
        <v>24.38</v>
      </c>
      <c r="N2627" s="1682" t="n">
        <v>22.93</v>
      </c>
      <c r="O2627" s="1686" t="n">
        <v>24.56</v>
      </c>
      <c r="P2627" s="1684" t="n">
        <v>24.38</v>
      </c>
    </row>
    <row r="2628" ht="15.75" customHeight="1" s="2">
      <c r="A2628" s="462" t="inlineStr">
        <is>
          <t>Wage % to Total Receipts</t>
        </is>
      </c>
      <c r="B2628" s="1272" t="n">
        <v>0.3429</v>
      </c>
      <c r="C2628" s="1226" t="n">
        <v>0.3215</v>
      </c>
      <c r="D2628" s="1279" t="n">
        <v>0.3281</v>
      </c>
      <c r="E2628" s="1272" t="n">
        <v>0.3479</v>
      </c>
      <c r="F2628" s="1226" t="n">
        <v>0.3465</v>
      </c>
      <c r="G2628" s="1286" t="n">
        <v>0.3281</v>
      </c>
      <c r="H2628" s="1272" t="n">
        <v>0.3604</v>
      </c>
      <c r="I2628" s="1232" t="n">
        <v>0.4318</v>
      </c>
      <c r="J2628" s="1286" t="n">
        <v>0.4022</v>
      </c>
      <c r="K2628" s="1272" t="n">
        <v>0.435</v>
      </c>
      <c r="L2628" s="868" t="n">
        <v>0.3579</v>
      </c>
      <c r="M2628" s="1286" t="n">
        <v>0.3234</v>
      </c>
      <c r="N2628" s="1272" t="n">
        <v>0.3312</v>
      </c>
      <c r="O2628" s="1232" t="n">
        <v>0.3167</v>
      </c>
      <c r="P2628" s="1279" t="n">
        <v>0.3234</v>
      </c>
    </row>
    <row r="2629" ht="15.75" customHeight="1" s="2">
      <c r="A2629" s="462" t="inlineStr">
        <is>
          <t>Wage % to Nett Sales</t>
        </is>
      </c>
      <c r="B2629" s="1272" t="n">
        <v>0.3771</v>
      </c>
      <c r="C2629" s="1226" t="n">
        <v>0.3537</v>
      </c>
      <c r="D2629" s="1279" t="n">
        <v>0.3609</v>
      </c>
      <c r="E2629" s="1272" t="n">
        <v>0.3827</v>
      </c>
      <c r="F2629" s="1226" t="n">
        <v>0.3811</v>
      </c>
      <c r="G2629" s="1286" t="n">
        <v>0.3609</v>
      </c>
      <c r="H2629" s="1272" t="n">
        <v>0.3965</v>
      </c>
      <c r="I2629" s="1232" t="n">
        <v>0.475</v>
      </c>
      <c r="J2629" s="1286" t="n">
        <v>0.4424</v>
      </c>
      <c r="K2629" s="1272" t="n">
        <v>0.4785</v>
      </c>
      <c r="L2629" s="868" t="n">
        <v>0.3937</v>
      </c>
      <c r="M2629" s="1286" t="n">
        <v>0.3557</v>
      </c>
      <c r="N2629" s="1272" t="n">
        <v>0.3643</v>
      </c>
      <c r="O2629" s="1232" t="n">
        <v>0.3484</v>
      </c>
      <c r="P2629" s="1279" t="n">
        <v>0.3557</v>
      </c>
    </row>
    <row r="2630" ht="15.75" customHeight="1" s="2">
      <c r="A2630" s="462" t="inlineStr">
        <is>
          <t>Productivity</t>
        </is>
      </c>
      <c r="B2630" s="1273" t="n">
        <v>4.52</v>
      </c>
      <c r="C2630" s="1227" t="n">
        <v>4.92</v>
      </c>
      <c r="D2630" s="1280" t="n">
        <v>5.2</v>
      </c>
      <c r="E2630" s="1273" t="n">
        <v>4.37</v>
      </c>
      <c r="F2630" s="1227" t="n">
        <v>4.35</v>
      </c>
      <c r="G2630" s="1280" t="n">
        <v>5.2</v>
      </c>
      <c r="H2630" s="1273" t="n">
        <v>4.12</v>
      </c>
      <c r="I2630" s="1227" t="n">
        <v>5.15</v>
      </c>
      <c r="J2630" s="1280" t="n">
        <v>5.2</v>
      </c>
      <c r="K2630" s="1273" t="n">
        <v>4.77</v>
      </c>
      <c r="L2630" s="869" t="n">
        <v>4.98</v>
      </c>
      <c r="M2630" s="1280" t="n">
        <v>5.2</v>
      </c>
      <c r="N2630" s="1273" t="n">
        <v>4.84</v>
      </c>
      <c r="O2630" s="1227" t="n">
        <v>4.95</v>
      </c>
      <c r="P2630" s="1280" t="n">
        <v>5.2</v>
      </c>
    </row>
    <row r="2631" ht="15.75" customHeight="1" s="2">
      <c r="A2631" s="462" t="inlineStr">
        <is>
          <t>Average Hourly Rate</t>
        </is>
      </c>
      <c r="B2631" s="1273" t="n">
        <v>37.96</v>
      </c>
      <c r="C2631" s="1227" t="n">
        <v>38.73</v>
      </c>
      <c r="D2631" s="1684" t="n">
        <v>41.5</v>
      </c>
      <c r="E2631" s="1273" t="n">
        <v>37.2</v>
      </c>
      <c r="F2631" s="1227" t="n">
        <v>38.08</v>
      </c>
      <c r="G2631" s="1685" t="n">
        <v>41.5</v>
      </c>
      <c r="H2631" s="1273" t="n">
        <v>36.77</v>
      </c>
      <c r="I2631" s="1227" t="n">
        <v>59.38</v>
      </c>
      <c r="J2631" s="1685" t="n">
        <v>55</v>
      </c>
      <c r="K2631" s="1273" t="n">
        <v>54.82</v>
      </c>
      <c r="L2631" s="869" t="n">
        <v>42.19</v>
      </c>
      <c r="M2631" s="1685" t="n">
        <v>41</v>
      </c>
      <c r="N2631" s="1273" t="n">
        <v>36.81</v>
      </c>
      <c r="O2631" s="1227" t="n">
        <v>38.51</v>
      </c>
      <c r="P2631" s="1684" t="n">
        <v>41</v>
      </c>
    </row>
    <row r="2632" ht="15.75" customHeight="1" s="2">
      <c r="A2632" s="462" t="inlineStr">
        <is>
          <t>Total hours for productivity</t>
        </is>
      </c>
      <c r="B2632" s="1273" t="n">
        <v>1115.25</v>
      </c>
      <c r="C2632" s="1227" t="n">
        <v>1197.75</v>
      </c>
      <c r="D2632" s="1277" t="n">
        <v>1074</v>
      </c>
      <c r="E2632" s="1273" t="n">
        <v>1117.75</v>
      </c>
      <c r="F2632" s="1227" t="n">
        <v>1093.5</v>
      </c>
      <c r="G2632" s="1277" t="n">
        <v>1022</v>
      </c>
      <c r="H2632" s="1273" t="n">
        <v>1131</v>
      </c>
      <c r="I2632" s="1227" t="n">
        <v>1346.75</v>
      </c>
      <c r="J2632" s="1280" t="n">
        <v>1340</v>
      </c>
      <c r="K2632" s="1273" t="n">
        <v>1481</v>
      </c>
      <c r="L2632" s="869" t="n">
        <v>1048.75</v>
      </c>
      <c r="M2632" s="1277" t="n">
        <v>1003</v>
      </c>
      <c r="N2632" s="1273" t="n">
        <v>1281</v>
      </c>
      <c r="O2632" s="1227" t="n">
        <v>1141.25</v>
      </c>
      <c r="P2632" s="1277" t="n">
        <v>1159</v>
      </c>
    </row>
    <row r="2633" ht="15.75" customHeight="1" s="2">
      <c r="A2633" s="462" t="inlineStr">
        <is>
          <t>Training Hours used</t>
        </is>
      </c>
      <c r="B2633" s="1274" t="n">
        <v>113.5</v>
      </c>
      <c r="C2633" s="1228" t="n">
        <v>55</v>
      </c>
      <c r="D2633" s="1277" t="n"/>
      <c r="E2633" s="1274" t="n">
        <v>58</v>
      </c>
      <c r="F2633" s="1228" t="n">
        <v>34</v>
      </c>
      <c r="G2633" s="1277" t="n"/>
      <c r="H2633" s="1274" t="n"/>
      <c r="I2633" s="1228" t="n"/>
      <c r="J2633" s="1277" t="n"/>
      <c r="K2633" s="1274" t="n">
        <v>37.75</v>
      </c>
      <c r="L2633" s="870" t="n"/>
      <c r="M2633" s="1277" t="n"/>
      <c r="N2633" s="1274" t="n"/>
      <c r="O2633" s="1228" t="n"/>
      <c r="P2633" s="1277" t="n"/>
    </row>
    <row r="2634" ht="15.75" customHeight="1" s="2" thickBot="1">
      <c r="A2634" s="474" t="inlineStr">
        <is>
          <t>Number of hours used to cover sick leave</t>
        </is>
      </c>
      <c r="B2634" s="1282" t="n"/>
      <c r="C2634" s="1229" t="n"/>
      <c r="D2634" s="1281" t="n"/>
      <c r="E2634" s="1282" t="n"/>
      <c r="F2634" s="1229" t="n"/>
      <c r="G2634" s="1281" t="n"/>
      <c r="H2634" s="1282" t="n"/>
      <c r="I2634" s="1229" t="n">
        <v>4</v>
      </c>
      <c r="J2634" s="1281" t="n"/>
      <c r="K2634" s="1282" t="n"/>
      <c r="L2634" s="813" t="n"/>
      <c r="M2634" s="1281" t="n"/>
      <c r="N2634" s="1282" t="n"/>
      <c r="O2634" s="1229" t="n"/>
      <c r="P2634" s="1281" t="n"/>
    </row>
    <row r="2635" ht="15.75" customHeight="1" s="2" thickBot="1">
      <c r="A2635" s="477" t="inlineStr">
        <is>
          <t xml:space="preserve">Minimum Hours </t>
        </is>
      </c>
      <c r="B2635" s="1171" t="n"/>
      <c r="C2635" s="816" t="inlineStr">
        <is>
          <t>Min.Hours</t>
        </is>
      </c>
      <c r="D2635" s="816" t="inlineStr">
        <is>
          <t>Projected</t>
        </is>
      </c>
      <c r="E2635" s="1171" t="n"/>
      <c r="F2635" s="935" t="inlineStr">
        <is>
          <t>Min.Hours</t>
        </is>
      </c>
      <c r="G2635" s="935" t="inlineStr">
        <is>
          <t>Projected</t>
        </is>
      </c>
      <c r="H2635" s="935" t="n"/>
      <c r="I2635" s="935" t="inlineStr">
        <is>
          <t>Min Hrs</t>
        </is>
      </c>
      <c r="J2635" s="935" t="inlineStr">
        <is>
          <t>Projected</t>
        </is>
      </c>
      <c r="K2635" s="935" t="n"/>
      <c r="L2635" s="935" t="inlineStr">
        <is>
          <t>Min Hrs</t>
        </is>
      </c>
      <c r="M2635" s="935" t="inlineStr">
        <is>
          <t>Projected</t>
        </is>
      </c>
      <c r="N2635" s="1171" t="n"/>
      <c r="O2635" s="935" t="inlineStr">
        <is>
          <t>Min Hrs</t>
        </is>
      </c>
      <c r="P2635" s="935" t="inlineStr">
        <is>
          <t>Projected</t>
        </is>
      </c>
    </row>
    <row r="2636" ht="15.75" customHeight="1" s="2">
      <c r="A2636" s="479" t="inlineStr">
        <is>
          <t>Floor</t>
        </is>
      </c>
      <c r="B2636" s="1172" t="n"/>
      <c r="C2636" s="810" t="n">
        <v>577</v>
      </c>
      <c r="D2636" s="810" t="n">
        <v>591</v>
      </c>
      <c r="E2636" s="1172" t="n"/>
      <c r="F2636" s="810" t="n">
        <v>577</v>
      </c>
      <c r="G2636" s="810" t="n">
        <v>562</v>
      </c>
      <c r="H2636" s="810" t="n"/>
      <c r="I2636" s="810" t="n">
        <v>577</v>
      </c>
      <c r="J2636" s="811" t="n">
        <v>737</v>
      </c>
      <c r="K2636" s="810" t="n"/>
      <c r="L2636" s="810" t="n">
        <v>577</v>
      </c>
      <c r="M2636" s="811" t="n">
        <v>737</v>
      </c>
      <c r="N2636" s="1172" t="n"/>
      <c r="O2636" s="810" t="n">
        <v>626</v>
      </c>
      <c r="P2636" s="811" t="n">
        <v>664</v>
      </c>
    </row>
    <row r="2637" ht="15.75" customHeight="1" s="2" thickBot="1">
      <c r="A2637" s="481" t="inlineStr">
        <is>
          <t>Kitchen</t>
        </is>
      </c>
      <c r="B2637" s="1173" t="n"/>
      <c r="C2637" s="813" t="n">
        <v>509</v>
      </c>
      <c r="D2637" s="813" t="n">
        <v>483</v>
      </c>
      <c r="E2637" s="1173" t="n"/>
      <c r="F2637" s="840" t="n">
        <v>485</v>
      </c>
      <c r="G2637" s="840" t="n">
        <v>460</v>
      </c>
      <c r="H2637" s="813" t="n"/>
      <c r="I2637" s="840" t="n">
        <v>485</v>
      </c>
      <c r="J2637" s="814" t="n">
        <v>603</v>
      </c>
      <c r="K2637" s="813" t="n"/>
      <c r="L2637" s="840" t="n">
        <v>485</v>
      </c>
      <c r="M2637" s="814" t="n">
        <v>603</v>
      </c>
      <c r="N2637" s="1173" t="n"/>
      <c r="O2637" s="813" t="n">
        <v>465</v>
      </c>
      <c r="P2637" s="814" t="n">
        <v>543</v>
      </c>
    </row>
    <row r="2638" ht="15.75" customHeight="1" s="2" thickBot="1">
      <c r="A2638" s="834" t="n"/>
      <c r="B2638" s="836" t="n"/>
      <c r="C2638" s="1220" t="n"/>
      <c r="D2638" s="1220" t="n"/>
      <c r="E2638" s="839" t="n"/>
      <c r="F2638" s="1220" t="n"/>
      <c r="G2638" s="1220" t="n"/>
      <c r="H2638" s="839" t="n"/>
      <c r="I2638" s="1220" t="n"/>
      <c r="J2638" s="1220" t="n"/>
      <c r="K2638" s="839" t="n"/>
      <c r="L2638" s="1220" t="n"/>
      <c r="M2638" s="1220" t="n"/>
      <c r="N2638" s="839" t="n"/>
      <c r="O2638" s="835" t="n"/>
      <c r="P2638" s="835" t="n"/>
    </row>
    <row r="2639" ht="15.75" customHeight="1" s="2">
      <c r="A2639" s="506" t="inlineStr">
        <is>
          <t>Training explanation</t>
        </is>
      </c>
      <c r="B2639" s="837" t="n"/>
      <c r="C2639" s="1220" t="n"/>
      <c r="D2639" s="1220" t="n"/>
      <c r="E2639" s="837" t="n"/>
      <c r="F2639" s="1220" t="n"/>
      <c r="G2639" s="1220" t="n"/>
      <c r="H2639" s="837" t="n"/>
      <c r="I2639" s="1220" t="n"/>
      <c r="J2639" s="1220" t="n"/>
      <c r="K2639" s="837" t="n"/>
      <c r="L2639" s="1220" t="n"/>
      <c r="M2639" s="1220" t="n"/>
      <c r="N2639" s="837" t="n"/>
      <c r="O2639" s="835" t="n"/>
      <c r="P2639" s="835" t="n"/>
    </row>
    <row r="2640" ht="15.75" customHeight="1" s="2" thickBot="1">
      <c r="A2640" s="506" t="inlineStr">
        <is>
          <t>Who is being Trained</t>
        </is>
      </c>
      <c r="B2640" s="838" t="n"/>
      <c r="C2640" s="1221" t="n"/>
      <c r="D2640" s="1221" t="n"/>
      <c r="E2640" s="838" t="n"/>
      <c r="F2640" s="1221" t="n"/>
      <c r="G2640" s="1221" t="n"/>
      <c r="H2640" s="838" t="n"/>
      <c r="I2640" s="1221" t="n"/>
      <c r="J2640" s="1221" t="n"/>
      <c r="K2640" s="838" t="n"/>
      <c r="L2640" s="1221" t="n"/>
      <c r="M2640" s="1221" t="n"/>
      <c r="N2640" s="838" t="n"/>
    </row>
    <row r="2641" ht="15.75" customHeight="1" s="2" thickBot="1">
      <c r="A2641" s="506" t="n"/>
      <c r="C2641" s="523" t="inlineStr">
        <is>
          <t>floor</t>
        </is>
      </c>
      <c r="D2641" s="524" t="inlineStr">
        <is>
          <t>kitchen</t>
        </is>
      </c>
      <c r="E2641" s="509" t="n"/>
      <c r="F2641" s="507" t="inlineStr">
        <is>
          <t>floor</t>
        </is>
      </c>
      <c r="G2641" s="508" t="inlineStr">
        <is>
          <t>kitchen</t>
        </is>
      </c>
      <c r="H2641" s="510" t="n"/>
      <c r="I2641" s="535" t="inlineStr">
        <is>
          <t>floor</t>
        </is>
      </c>
      <c r="J2641" s="511" t="inlineStr">
        <is>
          <t>kitchen</t>
        </is>
      </c>
      <c r="K2641" s="512" t="n"/>
      <c r="L2641" s="535" t="inlineStr">
        <is>
          <t>floor</t>
        </is>
      </c>
      <c r="M2641" s="513" t="inlineStr">
        <is>
          <t>kitchen</t>
        </is>
      </c>
      <c r="N2641" s="512" t="n"/>
      <c r="O2641" s="535" t="inlineStr">
        <is>
          <t>floor</t>
        </is>
      </c>
      <c r="P2641" s="513" t="inlineStr">
        <is>
          <t>kitchen</t>
        </is>
      </c>
    </row>
    <row r="2642" ht="15.75" customHeight="1" s="2">
      <c r="A2642" s="506" t="n"/>
      <c r="C2642" s="525" t="inlineStr">
        <is>
          <t>Johana( bar)7hrs</t>
        </is>
      </c>
      <c r="D2642" s="527" t="inlineStr">
        <is>
          <t>Alyssa (grill) 15 hrs</t>
        </is>
      </c>
      <c r="E2642" s="514" t="n"/>
      <c r="F2642" s="525" t="inlineStr">
        <is>
          <t>Johana( bar)8hrs</t>
        </is>
      </c>
      <c r="G2642" s="527" t="inlineStr">
        <is>
          <t>Tania (crepe) 10 hrs</t>
        </is>
      </c>
      <c r="H2642" s="515" t="n"/>
      <c r="I2642" s="531" t="n"/>
      <c r="J2642" s="824" t="n"/>
      <c r="K2642" s="515" t="n"/>
      <c r="L2642" s="536" t="n"/>
      <c r="M2642" s="532" t="n"/>
      <c r="N2642" s="515" t="n"/>
      <c r="O2642" s="536" t="n"/>
      <c r="P2642" s="532" t="n"/>
    </row>
    <row r="2643" ht="15.75" customHeight="1" s="2">
      <c r="C2643" s="891" t="inlineStr">
        <is>
          <t>Yong(bar) 5 hrs</t>
        </is>
      </c>
      <c r="D2643" s="526" t="inlineStr">
        <is>
          <t>Engerica grill18hrs</t>
        </is>
      </c>
      <c r="E2643" s="514" t="n"/>
      <c r="F2643" s="891" t="inlineStr">
        <is>
          <t>Yong(bar) 6 hrs</t>
        </is>
      </c>
      <c r="G2643" s="527" t="inlineStr">
        <is>
          <t>Alyssa (grill) 8 hrs</t>
        </is>
      </c>
      <c r="H2643" s="516" t="n"/>
      <c r="I2643" s="1656" t="n"/>
      <c r="J2643" s="530" t="n"/>
      <c r="K2643" s="516" t="n"/>
      <c r="L2643" s="542" t="n"/>
      <c r="M2643" s="530" t="n"/>
      <c r="N2643" s="516" t="n"/>
      <c r="O2643" s="542" t="n"/>
      <c r="P2643" s="530" t="n"/>
    </row>
    <row r="2644" ht="15.75" customHeight="1" s="2">
      <c r="C2644" s="550" t="n"/>
      <c r="D2644" s="527" t="inlineStr">
        <is>
          <t>Tania (crepe) 10 hrs</t>
        </is>
      </c>
      <c r="E2644" s="514" t="n"/>
      <c r="F2644" s="531" t="n"/>
      <c r="G2644" s="530" t="n"/>
      <c r="H2644" s="516" t="n"/>
      <c r="I2644" s="537" t="n"/>
      <c r="J2644" s="530" t="n"/>
      <c r="K2644" s="516" t="n"/>
      <c r="L2644" s="1657" t="n"/>
      <c r="M2644" s="539" t="n"/>
      <c r="N2644" s="516" t="n"/>
      <c r="O2644" s="542" t="n"/>
      <c r="P2644" s="539" t="n"/>
    </row>
    <row r="2645" ht="15.75" customHeight="1" s="2">
      <c r="C2645" s="561" t="n"/>
      <c r="D2645" s="561" t="n"/>
      <c r="E2645" s="519" t="n"/>
      <c r="F2645" s="517" t="n"/>
      <c r="G2645" s="1659" t="n"/>
      <c r="H2645" s="516" t="n"/>
      <c r="I2645" s="537" t="n"/>
      <c r="J2645" s="530" t="n"/>
      <c r="K2645" s="516" t="n"/>
      <c r="L2645" s="537" t="n"/>
      <c r="M2645" s="539" t="n"/>
      <c r="N2645" s="516" t="n"/>
      <c r="O2645" s="537" t="n"/>
      <c r="P2645" s="539" t="n"/>
    </row>
    <row r="2646" ht="15.75" customHeight="1" s="2">
      <c r="C2646" s="551" t="n"/>
      <c r="D2646" s="528" t="n"/>
      <c r="E2646" s="519" t="n"/>
      <c r="F2646" s="517" t="n"/>
      <c r="G2646" s="518" t="n"/>
      <c r="H2646" s="516" t="n"/>
      <c r="I2646" s="537" t="n"/>
      <c r="J2646" s="533" t="n"/>
      <c r="K2646" s="516" t="n"/>
      <c r="L2646" s="537" t="n"/>
      <c r="M2646" s="540" t="n"/>
      <c r="N2646" s="516" t="n"/>
      <c r="O2646" s="537" t="n"/>
      <c r="P2646" s="540" t="n"/>
    </row>
    <row r="2649" ht="15.75" customHeight="1" s="2" thickBot="1"/>
    <row r="2650" ht="15.75" customHeight="1" s="2" thickBot="1">
      <c r="B2650" s="1652" t="inlineStr">
        <is>
          <t>22.04.2024</t>
        </is>
      </c>
      <c r="C2650" s="1641" t="n"/>
      <c r="D2650" s="1502" t="n"/>
      <c r="E2650" s="1640" t="inlineStr">
        <is>
          <t>29.04.2024</t>
        </is>
      </c>
      <c r="F2650" s="1641" t="n"/>
      <c r="G2650" s="1502" t="n"/>
      <c r="H2650" s="1640" t="inlineStr">
        <is>
          <t>06.05.2024</t>
        </is>
      </c>
      <c r="I2650" s="1641" t="n"/>
      <c r="J2650" s="1502" t="n"/>
      <c r="K2650" s="1640" t="inlineStr">
        <is>
          <t>13.05.2024</t>
        </is>
      </c>
      <c r="L2650" s="1641" t="n"/>
      <c r="M2650" s="1502" t="n"/>
      <c r="N2650" s="1660" t="inlineStr">
        <is>
          <t>20.05.2024</t>
        </is>
      </c>
      <c r="O2650" s="1641" t="n"/>
      <c r="P2650" s="1502" t="n"/>
    </row>
    <row r="2651" ht="15.75" customHeight="1" s="2" thickBot="1">
      <c r="A2651" s="455" t="n"/>
      <c r="B2651" s="1217" t="inlineStr">
        <is>
          <t>LAST YEAR</t>
        </is>
      </c>
      <c r="C2651" s="1219" t="inlineStr">
        <is>
          <t>Projected</t>
        </is>
      </c>
      <c r="D2651" s="1218" t="inlineStr">
        <is>
          <t>Actual</t>
        </is>
      </c>
      <c r="E2651" s="1217" t="inlineStr">
        <is>
          <t>LAST YEAR</t>
        </is>
      </c>
      <c r="F2651" s="1219" t="inlineStr">
        <is>
          <t>Projected</t>
        </is>
      </c>
      <c r="G2651" s="1218" t="inlineStr">
        <is>
          <t>Actual</t>
        </is>
      </c>
      <c r="H2651" s="1217" t="inlineStr">
        <is>
          <t>LAST YEAR</t>
        </is>
      </c>
      <c r="I2651" s="1219" t="inlineStr">
        <is>
          <t>Projected</t>
        </is>
      </c>
      <c r="J2651" s="1218" t="inlineStr">
        <is>
          <t>Actual</t>
        </is>
      </c>
      <c r="K2651" s="1217" t="inlineStr">
        <is>
          <t>LAST YEAR</t>
        </is>
      </c>
      <c r="L2651" s="1219" t="inlineStr">
        <is>
          <t>Projected</t>
        </is>
      </c>
      <c r="M2651" s="1218" t="inlineStr">
        <is>
          <t>Actual</t>
        </is>
      </c>
      <c r="N2651" s="1217" t="inlineStr">
        <is>
          <t>LAST YEAR</t>
        </is>
      </c>
      <c r="O2651" s="1219" t="inlineStr">
        <is>
          <t>Projected</t>
        </is>
      </c>
      <c r="P2651" s="1218" t="inlineStr">
        <is>
          <t>Actual</t>
        </is>
      </c>
    </row>
    <row r="2652" ht="15.75" customHeight="1" s="2">
      <c r="A2652" s="459" t="inlineStr">
        <is>
          <t>Total Receipts</t>
        </is>
      </c>
      <c r="B2652" s="1672" t="n">
        <v>156290</v>
      </c>
      <c r="C2652" s="1672" t="n">
        <v>162640</v>
      </c>
      <c r="D2652" s="1622" t="n">
        <v>140894.19</v>
      </c>
      <c r="E2652" s="1672" t="n">
        <v>135113</v>
      </c>
      <c r="F2652" s="1672" t="n">
        <v>184369</v>
      </c>
      <c r="G2652" s="1645" t="n">
        <v>162631.82</v>
      </c>
      <c r="H2652" s="1672" t="n">
        <v>121304</v>
      </c>
      <c r="I2652" s="1688" t="n">
        <v>127639</v>
      </c>
      <c r="J2652" s="1645" t="n">
        <v>118795.64</v>
      </c>
      <c r="K2652" s="1672" t="n">
        <v>121948</v>
      </c>
      <c r="L2652" s="1672" t="n">
        <v>130100</v>
      </c>
      <c r="M2652" s="1645" t="n">
        <v>105321.09</v>
      </c>
      <c r="N2652" s="1672" t="n">
        <v>113043.99</v>
      </c>
      <c r="O2652" s="1688" t="n">
        <v>118913</v>
      </c>
      <c r="P2652" s="1622" t="n">
        <v>108797.26</v>
      </c>
    </row>
    <row r="2653" ht="15.75" customHeight="1" s="2">
      <c r="A2653" s="462" t="inlineStr">
        <is>
          <t>Nett Sales</t>
        </is>
      </c>
      <c r="B2653" s="1677" t="n">
        <v>142081</v>
      </c>
      <c r="C2653" s="1677" t="n">
        <v>147854.2</v>
      </c>
      <c r="D2653" s="1625" t="n">
        <v>128085.63</v>
      </c>
      <c r="E2653" s="1677" t="n">
        <v>122830</v>
      </c>
      <c r="F2653" s="1677" t="n">
        <v>167608</v>
      </c>
      <c r="G2653" s="1637" t="n">
        <v>147847.11</v>
      </c>
      <c r="H2653" s="1677" t="n">
        <v>110276.76</v>
      </c>
      <c r="I2653" s="1677" t="n">
        <v>116035.5</v>
      </c>
      <c r="J2653" s="1625" t="n">
        <v>107996.04</v>
      </c>
      <c r="K2653" s="1677" t="n">
        <v>110862</v>
      </c>
      <c r="L2653" s="1677" t="n">
        <v>118273</v>
      </c>
      <c r="M2653" s="1625" t="n">
        <v>95746.45</v>
      </c>
      <c r="N2653" s="1677" t="n">
        <v>102767</v>
      </c>
      <c r="O2653" s="1677" t="n">
        <v>108102.7</v>
      </c>
      <c r="P2653" s="1625" t="n">
        <v>98906.60000000001</v>
      </c>
    </row>
    <row r="2654" ht="15.75" customHeight="1" s="2">
      <c r="A2654" s="462" t="inlineStr">
        <is>
          <t>Customers</t>
        </is>
      </c>
      <c r="B2654" s="1270" t="n">
        <v>6630</v>
      </c>
      <c r="C2654" s="1270" t="n">
        <v>6689</v>
      </c>
      <c r="D2654" s="466" t="n">
        <v>6179</v>
      </c>
      <c r="E2654" s="1270" t="n">
        <v>5433</v>
      </c>
      <c r="F2654" s="1270" t="n">
        <v>7445</v>
      </c>
      <c r="G2654" s="466" t="n">
        <v>6757</v>
      </c>
      <c r="H2654" s="1270" t="n">
        <v>5075</v>
      </c>
      <c r="I2654" s="1270" t="n">
        <v>5240</v>
      </c>
      <c r="J2654" s="466" t="n">
        <v>4877</v>
      </c>
      <c r="K2654" s="1270" t="n">
        <v>5129</v>
      </c>
      <c r="L2654" s="1270" t="n">
        <v>5355</v>
      </c>
      <c r="M2654" s="466" t="n">
        <v>4486</v>
      </c>
      <c r="N2654" s="1270" t="n">
        <v>4862</v>
      </c>
      <c r="O2654" s="1270" t="n">
        <v>4880</v>
      </c>
      <c r="P2654" s="1655" t="n">
        <v>4624</v>
      </c>
    </row>
    <row r="2655" ht="15.75" customHeight="1" s="2">
      <c r="A2655" s="462" t="inlineStr">
        <is>
          <t>Average Customer Spend</t>
        </is>
      </c>
      <c r="B2655" s="1682" t="n">
        <v>23.57</v>
      </c>
      <c r="C2655" s="1682" t="n">
        <v>24.31</v>
      </c>
      <c r="D2655" s="1628" t="n">
        <v>22.8</v>
      </c>
      <c r="E2655" s="1682" t="n">
        <v>24.86</v>
      </c>
      <c r="F2655" s="1682" t="n">
        <v>24.76</v>
      </c>
      <c r="G2655" s="1649" t="n">
        <v>24.06</v>
      </c>
      <c r="H2655" s="1682" t="n">
        <v>23.9</v>
      </c>
      <c r="I2655" s="1689" t="n">
        <v>24.36</v>
      </c>
      <c r="J2655" s="1649" t="n">
        <v>24.35</v>
      </c>
      <c r="K2655" s="1682" t="n">
        <v>23.77</v>
      </c>
      <c r="L2655" s="1682" t="n">
        <v>24.3</v>
      </c>
      <c r="M2655" s="1649" t="n">
        <v>23.47</v>
      </c>
      <c r="N2655" s="1682" t="n">
        <v>23.25</v>
      </c>
      <c r="O2655" s="1689" t="n">
        <v>24.37</v>
      </c>
      <c r="P2655" s="1628" t="n">
        <v>23.52</v>
      </c>
    </row>
    <row r="2656" ht="15.75" customHeight="1" s="2">
      <c r="A2656" s="462" t="inlineStr">
        <is>
          <t>Wage % to Total Receipts</t>
        </is>
      </c>
      <c r="B2656" s="1272" t="n">
        <v>0.2975</v>
      </c>
      <c r="C2656" s="1272" t="n">
        <v>0.3243</v>
      </c>
      <c r="D2656" s="470" t="n">
        <v>0.3463</v>
      </c>
      <c r="E2656" s="1272" t="n">
        <v>0.3808</v>
      </c>
      <c r="F2656" s="1272" t="n">
        <v>0.3184</v>
      </c>
      <c r="G2656" s="863" t="n">
        <v>0.3564</v>
      </c>
      <c r="H2656" s="1272" t="n">
        <v>0.3344</v>
      </c>
      <c r="I2656" s="1301" t="n">
        <v>0.3474</v>
      </c>
      <c r="J2656" s="863" t="n">
        <v>0.3395</v>
      </c>
      <c r="K2656" s="1272" t="n">
        <v>0.3282</v>
      </c>
      <c r="L2656" s="1272" t="n">
        <v>0.3483</v>
      </c>
      <c r="M2656" s="863" t="n">
        <v>0.3748</v>
      </c>
      <c r="N2656" s="1272" t="n">
        <v>0.3558</v>
      </c>
      <c r="O2656" s="1301" t="n">
        <v>0.321</v>
      </c>
      <c r="P2656" s="470" t="n">
        <v>0.3546</v>
      </c>
    </row>
    <row r="2657" ht="15.75" customHeight="1" s="2">
      <c r="A2657" s="462" t="inlineStr">
        <is>
          <t>Wage % to Nett Sales</t>
        </is>
      </c>
      <c r="B2657" s="1272" t="n">
        <v>0.3272</v>
      </c>
      <c r="C2657" s="1272" t="n">
        <v>0.3567</v>
      </c>
      <c r="D2657" s="470" t="inlineStr">
        <is>
          <t>38.09*%</t>
        </is>
      </c>
      <c r="E2657" s="1272" t="n">
        <v>0.4189</v>
      </c>
      <c r="F2657" s="1272" t="n">
        <v>0.3502</v>
      </c>
      <c r="G2657" s="863" t="n">
        <v>0.392</v>
      </c>
      <c r="H2657" s="1272" t="n">
        <v>0.3679</v>
      </c>
      <c r="I2657" s="1301" t="n">
        <v>0.3821</v>
      </c>
      <c r="J2657" s="863" t="n">
        <v>0.3734</v>
      </c>
      <c r="K2657" s="1272" t="n">
        <v>0.361</v>
      </c>
      <c r="L2657" s="1272" t="n">
        <v>0.3831</v>
      </c>
      <c r="M2657" s="863" t="n">
        <v>0.4123</v>
      </c>
      <c r="N2657" s="1272" t="n">
        <v>0.3914</v>
      </c>
      <c r="O2657" s="1301" t="n">
        <v>0.3527</v>
      </c>
      <c r="P2657" s="470" t="n">
        <v>0.3901</v>
      </c>
    </row>
    <row r="2658" ht="15.75" customHeight="1" s="2">
      <c r="A2658" s="462" t="inlineStr">
        <is>
          <t>Productivity</t>
        </is>
      </c>
      <c r="B2658" s="1273" t="n">
        <v>5.22</v>
      </c>
      <c r="C2658" s="1273" t="n">
        <v>5.2</v>
      </c>
      <c r="D2658" s="472" t="n">
        <v>4.94</v>
      </c>
      <c r="E2658" s="1273" t="n">
        <v>4.53</v>
      </c>
      <c r="F2658" s="1273" t="n">
        <v>5.7</v>
      </c>
      <c r="G2658" s="472" t="n">
        <v>5.32</v>
      </c>
      <c r="H2658" s="1273" t="n">
        <v>4.63</v>
      </c>
      <c r="I2658" s="1273" t="n">
        <v>5.2</v>
      </c>
      <c r="J2658" s="472" t="n">
        <v>4.96</v>
      </c>
      <c r="K2658" s="1273" t="n">
        <v>4.75</v>
      </c>
      <c r="L2658" s="1273" t="n">
        <v>5.2</v>
      </c>
      <c r="M2658" s="472" t="n">
        <v>4.47</v>
      </c>
      <c r="N2658" s="1273" t="n">
        <v>4.53</v>
      </c>
      <c r="O2658" s="1273" t="n">
        <v>5</v>
      </c>
      <c r="P2658" s="472" t="n">
        <v>4.8</v>
      </c>
    </row>
    <row r="2659" ht="15.75" customHeight="1" s="2">
      <c r="A2659" s="462" t="inlineStr">
        <is>
          <t>Average Hourly Rate</t>
        </is>
      </c>
      <c r="B2659" s="1273" t="n">
        <v>36.58</v>
      </c>
      <c r="C2659" s="1273" t="n">
        <v>41</v>
      </c>
      <c r="D2659" s="1628" t="n">
        <v>39.04</v>
      </c>
      <c r="E2659" s="1273" t="n">
        <v>42.9</v>
      </c>
      <c r="F2659" s="1273" t="n">
        <v>41</v>
      </c>
      <c r="G2659" s="1649" t="n">
        <v>45.66</v>
      </c>
      <c r="H2659" s="1273" t="n">
        <v>37.03</v>
      </c>
      <c r="I2659" s="1273" t="n">
        <v>44</v>
      </c>
      <c r="J2659" s="1649" t="n">
        <v>41.05</v>
      </c>
      <c r="K2659" s="1273" t="n">
        <v>37.06</v>
      </c>
      <c r="L2659" s="1273" t="n">
        <v>44</v>
      </c>
      <c r="M2659" s="1649" t="n">
        <v>39.3</v>
      </c>
      <c r="N2659" s="1685" t="n">
        <v>38</v>
      </c>
      <c r="O2659" s="1273" t="n">
        <v>39</v>
      </c>
      <c r="P2659" s="1628" t="n">
        <v>40.03</v>
      </c>
    </row>
    <row r="2660" ht="15.75" customHeight="1" s="2">
      <c r="A2660" s="462" t="inlineStr">
        <is>
          <t>Total hours for productivity</t>
        </is>
      </c>
      <c r="B2660" s="1273" t="n">
        <v>1271</v>
      </c>
      <c r="C2660" s="1273" t="n">
        <v>1286</v>
      </c>
      <c r="D2660" s="466" t="n">
        <v>1249.75</v>
      </c>
      <c r="E2660" s="1273" t="n">
        <v>1199</v>
      </c>
      <c r="F2660" s="1273" t="n">
        <v>1432</v>
      </c>
      <c r="G2660" s="466" t="n">
        <v>1269.25</v>
      </c>
      <c r="H2660" s="1273" t="n">
        <v>1095.05</v>
      </c>
      <c r="I2660" s="1273" t="n">
        <v>1008</v>
      </c>
      <c r="J2660" s="472" t="n">
        <v>982.5</v>
      </c>
      <c r="K2660" s="1273" t="n">
        <v>1080</v>
      </c>
      <c r="L2660" s="1273" t="n">
        <v>1030</v>
      </c>
      <c r="M2660" s="466" t="n">
        <v>1004.5</v>
      </c>
      <c r="N2660" s="1273" t="n">
        <v>1072</v>
      </c>
      <c r="O2660" s="1273" t="n">
        <v>977.5</v>
      </c>
      <c r="P2660" s="466" t="n">
        <v>963.75</v>
      </c>
    </row>
    <row r="2661" ht="15.75" customHeight="1" s="2">
      <c r="A2661" s="462" t="inlineStr">
        <is>
          <t>Training Hours used</t>
        </is>
      </c>
      <c r="B2661" s="1274" t="n">
        <v>15</v>
      </c>
      <c r="C2661" s="1274" t="n"/>
      <c r="D2661" s="466" t="n">
        <v>25</v>
      </c>
      <c r="E2661" s="1274" t="n"/>
      <c r="F2661" s="1274" t="n"/>
      <c r="G2661" s="466" t="n">
        <v>20</v>
      </c>
      <c r="H2661" s="1274" t="n"/>
      <c r="I2661" s="1274" t="n"/>
      <c r="J2661" s="466" t="n"/>
      <c r="K2661" s="1274" t="n">
        <v>25</v>
      </c>
      <c r="L2661" s="1274" t="n"/>
      <c r="M2661" s="466" t="n">
        <v>45</v>
      </c>
      <c r="N2661" s="1274" t="n">
        <v>15</v>
      </c>
      <c r="O2661" s="1274" t="n"/>
      <c r="P2661" s="466" t="n">
        <v>29</v>
      </c>
    </row>
    <row r="2662" ht="15.75" customHeight="1" s="2" thickBot="1">
      <c r="A2662" s="474" t="inlineStr">
        <is>
          <t>Number of hours used to cover sick leave</t>
        </is>
      </c>
      <c r="B2662" s="1282" t="n"/>
      <c r="C2662" s="1282" t="n"/>
      <c r="D2662" s="476" t="n"/>
      <c r="E2662" s="1282" t="n"/>
      <c r="F2662" s="1282" t="n"/>
      <c r="G2662" s="476" t="n"/>
      <c r="H2662" s="1282" t="n"/>
      <c r="I2662" s="1282" t="n"/>
      <c r="J2662" s="476" t="n"/>
      <c r="K2662" s="1282" t="n"/>
      <c r="L2662" s="1282" t="n"/>
      <c r="M2662" s="476" t="n"/>
      <c r="N2662" s="1282" t="n"/>
      <c r="O2662" s="1282" t="n"/>
      <c r="P2662" s="476" t="n"/>
    </row>
    <row r="2663" ht="15.75" customHeight="1" s="2" thickBot="1">
      <c r="A2663" s="477" t="inlineStr">
        <is>
          <t xml:space="preserve">Minimum Hours </t>
        </is>
      </c>
      <c r="B2663" s="1171" t="n"/>
      <c r="C2663" s="816" t="inlineStr">
        <is>
          <t>Projected</t>
        </is>
      </c>
      <c r="D2663" s="935" t="inlineStr">
        <is>
          <t>Min Hrs</t>
        </is>
      </c>
      <c r="E2663" s="1171" t="n"/>
      <c r="F2663" s="816" t="inlineStr">
        <is>
          <t>Projected</t>
        </is>
      </c>
      <c r="G2663" s="935" t="inlineStr">
        <is>
          <t>Min Hrs</t>
        </is>
      </c>
      <c r="H2663" s="935" t="n"/>
      <c r="I2663" s="816" t="inlineStr">
        <is>
          <t>Projected</t>
        </is>
      </c>
      <c r="J2663" s="935" t="inlineStr">
        <is>
          <t>Min Hrs</t>
        </is>
      </c>
      <c r="K2663" s="935" t="n"/>
      <c r="L2663" s="816" t="inlineStr">
        <is>
          <t>Projected</t>
        </is>
      </c>
      <c r="M2663" s="935" t="inlineStr">
        <is>
          <t>Min Hrs</t>
        </is>
      </c>
      <c r="N2663" s="1171" t="n"/>
      <c r="O2663" s="816" t="inlineStr">
        <is>
          <t>Projected</t>
        </is>
      </c>
      <c r="P2663" s="935" t="inlineStr">
        <is>
          <t>Min Hrs</t>
        </is>
      </c>
    </row>
    <row r="2664" ht="15.75" customHeight="1" s="2">
      <c r="A2664" s="479" t="inlineStr">
        <is>
          <t>Floor</t>
        </is>
      </c>
      <c r="B2664" s="1172" t="n"/>
      <c r="C2664" s="810" t="n">
        <v>707</v>
      </c>
      <c r="D2664" s="811" t="n">
        <v>591</v>
      </c>
      <c r="E2664" s="1172" t="n"/>
      <c r="F2664" s="810" t="n">
        <v>787</v>
      </c>
      <c r="G2664" s="811" t="n">
        <v>556</v>
      </c>
      <c r="H2664" s="810" t="n"/>
      <c r="I2664" s="810" t="n">
        <v>554</v>
      </c>
      <c r="J2664" s="811" t="n">
        <v>591</v>
      </c>
      <c r="K2664" s="810" t="n"/>
      <c r="L2664" s="810" t="n">
        <v>566</v>
      </c>
      <c r="M2664" s="811" t="n">
        <v>591</v>
      </c>
      <c r="N2664" s="1172" t="n"/>
      <c r="O2664" s="810" t="n">
        <v>518.5</v>
      </c>
      <c r="P2664" s="811" t="n">
        <v>517</v>
      </c>
    </row>
    <row r="2665" ht="15.75" customHeight="1" s="2" thickBot="1">
      <c r="A2665" s="481" t="inlineStr">
        <is>
          <t>Kitchen</t>
        </is>
      </c>
      <c r="B2665" s="1173" t="n"/>
      <c r="C2665" s="813" t="n">
        <v>579</v>
      </c>
      <c r="D2665" s="814" t="n">
        <v>465</v>
      </c>
      <c r="E2665" s="1173" t="n"/>
      <c r="F2665" s="840" t="n">
        <v>644</v>
      </c>
      <c r="G2665" s="814" t="n">
        <v>445</v>
      </c>
      <c r="H2665" s="813" t="n"/>
      <c r="I2665" s="840" t="n">
        <v>453</v>
      </c>
      <c r="J2665" s="814" t="n">
        <v>425</v>
      </c>
      <c r="K2665" s="813" t="n"/>
      <c r="L2665" s="840" t="n">
        <v>463</v>
      </c>
      <c r="M2665" s="814" t="n">
        <v>425</v>
      </c>
      <c r="N2665" s="1173" t="n"/>
      <c r="O2665" s="813" t="n">
        <v>459</v>
      </c>
      <c r="P2665" s="814" t="n">
        <v>425</v>
      </c>
    </row>
    <row r="2666" ht="15.75" customHeight="1" s="2" thickBot="1">
      <c r="A2666" s="834" t="n"/>
      <c r="B2666" s="836" t="n"/>
      <c r="C2666" s="1220" t="n"/>
      <c r="D2666" s="1220" t="n"/>
      <c r="E2666" s="839" t="n"/>
      <c r="F2666" s="1220" t="n"/>
      <c r="G2666" s="1220" t="n"/>
      <c r="H2666" s="839" t="n"/>
      <c r="I2666" s="1220" t="n"/>
      <c r="J2666" s="1220" t="n"/>
      <c r="K2666" s="839" t="n"/>
      <c r="L2666" s="1220" t="n"/>
      <c r="M2666" s="1220" t="n"/>
      <c r="N2666" s="839" t="n"/>
      <c r="O2666" s="835" t="n"/>
      <c r="P2666" s="835" t="n"/>
    </row>
    <row r="2667" ht="15.75" customHeight="1" s="2">
      <c r="A2667" s="506" t="inlineStr">
        <is>
          <t>Training explanation</t>
        </is>
      </c>
      <c r="B2667" s="837" t="n"/>
      <c r="C2667" s="1220" t="n"/>
      <c r="D2667" s="1220" t="n"/>
      <c r="E2667" s="837" t="n"/>
      <c r="F2667" s="1220" t="n"/>
      <c r="G2667" s="1220" t="n"/>
      <c r="H2667" s="837" t="n"/>
      <c r="I2667" s="1220" t="n"/>
      <c r="J2667" s="1220" t="n"/>
      <c r="K2667" s="837" t="n"/>
      <c r="L2667" s="1220" t="n"/>
      <c r="M2667" s="1220" t="n"/>
      <c r="N2667" s="837" t="n"/>
      <c r="O2667" s="835" t="n"/>
      <c r="P2667" s="835" t="n"/>
    </row>
    <row r="2668" ht="15.75" customHeight="1" s="2" thickBot="1">
      <c r="A2668" s="506" t="inlineStr">
        <is>
          <t>Who is being Trained</t>
        </is>
      </c>
      <c r="B2668" s="838" t="n"/>
      <c r="C2668" s="1221" t="n"/>
      <c r="D2668" s="1221" t="n"/>
      <c r="E2668" s="838" t="n"/>
      <c r="F2668" s="1221" t="n"/>
      <c r="G2668" s="1221" t="n"/>
      <c r="H2668" s="838" t="n"/>
      <c r="I2668" s="1221" t="n"/>
      <c r="J2668" s="1221" t="n"/>
      <c r="K2668" s="838" t="n"/>
      <c r="L2668" s="1221" t="n"/>
      <c r="M2668" s="1221" t="n"/>
      <c r="N2668" s="838" t="n"/>
    </row>
    <row r="2669" ht="15.75" customHeight="1" s="2" thickBot="1">
      <c r="A2669" s="506" t="n"/>
      <c r="C2669" s="523" t="inlineStr">
        <is>
          <t>floor</t>
        </is>
      </c>
      <c r="D2669" s="524" t="inlineStr">
        <is>
          <t>kitchen</t>
        </is>
      </c>
      <c r="E2669" s="509" t="n"/>
      <c r="F2669" s="507" t="inlineStr">
        <is>
          <t>floor</t>
        </is>
      </c>
      <c r="G2669" s="508" t="inlineStr">
        <is>
          <t>kitchen</t>
        </is>
      </c>
      <c r="H2669" s="510" t="n"/>
      <c r="I2669" s="535" t="inlineStr">
        <is>
          <t>floor</t>
        </is>
      </c>
      <c r="J2669" s="511" t="inlineStr">
        <is>
          <t>kitchen</t>
        </is>
      </c>
      <c r="K2669" s="512" t="n"/>
      <c r="L2669" s="535" t="inlineStr">
        <is>
          <t>floor</t>
        </is>
      </c>
      <c r="M2669" s="513" t="inlineStr">
        <is>
          <t>kitchen</t>
        </is>
      </c>
      <c r="N2669" s="512" t="n"/>
      <c r="O2669" s="535" t="inlineStr">
        <is>
          <t>floor</t>
        </is>
      </c>
      <c r="P2669" s="513" t="inlineStr">
        <is>
          <t>kitchen</t>
        </is>
      </c>
    </row>
    <row r="2670" ht="15.75" customHeight="1" s="2" thickBot="1">
      <c r="A2670" s="506" t="n"/>
      <c r="C2670" s="1302" t="inlineStr">
        <is>
          <t>SINGH, Parul(new starter)</t>
        </is>
      </c>
      <c r="D2670" s="527" t="n"/>
      <c r="E2670" s="514" t="n"/>
      <c r="F2670" s="525" t="inlineStr">
        <is>
          <t>SINGH, Parul (new Stats) 10 hrs</t>
        </is>
      </c>
      <c r="G2670" s="527" t="n"/>
      <c r="H2670" s="515" t="n"/>
      <c r="I2670" s="531" t="n"/>
      <c r="J2670" s="824" t="n"/>
      <c r="K2670" s="515" t="n"/>
      <c r="L2670" s="536" t="inlineStr">
        <is>
          <t>new starters</t>
        </is>
      </c>
      <c r="M2670" s="532" t="n"/>
      <c r="N2670" s="515" t="n"/>
      <c r="O2670" s="542" t="inlineStr">
        <is>
          <t>Anna-10hrs</t>
        </is>
      </c>
      <c r="P2670" s="532" t="inlineStr">
        <is>
          <t>Rey (FC)-10 hrs</t>
        </is>
      </c>
    </row>
    <row r="2671" ht="15.75" customHeight="1" s="2">
      <c r="C2671" s="891" t="n"/>
      <c r="D2671" s="526" t="n"/>
      <c r="E2671" s="514" t="n"/>
      <c r="F2671" s="891" t="n"/>
      <c r="G2671" s="526" t="inlineStr">
        <is>
          <t>Rey (FC)- 10 hrs</t>
        </is>
      </c>
      <c r="H2671" s="516" t="n"/>
      <c r="I2671" s="1656" t="n"/>
      <c r="J2671" s="530" t="n"/>
      <c r="K2671" s="516" t="n"/>
      <c r="L2671" s="542" t="inlineStr">
        <is>
          <t>ADLER, Anna Maria</t>
        </is>
      </c>
      <c r="M2671" s="530" t="inlineStr">
        <is>
          <t xml:space="preserve">20 hrs </t>
        </is>
      </c>
      <c r="N2671" s="516" t="n"/>
      <c r="O2671" s="1657" t="inlineStr">
        <is>
          <t>Reito-9hrs</t>
        </is>
      </c>
      <c r="P2671" s="530" t="n"/>
    </row>
    <row r="2672" ht="15.75" customHeight="1" s="2">
      <c r="C2672" s="550" t="n"/>
      <c r="D2672" s="527" t="n"/>
      <c r="E2672" s="514" t="n"/>
      <c r="F2672" s="531" t="n"/>
      <c r="G2672" s="530" t="n"/>
      <c r="H2672" s="516" t="n"/>
      <c r="I2672" s="537" t="n"/>
      <c r="J2672" s="530" t="n"/>
      <c r="K2672" s="516" t="n"/>
      <c r="L2672" s="1657" t="inlineStr">
        <is>
          <t>NITTA, Reito</t>
        </is>
      </c>
      <c r="M2672" s="539" t="inlineStr">
        <is>
          <t>15 hrs</t>
        </is>
      </c>
      <c r="N2672" s="516" t="n"/>
      <c r="O2672" s="542" t="n"/>
      <c r="P2672" s="539" t="n"/>
    </row>
    <row r="2673" ht="15.75" customHeight="1" s="2">
      <c r="C2673" s="561" t="n"/>
      <c r="D2673" s="561" t="n"/>
      <c r="E2673" s="519" t="n"/>
      <c r="F2673" s="517" t="n"/>
      <c r="G2673" s="1659" t="n"/>
      <c r="H2673" s="516" t="n"/>
      <c r="I2673" s="537" t="n"/>
      <c r="J2673" s="530" t="n"/>
      <c r="K2673" s="516" t="n"/>
      <c r="L2673" s="537" t="inlineStr">
        <is>
          <t>REY (FC)</t>
        </is>
      </c>
      <c r="M2673" s="539" t="inlineStr">
        <is>
          <t>10 hrs</t>
        </is>
      </c>
      <c r="N2673" s="516" t="n"/>
      <c r="O2673" s="537" t="n"/>
      <c r="P2673" s="539" t="n"/>
    </row>
    <row r="2674" ht="15.75" customHeight="1" s="2">
      <c r="C2674" s="551" t="n"/>
      <c r="D2674" s="528" t="n"/>
      <c r="E2674" s="519" t="n"/>
      <c r="F2674" s="517" t="n"/>
      <c r="G2674" s="518" t="n"/>
      <c r="H2674" s="516" t="n"/>
      <c r="I2674" s="537" t="n"/>
      <c r="J2674" s="533" t="n"/>
      <c r="K2674" s="516" t="n"/>
      <c r="L2674" s="537" t="n"/>
      <c r="M2674" s="540" t="n"/>
      <c r="N2674" s="516" t="n"/>
      <c r="O2674" s="537" t="n"/>
      <c r="P2674" s="540" t="n"/>
    </row>
    <row r="2678" ht="15.75" customHeight="1" s="2" thickBot="1"/>
    <row r="2679" ht="15.75" customHeight="1" s="2" thickBot="1">
      <c r="B2679" s="1652" t="inlineStr">
        <is>
          <t>27.05.2024</t>
        </is>
      </c>
      <c r="C2679" s="1641" t="n"/>
      <c r="D2679" s="1502" t="n"/>
      <c r="E2679" s="1640" t="inlineStr">
        <is>
          <t>03.06.2024</t>
        </is>
      </c>
      <c r="F2679" s="1641" t="n"/>
      <c r="G2679" s="1502" t="n"/>
      <c r="H2679" s="1640" t="inlineStr">
        <is>
          <t>10.06.2024</t>
        </is>
      </c>
      <c r="I2679" s="1641" t="n"/>
      <c r="J2679" s="1502" t="n"/>
      <c r="K2679" s="1640" t="inlineStr">
        <is>
          <t>17.06.2024</t>
        </is>
      </c>
      <c r="L2679" s="1641" t="n"/>
      <c r="M2679" s="1502" t="n"/>
      <c r="N2679" s="1660" t="inlineStr">
        <is>
          <t>24.06.2024</t>
        </is>
      </c>
      <c r="O2679" s="1641" t="n"/>
      <c r="P2679" s="1502" t="n"/>
    </row>
    <row r="2680" ht="15.75" customHeight="1" s="2" thickBot="1">
      <c r="A2680" s="455" t="n"/>
      <c r="B2680" s="1217" t="inlineStr">
        <is>
          <t>LAST YEAR</t>
        </is>
      </c>
      <c r="C2680" s="1219" t="inlineStr">
        <is>
          <t>Projected</t>
        </is>
      </c>
      <c r="D2680" s="1218" t="inlineStr">
        <is>
          <t>Actual</t>
        </is>
      </c>
      <c r="E2680" s="1217" t="inlineStr">
        <is>
          <t>LAST YEAR</t>
        </is>
      </c>
      <c r="F2680" s="1219" t="inlineStr">
        <is>
          <t>Projected</t>
        </is>
      </c>
      <c r="G2680" s="1218" t="inlineStr">
        <is>
          <t>Actual</t>
        </is>
      </c>
      <c r="H2680" s="1217" t="inlineStr">
        <is>
          <t>LAST YEAR</t>
        </is>
      </c>
      <c r="I2680" s="1219" t="inlineStr">
        <is>
          <t>Projected</t>
        </is>
      </c>
      <c r="J2680" s="1218" t="inlineStr">
        <is>
          <t>Actual</t>
        </is>
      </c>
      <c r="K2680" s="1217" t="inlineStr">
        <is>
          <t>LAST YEAR</t>
        </is>
      </c>
      <c r="L2680" s="1219" t="inlineStr">
        <is>
          <t>Projected</t>
        </is>
      </c>
      <c r="M2680" s="1218" t="inlineStr">
        <is>
          <t>Actual</t>
        </is>
      </c>
      <c r="N2680" s="1217" t="inlineStr">
        <is>
          <t>LAST YEAR</t>
        </is>
      </c>
      <c r="O2680" s="1219" t="inlineStr">
        <is>
          <t>Projected</t>
        </is>
      </c>
      <c r="P2680" s="1218" t="inlineStr">
        <is>
          <t>Actual</t>
        </is>
      </c>
    </row>
    <row r="2681" ht="15.75" customHeight="1" s="2">
      <c r="A2681" s="459" t="inlineStr">
        <is>
          <t>Total Receipts</t>
        </is>
      </c>
      <c r="B2681" s="1672" t="n">
        <v>156290</v>
      </c>
      <c r="C2681" s="1672" t="n">
        <v>160023</v>
      </c>
      <c r="D2681" s="1622" t="n">
        <v>142440.39</v>
      </c>
      <c r="E2681" s="1672" t="n">
        <v>169242</v>
      </c>
      <c r="F2681" s="1672" t="n">
        <v>175980</v>
      </c>
      <c r="G2681" s="1645" t="n">
        <v>152995.03</v>
      </c>
      <c r="H2681" s="1672" t="n">
        <v>182010</v>
      </c>
      <c r="I2681" s="1688" t="n">
        <v>218913</v>
      </c>
      <c r="J2681" s="1645" t="n">
        <v>226075.73</v>
      </c>
      <c r="K2681" s="1672" t="n">
        <v>229850</v>
      </c>
      <c r="L2681" s="1672" t="n">
        <v>153113</v>
      </c>
      <c r="M2681" s="1645" t="n">
        <v>154801.05</v>
      </c>
      <c r="N2681" s="1672" t="n">
        <v>177217</v>
      </c>
      <c r="O2681" s="1688" t="n">
        <v>120363</v>
      </c>
      <c r="P2681" s="1622" t="n">
        <v>118859.98</v>
      </c>
    </row>
    <row r="2682" ht="15.75" customHeight="1" s="2">
      <c r="A2682" s="462" t="inlineStr">
        <is>
          <t>Nett Sales</t>
        </is>
      </c>
      <c r="B2682" s="1677" t="n">
        <v>142081</v>
      </c>
      <c r="C2682" s="1677" t="n">
        <v>145475</v>
      </c>
      <c r="D2682" s="1625" t="n">
        <v>129491.26</v>
      </c>
      <c r="E2682" s="1677" t="n">
        <v>153856</v>
      </c>
      <c r="F2682" s="1677" t="n">
        <v>159981</v>
      </c>
      <c r="G2682" s="1637" t="n">
        <v>139086.39</v>
      </c>
      <c r="H2682" s="1677" t="n">
        <v>165464</v>
      </c>
      <c r="I2682" s="1677" t="n">
        <v>199011</v>
      </c>
      <c r="J2682" s="1625" t="n">
        <v>205523.39</v>
      </c>
      <c r="K2682" s="1677" t="n">
        <v>208950</v>
      </c>
      <c r="L2682" s="1677" t="n">
        <v>139193</v>
      </c>
      <c r="M2682" s="1625" t="n">
        <v>140728.23</v>
      </c>
      <c r="N2682" s="1677" t="n">
        <v>161106</v>
      </c>
      <c r="O2682" s="1677" t="n">
        <v>109420.5</v>
      </c>
      <c r="P2682" s="1625" t="n">
        <v>108054.53</v>
      </c>
    </row>
    <row r="2683" ht="15.75" customHeight="1" s="2">
      <c r="A2683" s="462" t="inlineStr">
        <is>
          <t>Customers</t>
        </is>
      </c>
      <c r="B2683" s="1270" t="n">
        <v>6630</v>
      </c>
      <c r="C2683" s="1270" t="n">
        <v>6425</v>
      </c>
      <c r="D2683" s="466" t="n">
        <v>6055</v>
      </c>
      <c r="E2683" s="1270" t="n">
        <v>6811</v>
      </c>
      <c r="F2683" s="1270" t="n">
        <v>7160</v>
      </c>
      <c r="G2683" s="466" t="n">
        <v>6403</v>
      </c>
      <c r="H2683" s="1270" t="n">
        <v>7502</v>
      </c>
      <c r="I2683" s="1270" t="n">
        <v>8595</v>
      </c>
      <c r="J2683" s="466" t="n">
        <v>8776</v>
      </c>
      <c r="K2683" s="1270" t="n">
        <v>9267</v>
      </c>
      <c r="L2683" s="1270" t="n">
        <v>6155</v>
      </c>
      <c r="M2683" s="466" t="n">
        <v>6643</v>
      </c>
      <c r="N2683" s="1270" t="n">
        <v>7126</v>
      </c>
      <c r="O2683" s="1270" t="n">
        <v>4870</v>
      </c>
      <c r="P2683" s="1655" t="n">
        <v>5110</v>
      </c>
    </row>
    <row r="2684" ht="15.75" customHeight="1" s="2">
      <c r="A2684" s="462" t="inlineStr">
        <is>
          <t>Average Customer Spend</t>
        </is>
      </c>
      <c r="B2684" s="1682" t="n">
        <v>23.57</v>
      </c>
      <c r="C2684" s="1682" t="n">
        <v>24.45</v>
      </c>
      <c r="D2684" s="1628" t="n">
        <v>23.52</v>
      </c>
      <c r="E2684" s="1682" t="n">
        <v>24.84</v>
      </c>
      <c r="F2684" s="1682" t="n">
        <v>24.57</v>
      </c>
      <c r="G2684" s="1649" t="n">
        <v>23.89</v>
      </c>
      <c r="H2684" s="1682" t="n">
        <v>24.26</v>
      </c>
      <c r="I2684" s="1689" t="n">
        <v>25.46</v>
      </c>
      <c r="J2684" s="1649" t="n">
        <v>25.76</v>
      </c>
      <c r="K2684" s="1682" t="n">
        <v>24.8</v>
      </c>
      <c r="L2684" s="1682" t="n">
        <v>24.9</v>
      </c>
      <c r="M2684" s="1649" t="n">
        <v>23.3</v>
      </c>
      <c r="N2684" s="1682" t="n">
        <v>22.6</v>
      </c>
      <c r="O2684" s="1689" t="n">
        <v>24.72</v>
      </c>
      <c r="P2684" s="1628" t="n">
        <v>23.26</v>
      </c>
    </row>
    <row r="2685" ht="15.75" customHeight="1" s="2">
      <c r="A2685" s="462" t="inlineStr">
        <is>
          <t>Wage % to Total Receipts</t>
        </is>
      </c>
      <c r="B2685" s="1272" t="n">
        <v>0.2975</v>
      </c>
      <c r="C2685" s="1272" t="n">
        <v>0.2874</v>
      </c>
      <c r="D2685" s="470" t="n">
        <v>0.3241</v>
      </c>
      <c r="E2685" s="1272" t="n">
        <v>0.2743</v>
      </c>
      <c r="F2685" s="1272" t="n">
        <v>0.2834</v>
      </c>
      <c r="G2685" s="863" t="n">
        <v>0.3191</v>
      </c>
      <c r="H2685" s="1272" t="n">
        <v>0.2787</v>
      </c>
      <c r="I2685" s="1301" t="n">
        <v>0.2751</v>
      </c>
      <c r="J2685" s="863" t="n">
        <v>0.3012</v>
      </c>
      <c r="K2685" s="1272" t="n">
        <v>0.289</v>
      </c>
      <c r="L2685" s="1272" t="n">
        <v>0.317</v>
      </c>
      <c r="M2685" s="863" t="n">
        <v>0.3036</v>
      </c>
      <c r="N2685" s="1272" t="n">
        <v>0.2707</v>
      </c>
      <c r="O2685" s="1301" t="n">
        <v>0.2997</v>
      </c>
      <c r="P2685" s="470" t="n">
        <v>0.3467</v>
      </c>
    </row>
    <row r="2686" ht="15.75" customHeight="1" s="2">
      <c r="A2686" s="462" t="inlineStr">
        <is>
          <t>Wage % to Nett Sales</t>
        </is>
      </c>
      <c r="B2686" s="1272" t="n">
        <v>0.3272</v>
      </c>
      <c r="C2686" s="1272" t="n">
        <v>0.3162</v>
      </c>
      <c r="D2686" s="470" t="n">
        <v>0.3565</v>
      </c>
      <c r="E2686" s="1272" t="n">
        <v>0.3017</v>
      </c>
      <c r="F2686" s="1272" t="n">
        <v>0.3185</v>
      </c>
      <c r="G2686" s="863" t="n">
        <v>0.351</v>
      </c>
      <c r="H2686" s="1272" t="n">
        <v>0.3066</v>
      </c>
      <c r="I2686" s="1301" t="n">
        <v>0.3178</v>
      </c>
      <c r="J2686" s="863" t="n">
        <v>0.3313</v>
      </c>
      <c r="K2686" s="1272" t="n">
        <v>0.3179</v>
      </c>
      <c r="L2686" s="1272" t="n">
        <v>0.349</v>
      </c>
      <c r="M2686" s="863" t="n">
        <v>0.334</v>
      </c>
      <c r="N2686" s="1272" t="n">
        <v>0.2978</v>
      </c>
      <c r="O2686" s="1301" t="n">
        <v>0.3297</v>
      </c>
      <c r="P2686" s="470" t="n">
        <v>0.3813</v>
      </c>
    </row>
    <row r="2687" ht="15.75" customHeight="1" s="2">
      <c r="A2687" s="462" t="inlineStr">
        <is>
          <t>Productivity</t>
        </is>
      </c>
      <c r="B2687" s="1273" t="n">
        <v>5.22</v>
      </c>
      <c r="C2687" s="1273" t="n">
        <v>5.7</v>
      </c>
      <c r="D2687" s="472" t="n">
        <v>5.27</v>
      </c>
      <c r="E2687" s="1273" t="n">
        <v>5.43</v>
      </c>
      <c r="F2687" s="1273" t="n">
        <v>5.6</v>
      </c>
      <c r="G2687" s="472" t="n">
        <v>5.19</v>
      </c>
      <c r="H2687" s="1273" t="n">
        <v>5.52</v>
      </c>
      <c r="I2687" s="1273" t="n">
        <v>5.7</v>
      </c>
      <c r="J2687" s="472" t="n">
        <v>5.83</v>
      </c>
      <c r="K2687" s="1273" t="n">
        <v>5.93</v>
      </c>
      <c r="L2687" s="1273" t="n">
        <v>5.1</v>
      </c>
      <c r="M2687" s="472" t="n">
        <v>5.62</v>
      </c>
      <c r="N2687" s="1273" t="n">
        <v>5.44</v>
      </c>
      <c r="O2687" s="1273" t="n">
        <v>5.4</v>
      </c>
      <c r="P2687" s="472" t="n">
        <v>5.16</v>
      </c>
    </row>
    <row r="2688" ht="15.75" customHeight="1" s="2">
      <c r="A2688" s="462" t="inlineStr">
        <is>
          <t>Average Hourly Rate</t>
        </is>
      </c>
      <c r="B2688" s="1273" t="n">
        <v>36.58</v>
      </c>
      <c r="C2688" s="1273" t="n">
        <v>40</v>
      </c>
      <c r="D2688" s="1628" t="n">
        <v>40.19</v>
      </c>
      <c r="E2688" s="1273" t="n">
        <v>37.37</v>
      </c>
      <c r="F2688" s="1273" t="n">
        <v>40</v>
      </c>
      <c r="G2688" s="1649" t="n">
        <v>39.58</v>
      </c>
      <c r="H2688" s="1273" t="n">
        <v>37.32</v>
      </c>
      <c r="I2688" s="1273" t="n">
        <v>40</v>
      </c>
      <c r="J2688" s="1649" t="n">
        <v>45.22</v>
      </c>
      <c r="K2688" s="1273" t="n">
        <v>42.47</v>
      </c>
      <c r="L2688" s="1273" t="n">
        <v>40</v>
      </c>
      <c r="M2688" s="1649" t="n">
        <v>39.75</v>
      </c>
      <c r="N2688" s="1273" t="n">
        <v>36.65</v>
      </c>
      <c r="O2688" s="1273" t="n">
        <v>40</v>
      </c>
      <c r="P2688" s="1628" t="n">
        <v>41.57</v>
      </c>
    </row>
    <row r="2689" ht="15.75" customHeight="1" s="2">
      <c r="A2689" s="462" t="inlineStr">
        <is>
          <t>Total hours for productivity</t>
        </is>
      </c>
      <c r="B2689" s="1273" t="n">
        <v>1271</v>
      </c>
      <c r="C2689" s="1273" t="n">
        <v>1150</v>
      </c>
      <c r="D2689" s="466" t="n">
        <v>1148.5</v>
      </c>
      <c r="E2689" s="1273" t="n">
        <v>1242</v>
      </c>
      <c r="F2689" s="1273" t="n">
        <v>1274</v>
      </c>
      <c r="G2689" s="466" t="n">
        <v>1233.5</v>
      </c>
      <c r="H2689" s="1273" t="n">
        <v>1359</v>
      </c>
      <c r="I2689" s="1273" t="n">
        <v>1506</v>
      </c>
      <c r="J2689" s="472" t="n">
        <v>1505.75</v>
      </c>
      <c r="K2689" s="1273" t="n">
        <v>1564</v>
      </c>
      <c r="L2689" s="1273" t="n">
        <v>1216</v>
      </c>
      <c r="M2689" s="466" t="n">
        <v>1182.25</v>
      </c>
      <c r="N2689" s="1273" t="n">
        <v>1308.5</v>
      </c>
      <c r="O2689" s="1273" t="n">
        <v>998.5</v>
      </c>
      <c r="P2689" s="466" t="n">
        <v>991.25</v>
      </c>
    </row>
    <row r="2690" ht="15.75" customHeight="1" s="2">
      <c r="A2690" s="462" t="inlineStr">
        <is>
          <t>Training Hours used</t>
        </is>
      </c>
      <c r="B2690" s="1274" t="n">
        <v>15</v>
      </c>
      <c r="C2690" s="1274" t="n"/>
      <c r="D2690" s="466" t="n"/>
      <c r="E2690" s="1274" t="n"/>
      <c r="F2690" s="1274" t="n"/>
      <c r="G2690" s="466" t="n">
        <v>0</v>
      </c>
      <c r="H2690" s="1274" t="n"/>
      <c r="I2690" s="1274" t="n">
        <v>0</v>
      </c>
      <c r="J2690" s="466" t="n"/>
      <c r="K2690" s="1274" t="n"/>
      <c r="L2690" s="1274" t="n"/>
      <c r="M2690" s="466" t="n">
        <v>0</v>
      </c>
      <c r="N2690" s="1274" t="n"/>
      <c r="O2690" s="1274" t="n"/>
      <c r="P2690" s="466" t="n"/>
    </row>
    <row r="2691" ht="15.75" customHeight="1" s="2" thickBot="1">
      <c r="A2691" s="474" t="inlineStr">
        <is>
          <t>Number of hours used to cover sick leave</t>
        </is>
      </c>
      <c r="B2691" s="1282" t="n"/>
      <c r="C2691" s="1282" t="n"/>
      <c r="D2691" s="476" t="n"/>
      <c r="E2691" s="1282" t="n"/>
      <c r="F2691" s="1282" t="n"/>
      <c r="G2691" s="476" t="n">
        <v>16</v>
      </c>
      <c r="H2691" s="1282" t="n"/>
      <c r="I2691" s="1282" t="n"/>
      <c r="J2691" s="476" t="n"/>
      <c r="K2691" s="1282" t="n"/>
      <c r="L2691" s="1282" t="n"/>
      <c r="M2691" s="476" t="n"/>
      <c r="N2691" s="1282" t="n"/>
      <c r="O2691" s="1282" t="n"/>
      <c r="P2691" s="476" t="n"/>
    </row>
    <row r="2692" ht="15.75" customHeight="1" s="2" thickBot="1">
      <c r="A2692" s="477" t="inlineStr">
        <is>
          <t xml:space="preserve">Minimum Hours </t>
        </is>
      </c>
      <c r="B2692" s="1171" t="n"/>
      <c r="C2692" s="816" t="inlineStr">
        <is>
          <t>Projected</t>
        </is>
      </c>
      <c r="D2692" s="935" t="inlineStr">
        <is>
          <t>Min Hrs</t>
        </is>
      </c>
      <c r="E2692" s="1171" t="n"/>
      <c r="F2692" s="816" t="inlineStr">
        <is>
          <t>Projected</t>
        </is>
      </c>
      <c r="G2692" s="935" t="inlineStr">
        <is>
          <t>Min Hrs</t>
        </is>
      </c>
      <c r="H2692" s="935" t="n"/>
      <c r="I2692" s="816" t="inlineStr">
        <is>
          <t>Projected</t>
        </is>
      </c>
      <c r="J2692" s="935" t="inlineStr">
        <is>
          <t>Min Hrs</t>
        </is>
      </c>
      <c r="K2692" s="935" t="n"/>
      <c r="L2692" s="816" t="inlineStr">
        <is>
          <t>Projected</t>
        </is>
      </c>
      <c r="M2692" s="935" t="inlineStr">
        <is>
          <t>Min Hrs</t>
        </is>
      </c>
      <c r="N2692" s="1171" t="n"/>
      <c r="O2692" s="816" t="inlineStr">
        <is>
          <t>Projected</t>
        </is>
      </c>
      <c r="P2692" s="935" t="inlineStr">
        <is>
          <t>Min Hrs</t>
        </is>
      </c>
    </row>
    <row r="2693" ht="15.75" customHeight="1" s="2">
      <c r="A2693" s="479" t="inlineStr">
        <is>
          <t>Floor</t>
        </is>
      </c>
      <c r="B2693" s="1172" t="n"/>
      <c r="C2693" s="810" t="n">
        <v>618</v>
      </c>
      <c r="D2693" s="811" t="n">
        <v>613</v>
      </c>
      <c r="E2693" s="1172" t="n"/>
      <c r="F2693" s="810" t="n">
        <v>706</v>
      </c>
      <c r="G2693" s="811" t="n">
        <v>588</v>
      </c>
      <c r="H2693" s="810" t="n"/>
      <c r="I2693" s="810" t="n">
        <v>806.5</v>
      </c>
      <c r="J2693" s="811" t="n">
        <v>807</v>
      </c>
      <c r="K2693" s="810" t="n"/>
      <c r="L2693" s="810" t="n">
        <v>652.5</v>
      </c>
      <c r="M2693" s="811" t="n">
        <v>630</v>
      </c>
      <c r="N2693" s="1172" t="n"/>
      <c r="O2693" s="810" t="n">
        <v>524</v>
      </c>
      <c r="P2693" s="811" t="n">
        <v>563</v>
      </c>
    </row>
    <row r="2694" ht="15.75" customHeight="1" s="2" thickBot="1">
      <c r="A2694" s="481" t="inlineStr">
        <is>
          <t>Kitchen</t>
        </is>
      </c>
      <c r="B2694" s="1173" t="n"/>
      <c r="C2694" s="813" t="n">
        <v>532</v>
      </c>
      <c r="D2694" s="814" t="n">
        <v>485</v>
      </c>
      <c r="E2694" s="1173" t="n"/>
      <c r="F2694" s="840" t="n">
        <v>568</v>
      </c>
      <c r="G2694" s="814" t="n">
        <v>485</v>
      </c>
      <c r="H2694" s="813" t="n"/>
      <c r="I2694" s="840" t="n">
        <v>700</v>
      </c>
      <c r="J2694" s="814" t="n">
        <v>659.5</v>
      </c>
      <c r="K2694" s="813" t="n"/>
      <c r="L2694" s="840" t="n">
        <v>563.5</v>
      </c>
      <c r="M2694" s="814" t="n">
        <v>572.5</v>
      </c>
      <c r="N2694" s="1173" t="n"/>
      <c r="O2694" s="813" t="n">
        <v>474.5</v>
      </c>
      <c r="P2694" s="814" t="n">
        <v>572.5</v>
      </c>
    </row>
    <row r="2695" ht="15.75" customHeight="1" s="2" thickBot="1">
      <c r="A2695" s="834" t="n"/>
      <c r="B2695" s="836" t="n"/>
      <c r="C2695" s="1220" t="n"/>
      <c r="D2695" s="1220" t="n"/>
      <c r="E2695" s="839" t="n"/>
      <c r="F2695" s="1220" t="n"/>
      <c r="G2695" s="1220" t="n"/>
      <c r="H2695" s="839" t="n"/>
      <c r="I2695" s="1220" t="n"/>
      <c r="J2695" s="1220" t="n"/>
      <c r="K2695" s="839" t="n"/>
      <c r="L2695" s="1220" t="n"/>
      <c r="M2695" s="1220" t="n"/>
      <c r="N2695" s="839" t="n"/>
      <c r="O2695" s="835" t="n"/>
      <c r="P2695" s="835" t="n"/>
    </row>
    <row r="2696" ht="15.75" customHeight="1" s="2">
      <c r="A2696" s="506" t="inlineStr">
        <is>
          <t>Training explanation</t>
        </is>
      </c>
      <c r="B2696" s="837" t="n"/>
      <c r="C2696" s="1220" t="n"/>
      <c r="D2696" s="1220" t="n"/>
      <c r="E2696" s="837" t="n"/>
      <c r="F2696" s="1220" t="n"/>
      <c r="G2696" s="1220" t="n"/>
      <c r="H2696" s="837" t="n"/>
      <c r="I2696" s="1220" t="n"/>
      <c r="J2696" s="1220" t="n"/>
      <c r="K2696" s="837" t="n"/>
      <c r="L2696" s="1220" t="n"/>
      <c r="M2696" s="1220" t="n"/>
      <c r="N2696" s="837" t="n"/>
      <c r="O2696" s="835" t="n"/>
      <c r="P2696" s="835" t="n"/>
    </row>
    <row r="2697" ht="15.75" customHeight="1" s="2" thickBot="1">
      <c r="A2697" s="506" t="inlineStr">
        <is>
          <t>Who is being Trained</t>
        </is>
      </c>
      <c r="B2697" s="838" t="n"/>
      <c r="C2697" s="1221" t="n"/>
      <c r="D2697" s="1221" t="n"/>
      <c r="E2697" s="838" t="n"/>
      <c r="F2697" s="1221" t="n"/>
      <c r="G2697" s="1221" t="n"/>
      <c r="H2697" s="838" t="n"/>
      <c r="I2697" s="1221" t="n"/>
      <c r="J2697" s="1221" t="n"/>
      <c r="K2697" s="838" t="n"/>
      <c r="L2697" s="1221" t="n"/>
      <c r="M2697" s="1221" t="n"/>
      <c r="N2697" s="838" t="n"/>
    </row>
    <row r="2698" ht="15.75" customHeight="1" s="2" thickBot="1">
      <c r="A2698" s="506" t="n"/>
      <c r="C2698" s="523" t="inlineStr">
        <is>
          <t>floor</t>
        </is>
      </c>
      <c r="D2698" s="524" t="inlineStr">
        <is>
          <t>kitchen</t>
        </is>
      </c>
      <c r="E2698" s="509" t="n"/>
      <c r="F2698" s="507" t="inlineStr">
        <is>
          <t>floor</t>
        </is>
      </c>
      <c r="G2698" s="508" t="inlineStr">
        <is>
          <t>kitchen</t>
        </is>
      </c>
      <c r="H2698" s="510" t="n"/>
      <c r="I2698" s="535" t="inlineStr">
        <is>
          <t>floor</t>
        </is>
      </c>
      <c r="J2698" s="511" t="inlineStr">
        <is>
          <t>kitchen</t>
        </is>
      </c>
      <c r="K2698" s="512" t="n"/>
      <c r="L2698" s="535" t="inlineStr">
        <is>
          <t>floor</t>
        </is>
      </c>
      <c r="M2698" s="513" t="inlineStr">
        <is>
          <t>kitchen</t>
        </is>
      </c>
      <c r="N2698" s="512" t="n"/>
      <c r="O2698" s="535" t="inlineStr">
        <is>
          <t>floor</t>
        </is>
      </c>
      <c r="P2698" s="513" t="inlineStr">
        <is>
          <t>kitchen</t>
        </is>
      </c>
    </row>
    <row r="2699" ht="15.75" customHeight="1" s="2">
      <c r="A2699" s="506" t="n"/>
      <c r="C2699" s="525" t="n"/>
      <c r="D2699" s="527" t="n"/>
      <c r="E2699" s="514" t="n"/>
      <c r="F2699" s="525" t="n"/>
      <c r="G2699" s="527" t="n"/>
      <c r="H2699" s="515" t="n"/>
      <c r="I2699" s="531" t="n"/>
      <c r="J2699" s="824" t="n"/>
      <c r="K2699" s="515" t="n"/>
      <c r="L2699" s="536" t="n"/>
      <c r="M2699" s="532" t="n"/>
      <c r="N2699" s="515" t="n"/>
      <c r="O2699" s="536" t="n"/>
      <c r="P2699" s="532" t="n"/>
    </row>
    <row r="2700" ht="15.75" customHeight="1" s="2">
      <c r="C2700" s="891" t="n"/>
      <c r="D2700" s="526" t="n"/>
      <c r="E2700" s="514" t="n"/>
      <c r="F2700" s="891" t="n"/>
      <c r="G2700" s="526" t="n"/>
      <c r="H2700" s="516" t="n"/>
      <c r="I2700" s="1656" t="n"/>
      <c r="J2700" s="530" t="n"/>
      <c r="K2700" s="516" t="n"/>
      <c r="L2700" s="542" t="n"/>
      <c r="M2700" s="530" t="n"/>
      <c r="N2700" s="516" t="n"/>
      <c r="O2700" s="542" t="n"/>
      <c r="P2700" s="530" t="n"/>
    </row>
    <row r="2701" ht="15.75" customHeight="1" s="2">
      <c r="C2701" s="550" t="n"/>
      <c r="D2701" s="527" t="n"/>
      <c r="E2701" s="514" t="n"/>
      <c r="F2701" s="531" t="n"/>
      <c r="G2701" s="530" t="n"/>
      <c r="H2701" s="516" t="n"/>
      <c r="I2701" s="537" t="n"/>
      <c r="J2701" s="530" t="n"/>
      <c r="K2701" s="516" t="n"/>
      <c r="L2701" s="1657" t="n"/>
      <c r="M2701" s="539" t="n"/>
      <c r="N2701" s="516" t="n"/>
      <c r="O2701" s="542" t="n"/>
      <c r="P2701" s="539" t="n"/>
    </row>
    <row r="2702" ht="15.75" customHeight="1" s="2">
      <c r="C2702" s="561" t="n"/>
      <c r="D2702" s="561" t="n"/>
      <c r="E2702" s="519" t="n"/>
      <c r="F2702" s="517" t="n"/>
      <c r="G2702" s="1659" t="n"/>
      <c r="H2702" s="516" t="n"/>
      <c r="I2702" s="537" t="n"/>
      <c r="J2702" s="530" t="n"/>
      <c r="K2702" s="516" t="n"/>
      <c r="L2702" s="537" t="n"/>
      <c r="M2702" s="539" t="n"/>
      <c r="N2702" s="516" t="n"/>
      <c r="O2702" s="537" t="n"/>
      <c r="P2702" s="539" t="n"/>
    </row>
    <row r="2703" ht="15.75" customHeight="1" s="2">
      <c r="C2703" s="551" t="n"/>
      <c r="D2703" s="528" t="n"/>
      <c r="E2703" s="519" t="n"/>
      <c r="F2703" s="517" t="n"/>
      <c r="G2703" s="518" t="n"/>
      <c r="H2703" s="516" t="n"/>
      <c r="I2703" s="537" t="n"/>
      <c r="J2703" s="533" t="n"/>
      <c r="K2703" s="516" t="n"/>
      <c r="L2703" s="537" t="n"/>
      <c r="M2703" s="540" t="n"/>
      <c r="N2703" s="516" t="n"/>
      <c r="O2703" s="537" t="n"/>
      <c r="P2703" s="540" t="n"/>
    </row>
    <row r="2707" ht="15.75" customHeight="1" s="2" thickBot="1"/>
    <row r="2708" ht="15.75" customHeight="1" s="2" thickBot="1">
      <c r="B2708" s="1652" t="inlineStr">
        <is>
          <t>01.07.2024</t>
        </is>
      </c>
      <c r="C2708" s="1641" t="n"/>
      <c r="D2708" s="1502" t="n"/>
      <c r="E2708" s="1640" t="inlineStr">
        <is>
          <t>08.07.2024</t>
        </is>
      </c>
      <c r="F2708" s="1641" t="n"/>
      <c r="G2708" s="1502" t="n"/>
      <c r="H2708" s="1640" t="inlineStr">
        <is>
          <t>15.07.2024</t>
        </is>
      </c>
      <c r="I2708" s="1641" t="n"/>
      <c r="J2708" s="1502" t="n"/>
      <c r="K2708" s="1640" t="inlineStr">
        <is>
          <t>22.07.2024</t>
        </is>
      </c>
      <c r="L2708" s="1641" t="n"/>
      <c r="M2708" s="1502" t="n"/>
      <c r="N2708" s="1660" t="inlineStr">
        <is>
          <t>29.07.2024</t>
        </is>
      </c>
      <c r="O2708" s="1641" t="n"/>
      <c r="P2708" s="1502" t="n"/>
    </row>
    <row r="2709" ht="15.75" customHeight="1" s="2" thickBot="1">
      <c r="A2709" s="455" t="n"/>
      <c r="B2709" s="1217" t="inlineStr">
        <is>
          <t>LAST YEAR</t>
        </is>
      </c>
      <c r="C2709" s="1219" t="inlineStr">
        <is>
          <t>Projected</t>
        </is>
      </c>
      <c r="D2709" s="1218" t="inlineStr">
        <is>
          <t>Actual</t>
        </is>
      </c>
      <c r="E2709" s="1217" t="inlineStr">
        <is>
          <t>LAST YEAR</t>
        </is>
      </c>
      <c r="F2709" s="1219" t="inlineStr">
        <is>
          <t>Projected</t>
        </is>
      </c>
      <c r="G2709" s="1218" t="inlineStr">
        <is>
          <t>Actual</t>
        </is>
      </c>
      <c r="H2709" s="1217" t="inlineStr">
        <is>
          <t>LAST YEAR</t>
        </is>
      </c>
      <c r="I2709" s="1219" t="inlineStr">
        <is>
          <t>Projected</t>
        </is>
      </c>
      <c r="J2709" s="1218" t="inlineStr">
        <is>
          <t>Actual</t>
        </is>
      </c>
      <c r="K2709" s="1217" t="inlineStr">
        <is>
          <t>LAST YEAR</t>
        </is>
      </c>
      <c r="L2709" s="1219" t="inlineStr">
        <is>
          <t>Projected</t>
        </is>
      </c>
      <c r="M2709" s="1218" t="inlineStr">
        <is>
          <t>Actual</t>
        </is>
      </c>
      <c r="N2709" s="1217" t="inlineStr">
        <is>
          <t>LAST YEAR</t>
        </is>
      </c>
      <c r="O2709" s="1219" t="inlineStr">
        <is>
          <t>Projected</t>
        </is>
      </c>
      <c r="P2709" s="1218" t="inlineStr">
        <is>
          <t>Actual</t>
        </is>
      </c>
    </row>
    <row r="2710" ht="15.75" customHeight="1" s="2">
      <c r="A2710" s="459" t="inlineStr">
        <is>
          <t>Total Receipts</t>
        </is>
      </c>
      <c r="B2710" s="1672" t="n">
        <v>159022.77</v>
      </c>
      <c r="C2710" s="1672" t="n">
        <v>130380</v>
      </c>
      <c r="D2710" s="1622" t="n">
        <v>147539.46</v>
      </c>
      <c r="E2710" s="1672" t="n">
        <v>188435</v>
      </c>
      <c r="F2710" s="1672" t="n">
        <v>154750</v>
      </c>
      <c r="G2710" s="1645" t="n">
        <v>165833.63</v>
      </c>
      <c r="H2710" s="1672" t="n">
        <v>179011.76</v>
      </c>
      <c r="I2710" s="1688" t="n">
        <v>173770</v>
      </c>
      <c r="J2710" s="1645" t="n">
        <v>179839.74</v>
      </c>
      <c r="K2710" s="1672" t="n">
        <v>134232</v>
      </c>
      <c r="L2710" s="1672" t="n">
        <v>163486</v>
      </c>
      <c r="M2710" s="1645" t="n">
        <v>162194.93</v>
      </c>
      <c r="N2710" s="1672" t="n">
        <v>136330</v>
      </c>
      <c r="O2710" s="1688" t="n">
        <v>130761</v>
      </c>
      <c r="P2710" s="1622" t="n">
        <v>132258.05</v>
      </c>
    </row>
    <row r="2711" ht="15.75" customHeight="1" s="2">
      <c r="A2711" s="462" t="inlineStr">
        <is>
          <t>Nett Sales</t>
        </is>
      </c>
      <c r="B2711" s="1677" t="n">
        <v>144566</v>
      </c>
      <c r="C2711" s="1677" t="n">
        <v>118527</v>
      </c>
      <c r="D2711" s="1625" t="n">
        <v>134126.78</v>
      </c>
      <c r="E2711" s="1677" t="n">
        <v>171304</v>
      </c>
      <c r="F2711" s="1677" t="n">
        <v>140681</v>
      </c>
      <c r="G2711" s="1637" t="n">
        <v>150757.85</v>
      </c>
      <c r="H2711" s="1677" t="n">
        <v>162767</v>
      </c>
      <c r="I2711" s="1677" t="n">
        <v>157972</v>
      </c>
      <c r="J2711" s="1625" t="n">
        <v>163490.67</v>
      </c>
      <c r="K2711" s="1677" t="n">
        <v>122029</v>
      </c>
      <c r="L2711" s="1677" t="n">
        <v>148623</v>
      </c>
      <c r="M2711" s="1625" t="n">
        <v>147449.94</v>
      </c>
      <c r="N2711" s="1677" t="n">
        <v>123937</v>
      </c>
      <c r="O2711" s="1677" t="n">
        <v>118873</v>
      </c>
      <c r="P2711" s="1625" t="n">
        <v>120234.59</v>
      </c>
    </row>
    <row r="2712" ht="15.75" customHeight="1" s="2">
      <c r="A2712" s="462" t="inlineStr">
        <is>
          <t>Customers</t>
        </is>
      </c>
      <c r="B2712" s="1270" t="n">
        <v>6677</v>
      </c>
      <c r="C2712" s="1270" t="n">
        <v>5335</v>
      </c>
      <c r="D2712" s="466" t="n">
        <v>6162</v>
      </c>
      <c r="E2712" s="1270" t="n">
        <v>7900</v>
      </c>
      <c r="F2712" s="1270" t="n">
        <v>6325</v>
      </c>
      <c r="G2712" s="466" t="n">
        <v>7048</v>
      </c>
      <c r="H2712" s="1270" t="n">
        <v>7298</v>
      </c>
      <c r="I2712" s="1270" t="n">
        <v>7205</v>
      </c>
      <c r="J2712" s="466" t="n">
        <v>7703</v>
      </c>
      <c r="K2712" s="1270" t="n">
        <v>5425</v>
      </c>
      <c r="L2712" s="1270" t="n">
        <v>6790</v>
      </c>
      <c r="M2712" s="466" t="n">
        <v>6626</v>
      </c>
      <c r="N2712" s="1270" t="n">
        <v>5687</v>
      </c>
      <c r="O2712" s="1270" t="n">
        <v>5420</v>
      </c>
      <c r="P2712" s="1655" t="n">
        <v>5582</v>
      </c>
    </row>
    <row r="2713" ht="15.75" customHeight="1" s="2">
      <c r="A2713" s="462" t="inlineStr">
        <is>
          <t>Average Customer Spend</t>
        </is>
      </c>
      <c r="B2713" s="1682" t="n">
        <v>23.81</v>
      </c>
      <c r="C2713" s="1682" t="n">
        <v>24.44</v>
      </c>
      <c r="D2713" s="1628" t="n">
        <v>23.94</v>
      </c>
      <c r="E2713" s="1682" t="n">
        <v>23.85</v>
      </c>
      <c r="F2713" s="1682" t="n">
        <v>24.47</v>
      </c>
      <c r="G2713" s="1649" t="n">
        <v>23.52</v>
      </c>
      <c r="H2713" s="1682" t="n">
        <v>24.52</v>
      </c>
      <c r="I2713" s="1689" t="n">
        <v>24.12</v>
      </c>
      <c r="J2713" s="1649" t="n">
        <v>23.34</v>
      </c>
      <c r="K2713" s="1682" t="n">
        <v>24.74</v>
      </c>
      <c r="L2713" s="1682" t="n">
        <v>24.08</v>
      </c>
      <c r="M2713" s="1649" t="n">
        <v>24.47</v>
      </c>
      <c r="N2713" s="1682" t="n">
        <v>23.97</v>
      </c>
      <c r="O2713" s="1689" t="n">
        <v>24.13</v>
      </c>
      <c r="P2713" s="1628" t="n">
        <v>23.69</v>
      </c>
    </row>
    <row r="2714" ht="15.75" customHeight="1" s="2">
      <c r="A2714" s="462" t="inlineStr">
        <is>
          <t>Wage % to Total Receipts</t>
        </is>
      </c>
      <c r="B2714" s="1272" t="n">
        <v>0.2823</v>
      </c>
      <c r="C2714" s="1272" t="n">
        <v>0.3031</v>
      </c>
      <c r="D2714" s="470" t="n">
        <v>0.2939</v>
      </c>
      <c r="E2714" s="1272" t="n">
        <v>0.287</v>
      </c>
      <c r="F2714" s="1272" t="n">
        <v>0.3028</v>
      </c>
      <c r="G2714" s="863" t="n">
        <v>0.2907</v>
      </c>
      <c r="H2714" s="1272" t="n">
        <v>0.2965</v>
      </c>
      <c r="I2714" s="1301" t="n">
        <v>0.3071</v>
      </c>
      <c r="J2714" s="863" t="n">
        <v>0.2862</v>
      </c>
      <c r="K2714" s="1272" t="n">
        <v>0.3448</v>
      </c>
      <c r="L2714" s="1272" t="n">
        <v>0.3076</v>
      </c>
      <c r="M2714" s="863" t="n">
        <v>0.2998</v>
      </c>
      <c r="N2714" s="1272" t="n">
        <v>0.3299</v>
      </c>
      <c r="O2714" s="1301" t="n">
        <v>0.307</v>
      </c>
      <c r="P2714" s="470" t="n">
        <v>0.3218</v>
      </c>
    </row>
    <row r="2715" ht="15.75" customHeight="1" s="2">
      <c r="A2715" s="462" t="inlineStr">
        <is>
          <t>Wage % to Nett Sales</t>
        </is>
      </c>
      <c r="B2715" s="1272" t="n">
        <v>0.3106</v>
      </c>
      <c r="C2715" s="1272" t="n">
        <v>0.3334</v>
      </c>
      <c r="D2715" s="470" t="n">
        <v>0.3233</v>
      </c>
      <c r="E2715" s="1272" t="n">
        <v>0.3157</v>
      </c>
      <c r="F2715" s="1272" t="n">
        <v>0.333</v>
      </c>
      <c r="G2715" s="863" t="n">
        <v>0.3198</v>
      </c>
      <c r="H2715" s="1272" t="n">
        <v>0.3261</v>
      </c>
      <c r="I2715" s="1301" t="n">
        <v>0.3375</v>
      </c>
      <c r="J2715" s="863" t="n">
        <v>0.3148</v>
      </c>
      <c r="K2715" s="1272" t="n">
        <v>0.3792</v>
      </c>
      <c r="L2715" s="1272" t="n">
        <v>0.3384</v>
      </c>
      <c r="M2715" s="863" t="n">
        <v>0.3298</v>
      </c>
      <c r="N2715" s="1272" t="n">
        <v>0.3629</v>
      </c>
      <c r="O2715" s="1301" t="n">
        <v>0.3377</v>
      </c>
      <c r="P2715" s="470" t="n">
        <v>0.3539</v>
      </c>
    </row>
    <row r="2716" ht="15.75" customHeight="1" s="2">
      <c r="A2716" s="462" t="inlineStr">
        <is>
          <t>Productivity</t>
        </is>
      </c>
      <c r="B2716" s="1273" t="n">
        <v>5.43</v>
      </c>
      <c r="C2716" s="1273" t="n">
        <v>5.4</v>
      </c>
      <c r="D2716" s="472" t="n">
        <v>5.84</v>
      </c>
      <c r="E2716" s="1273" t="n">
        <v>5.76</v>
      </c>
      <c r="F2716" s="1273" t="n">
        <v>5.4</v>
      </c>
      <c r="G2716" s="472" t="n">
        <v>5.9</v>
      </c>
      <c r="H2716" s="1273" t="n">
        <v>5.39</v>
      </c>
      <c r="I2716" s="1273" t="n">
        <v>5.4</v>
      </c>
      <c r="J2716" s="472" t="n">
        <v>6.08</v>
      </c>
      <c r="K2716" s="1273" t="n">
        <v>4.71</v>
      </c>
      <c r="L2716" s="1273" t="n">
        <v>5.4</v>
      </c>
      <c r="M2716" s="472" t="n">
        <v>5.39</v>
      </c>
      <c r="N2716" s="1273" t="n">
        <v>5.03</v>
      </c>
      <c r="O2716" s="1273" t="n">
        <v>5.4</v>
      </c>
      <c r="P2716" s="472" t="n">
        <v>5.36</v>
      </c>
    </row>
    <row r="2717" ht="15.75" customHeight="1" s="2">
      <c r="A2717" s="462" t="inlineStr">
        <is>
          <t>Average Hourly Rate</t>
        </is>
      </c>
      <c r="B2717" s="1273" t="n">
        <v>36.48</v>
      </c>
      <c r="C2717" s="1273" t="n">
        <v>40</v>
      </c>
      <c r="D2717" s="1628" t="n">
        <v>41.08</v>
      </c>
      <c r="E2717" s="1273" t="n">
        <v>39.44</v>
      </c>
      <c r="F2717" s="1273" t="n">
        <v>40</v>
      </c>
      <c r="G2717" s="1649" t="n">
        <v>40.37</v>
      </c>
      <c r="H2717" s="1273" t="n">
        <v>39.2</v>
      </c>
      <c r="I2717" s="1273" t="n">
        <v>40</v>
      </c>
      <c r="J2717" s="1649" t="n">
        <v>40.64</v>
      </c>
      <c r="K2717" s="1273" t="n">
        <v>40.16</v>
      </c>
      <c r="L2717" s="1273" t="n">
        <v>40</v>
      </c>
      <c r="M2717" s="1649" t="n">
        <v>39.59</v>
      </c>
      <c r="N2717" s="1273" t="n">
        <v>39.81</v>
      </c>
      <c r="O2717" s="1273" t="n">
        <v>40</v>
      </c>
      <c r="P2717" s="1628" t="n">
        <v>40.84</v>
      </c>
    </row>
    <row r="2718" ht="15.75" customHeight="1" s="2">
      <c r="A2718" s="462" t="inlineStr">
        <is>
          <t>Total hours for productivity</t>
        </is>
      </c>
      <c r="B2718" s="1273" t="n">
        <v>1230</v>
      </c>
      <c r="C2718" s="1273" t="n">
        <v>1036</v>
      </c>
      <c r="D2718" s="466" t="n">
        <v>1055.25</v>
      </c>
      <c r="E2718" s="1273" t="n">
        <v>1371.25</v>
      </c>
      <c r="F2718" s="1273" t="n">
        <v>1187</v>
      </c>
      <c r="G2718" s="466" t="n">
        <v>1194</v>
      </c>
      <c r="H2718" s="1273" t="n">
        <v>1354.5</v>
      </c>
      <c r="I2718" s="1273" t="n">
        <v>1286.5</v>
      </c>
      <c r="J2718" s="472" t="n">
        <v>1266.5</v>
      </c>
      <c r="K2718" s="1273" t="n">
        <v>1152.5</v>
      </c>
      <c r="L2718" s="1273" t="n">
        <v>1258</v>
      </c>
      <c r="M2718" s="466" t="n">
        <v>1228.25</v>
      </c>
      <c r="N2718" s="1273" t="n">
        <v>1129.75</v>
      </c>
      <c r="O2718" s="1273" t="n">
        <v>1037</v>
      </c>
      <c r="P2718" s="466" t="n">
        <v>1042</v>
      </c>
    </row>
    <row r="2719" ht="15.75" customHeight="1" s="2">
      <c r="A2719" s="462" t="inlineStr">
        <is>
          <t>Training Hours used</t>
        </is>
      </c>
      <c r="B2719" s="1274" t="n">
        <v>47.5</v>
      </c>
      <c r="C2719" s="1274" t="n"/>
      <c r="D2719" s="466" t="n"/>
      <c r="E2719" s="1274" t="n"/>
      <c r="F2719" s="1274" t="n"/>
      <c r="G2719" s="466" t="n"/>
      <c r="H2719" s="1274" t="n">
        <v>21</v>
      </c>
      <c r="I2719" s="1274" t="n"/>
      <c r="J2719" s="466" t="n">
        <v>0</v>
      </c>
      <c r="K2719" s="1274" t="n">
        <v>37.5</v>
      </c>
      <c r="L2719" s="1274" t="n"/>
      <c r="M2719" s="466" t="n"/>
      <c r="N2719" s="1274" t="n">
        <v>35.5</v>
      </c>
      <c r="O2719" s="1274" t="n"/>
      <c r="P2719" s="466" t="n"/>
    </row>
    <row r="2720" ht="15.75" customHeight="1" s="2" thickBot="1">
      <c r="A2720" s="474" t="inlineStr">
        <is>
          <t>Number of hours used to cover sick leave</t>
        </is>
      </c>
      <c r="B2720" s="1282" t="n"/>
      <c r="C2720" s="1282" t="n"/>
      <c r="D2720" s="476" t="n">
        <v>51.5</v>
      </c>
      <c r="E2720" s="1282" t="n"/>
      <c r="F2720" s="1282" t="n"/>
      <c r="G2720" s="476" t="n">
        <v>24.5</v>
      </c>
      <c r="H2720" s="1282" t="n"/>
      <c r="I2720" s="1282" t="n"/>
      <c r="J2720" s="476" t="n">
        <v>20</v>
      </c>
      <c r="K2720" s="1282" t="n"/>
      <c r="L2720" s="1282" t="n"/>
      <c r="M2720" s="476" t="n">
        <v>16.5</v>
      </c>
      <c r="N2720" s="1282" t="n"/>
      <c r="O2720" s="1282" t="n"/>
      <c r="P2720" s="476" t="n">
        <v>25.5</v>
      </c>
    </row>
    <row r="2721" ht="15.75" customHeight="1" s="2" thickBot="1">
      <c r="A2721" s="477" t="inlineStr">
        <is>
          <t xml:space="preserve">Minimum Hours </t>
        </is>
      </c>
      <c r="B2721" s="1171" t="n"/>
      <c r="C2721" s="816" t="inlineStr">
        <is>
          <t>Projected</t>
        </is>
      </c>
      <c r="D2721" s="935" t="inlineStr">
        <is>
          <t>Min Hrs</t>
        </is>
      </c>
      <c r="E2721" s="1171" t="n"/>
      <c r="F2721" s="816" t="inlineStr">
        <is>
          <t>Projected</t>
        </is>
      </c>
      <c r="G2721" s="935" t="inlineStr">
        <is>
          <t>Min Hrs</t>
        </is>
      </c>
      <c r="H2721" s="935" t="n"/>
      <c r="I2721" s="816" t="inlineStr">
        <is>
          <t>Projected</t>
        </is>
      </c>
      <c r="J2721" s="935" t="inlineStr">
        <is>
          <t>Min Hrs</t>
        </is>
      </c>
      <c r="K2721" s="935" t="n"/>
      <c r="L2721" s="816" t="inlineStr">
        <is>
          <t>Projected</t>
        </is>
      </c>
      <c r="M2721" s="935" t="inlineStr">
        <is>
          <t>Min Hrs</t>
        </is>
      </c>
      <c r="N2721" s="1171" t="n"/>
      <c r="O2721" s="816" t="inlineStr">
        <is>
          <t>Projected</t>
        </is>
      </c>
      <c r="P2721" s="935" t="inlineStr">
        <is>
          <t>Min Hrs</t>
        </is>
      </c>
    </row>
    <row r="2722" ht="15.75" customHeight="1" s="2">
      <c r="A2722" s="479" t="inlineStr">
        <is>
          <t>Floor</t>
        </is>
      </c>
      <c r="B2722" s="1172" t="n"/>
      <c r="C2722" s="810" t="n">
        <v>541</v>
      </c>
      <c r="D2722" s="811" t="n">
        <v>538</v>
      </c>
      <c r="E2722" s="1172" t="n"/>
      <c r="F2722" s="810" t="n">
        <v>623.5</v>
      </c>
      <c r="G2722" s="811" t="n">
        <v>538</v>
      </c>
      <c r="H2722" s="810" t="n"/>
      <c r="I2722" s="810" t="n">
        <v>674</v>
      </c>
      <c r="J2722" s="811" t="n">
        <v>538</v>
      </c>
      <c r="K2722" s="810" t="n"/>
      <c r="L2722" s="810" t="n">
        <v>640.5</v>
      </c>
      <c r="M2722" s="811" t="n">
        <v>538</v>
      </c>
      <c r="N2722" s="1172" t="n"/>
      <c r="O2722" s="810" t="n">
        <v>547</v>
      </c>
      <c r="P2722" s="811" t="n">
        <v>538</v>
      </c>
    </row>
    <row r="2723" ht="15.75" customHeight="1" s="2" thickBot="1">
      <c r="A2723" s="481" t="inlineStr">
        <is>
          <t>Kitchen</t>
        </is>
      </c>
      <c r="B2723" s="1173" t="n"/>
      <c r="C2723" s="813" t="n">
        <v>495</v>
      </c>
      <c r="D2723" s="814" t="n">
        <v>485</v>
      </c>
      <c r="E2723" s="1173" t="n"/>
      <c r="F2723" s="840" t="n">
        <v>563.5</v>
      </c>
      <c r="G2723" s="814" t="n">
        <v>485</v>
      </c>
      <c r="H2723" s="813" t="n"/>
      <c r="I2723" s="840" t="n">
        <v>612.5</v>
      </c>
      <c r="J2723" s="814" t="n">
        <v>485</v>
      </c>
      <c r="K2723" s="813" t="n"/>
      <c r="L2723" s="840" t="n">
        <v>617.5</v>
      </c>
      <c r="M2723" s="814" t="n">
        <v>485</v>
      </c>
      <c r="N2723" s="1173" t="n"/>
      <c r="O2723" s="813" t="n">
        <v>490</v>
      </c>
      <c r="P2723" s="814" t="n">
        <v>485</v>
      </c>
    </row>
    <row r="2724" ht="15.75" customHeight="1" s="2" thickBot="1">
      <c r="A2724" s="834" t="n"/>
      <c r="B2724" s="836" t="n"/>
      <c r="C2724" s="1220" t="n"/>
      <c r="D2724" s="1220" t="n"/>
      <c r="E2724" s="839" t="n"/>
      <c r="F2724" s="1220" t="n"/>
      <c r="G2724" s="1220" t="n"/>
      <c r="H2724" s="839" t="n"/>
      <c r="I2724" s="1220" t="n"/>
      <c r="J2724" s="1220" t="n"/>
      <c r="K2724" s="839" t="n"/>
      <c r="L2724" s="1220" t="n"/>
      <c r="M2724" s="1220" t="n"/>
      <c r="N2724" s="839" t="n"/>
      <c r="O2724" s="835" t="n"/>
      <c r="P2724" s="835" t="n"/>
    </row>
    <row r="2725" ht="15.75" customHeight="1" s="2">
      <c r="A2725" s="506" t="inlineStr">
        <is>
          <t>Training explanation</t>
        </is>
      </c>
      <c r="B2725" s="837" t="n"/>
      <c r="C2725" s="1220" t="n"/>
      <c r="D2725" s="1220" t="n"/>
      <c r="E2725" s="837" t="n"/>
      <c r="F2725" s="1220" t="n"/>
      <c r="G2725" s="1220" t="n"/>
      <c r="H2725" s="837" t="n"/>
      <c r="I2725" s="1220" t="n"/>
      <c r="J2725" s="1220" t="n"/>
      <c r="K2725" s="837" t="n"/>
      <c r="L2725" s="1220" t="n"/>
      <c r="M2725" s="1220" t="n"/>
      <c r="N2725" s="837" t="n"/>
      <c r="O2725" s="835" t="n"/>
      <c r="P2725" s="835" t="n"/>
    </row>
    <row r="2726" ht="15.75" customHeight="1" s="2" thickBot="1">
      <c r="A2726" s="506" t="inlineStr">
        <is>
          <t>Who is being Trained</t>
        </is>
      </c>
      <c r="B2726" s="838" t="n"/>
      <c r="C2726" s="1221" t="n"/>
      <c r="D2726" s="1221" t="n"/>
      <c r="E2726" s="838" t="n"/>
      <c r="F2726" s="1221" t="n"/>
      <c r="G2726" s="1221" t="n"/>
      <c r="H2726" s="838" t="n"/>
      <c r="I2726" s="1221" t="n"/>
      <c r="J2726" s="1221" t="n"/>
      <c r="K2726" s="838" t="n"/>
      <c r="L2726" s="1221" t="n"/>
      <c r="M2726" s="1221" t="n"/>
      <c r="N2726" s="838" t="n"/>
    </row>
    <row r="2727" ht="15.75" customHeight="1" s="2" thickBot="1">
      <c r="A2727" s="506" t="n"/>
      <c r="C2727" s="523" t="inlineStr">
        <is>
          <t>floor</t>
        </is>
      </c>
      <c r="D2727" s="524" t="inlineStr">
        <is>
          <t>kitchen</t>
        </is>
      </c>
      <c r="E2727" s="509" t="n"/>
      <c r="F2727" s="507" t="inlineStr">
        <is>
          <t>floor</t>
        </is>
      </c>
      <c r="G2727" s="508" t="inlineStr">
        <is>
          <t>kitchen</t>
        </is>
      </c>
      <c r="H2727" s="510" t="n"/>
      <c r="I2727" s="535" t="inlineStr">
        <is>
          <t>floor</t>
        </is>
      </c>
      <c r="J2727" s="511" t="inlineStr">
        <is>
          <t>kitchen</t>
        </is>
      </c>
      <c r="K2727" s="512" t="n"/>
      <c r="L2727" s="535" t="inlineStr">
        <is>
          <t>floor</t>
        </is>
      </c>
      <c r="M2727" s="513" t="inlineStr">
        <is>
          <t>kitchen</t>
        </is>
      </c>
      <c r="N2727" s="512" t="n"/>
      <c r="O2727" s="535" t="inlineStr">
        <is>
          <t>floor</t>
        </is>
      </c>
      <c r="P2727" s="513" t="inlineStr">
        <is>
          <t>kitchen</t>
        </is>
      </c>
    </row>
    <row r="2728" ht="15.75" customHeight="1" s="2">
      <c r="A2728" s="506" t="n"/>
      <c r="C2728" s="525" t="n"/>
      <c r="D2728" s="527" t="n"/>
      <c r="E2728" s="514" t="n"/>
      <c r="F2728" s="525" t="n"/>
      <c r="G2728" s="527" t="n"/>
      <c r="H2728" s="515" t="n"/>
      <c r="I2728" s="531" t="n"/>
      <c r="J2728" s="824" t="n"/>
      <c r="K2728" s="515" t="n"/>
      <c r="L2728" s="536" t="n"/>
      <c r="M2728" s="532" t="n"/>
      <c r="N2728" s="515" t="n"/>
      <c r="O2728" s="536" t="n"/>
      <c r="P2728" s="532" t="n"/>
    </row>
    <row r="2729" ht="15.75" customHeight="1" s="2">
      <c r="C2729" s="891" t="n"/>
      <c r="D2729" s="526" t="n"/>
      <c r="E2729" s="514" t="n"/>
      <c r="F2729" s="891" t="n"/>
      <c r="G2729" s="526" t="n"/>
      <c r="H2729" s="516" t="n"/>
      <c r="I2729" s="1656" t="n"/>
      <c r="J2729" s="530" t="n"/>
      <c r="K2729" s="516" t="n"/>
      <c r="L2729" s="542" t="n"/>
      <c r="M2729" s="530" t="n"/>
      <c r="N2729" s="516" t="n"/>
      <c r="O2729" s="542" t="n"/>
      <c r="P2729" s="530" t="n"/>
    </row>
    <row r="2730" ht="15.75" customHeight="1" s="2">
      <c r="C2730" s="550" t="n"/>
      <c r="D2730" s="527" t="n"/>
      <c r="E2730" s="514" t="n"/>
      <c r="F2730" s="531" t="n"/>
      <c r="G2730" s="530" t="n"/>
      <c r="H2730" s="516" t="n"/>
      <c r="I2730" s="537" t="n"/>
      <c r="J2730" s="530" t="n"/>
      <c r="K2730" s="516" t="n"/>
      <c r="L2730" s="1657" t="n"/>
      <c r="M2730" s="539" t="n"/>
      <c r="N2730" s="516" t="n"/>
      <c r="O2730" s="542" t="n"/>
      <c r="P2730" s="539" t="n"/>
    </row>
    <row r="2731" ht="15.75" customHeight="1" s="2">
      <c r="C2731" s="561" t="n"/>
      <c r="D2731" s="561" t="n"/>
      <c r="E2731" s="519" t="n"/>
      <c r="F2731" s="517" t="n"/>
      <c r="G2731" s="1659" t="n"/>
      <c r="H2731" s="516" t="n"/>
      <c r="I2731" s="537" t="n"/>
      <c r="J2731" s="530" t="n"/>
      <c r="K2731" s="516" t="n"/>
      <c r="L2731" s="537" t="n"/>
      <c r="M2731" s="539" t="n"/>
      <c r="N2731" s="516" t="n"/>
      <c r="O2731" s="537" t="n"/>
      <c r="P2731" s="539" t="n"/>
    </row>
    <row r="2732" ht="15.75" customHeight="1" s="2">
      <c r="C2732" s="551" t="n"/>
      <c r="D2732" s="528" t="n"/>
      <c r="E2732" s="519" t="n"/>
      <c r="F2732" s="517" t="n"/>
      <c r="G2732" s="518" t="n"/>
      <c r="H2732" s="516" t="n"/>
      <c r="I2732" s="537" t="n"/>
      <c r="J2732" s="533" t="n"/>
      <c r="K2732" s="516" t="n"/>
      <c r="L2732" s="537" t="n"/>
      <c r="M2732" s="540" t="n"/>
      <c r="N2732" s="516" t="n"/>
      <c r="O2732" s="537" t="n"/>
      <c r="P2732" s="540" t="n"/>
    </row>
    <row r="2737" ht="15.75" customHeight="1" s="2" thickBot="1"/>
    <row r="2738" ht="15.75" customHeight="1" s="2" thickBot="1">
      <c r="B2738" s="1652" t="inlineStr">
        <is>
          <t>05.08.2024</t>
        </is>
      </c>
      <c r="C2738" s="1641" t="n"/>
      <c r="D2738" s="1502" t="n"/>
      <c r="E2738" s="1640" t="inlineStr">
        <is>
          <t>12.08.2024</t>
        </is>
      </c>
      <c r="F2738" s="1641" t="n"/>
      <c r="G2738" s="1502" t="n"/>
      <c r="H2738" s="1640" t="inlineStr">
        <is>
          <t>19.08.2024</t>
        </is>
      </c>
      <c r="I2738" s="1641" t="n"/>
      <c r="J2738" s="1502" t="n"/>
      <c r="K2738" s="1640" t="inlineStr">
        <is>
          <t>26.08.2024</t>
        </is>
      </c>
      <c r="L2738" s="1641" t="n"/>
      <c r="M2738" s="1502" t="n"/>
      <c r="N2738" s="1660" t="inlineStr">
        <is>
          <t>02.09.2024</t>
        </is>
      </c>
      <c r="O2738" s="1641" t="n"/>
      <c r="P2738" s="1502" t="n"/>
    </row>
    <row r="2739" ht="15.75" customHeight="1" s="2" thickBot="1">
      <c r="A2739" s="455" t="n"/>
      <c r="B2739" s="1217" t="inlineStr">
        <is>
          <t>LAST YEAR</t>
        </is>
      </c>
      <c r="C2739" s="1219" t="inlineStr">
        <is>
          <t>Projected</t>
        </is>
      </c>
      <c r="D2739" s="1218" t="inlineStr">
        <is>
          <t>Actual</t>
        </is>
      </c>
      <c r="E2739" s="1217" t="inlineStr">
        <is>
          <t>LAST YEAR</t>
        </is>
      </c>
      <c r="F2739" s="1219" t="inlineStr">
        <is>
          <t>Projected</t>
        </is>
      </c>
      <c r="G2739" s="1218" t="inlineStr">
        <is>
          <t>Actual</t>
        </is>
      </c>
      <c r="H2739" s="1217" t="inlineStr">
        <is>
          <t>LAST YEAR</t>
        </is>
      </c>
      <c r="I2739" s="1219" t="inlineStr">
        <is>
          <t>Projected</t>
        </is>
      </c>
      <c r="J2739" s="1218" t="inlineStr">
        <is>
          <t>Actual</t>
        </is>
      </c>
      <c r="K2739" s="1217" t="inlineStr">
        <is>
          <t>LAST YEAR</t>
        </is>
      </c>
      <c r="L2739" s="1219" t="inlineStr">
        <is>
          <t>Projected</t>
        </is>
      </c>
      <c r="M2739" s="1218" t="inlineStr">
        <is>
          <t>Actual</t>
        </is>
      </c>
      <c r="N2739" s="1217" t="inlineStr">
        <is>
          <t>LAST YEAR</t>
        </is>
      </c>
      <c r="O2739" s="1219" t="inlineStr">
        <is>
          <t>Projected</t>
        </is>
      </c>
      <c r="P2739" s="1218" t="inlineStr">
        <is>
          <t>Actual</t>
        </is>
      </c>
    </row>
    <row r="2740" ht="15.75" customHeight="1" s="2">
      <c r="A2740" s="459" t="inlineStr">
        <is>
          <t>Total Receipts</t>
        </is>
      </c>
      <c r="B2740" s="1672" t="n">
        <v>143745.83</v>
      </c>
      <c r="C2740" s="1672" t="n">
        <v>134938</v>
      </c>
      <c r="D2740" s="1622" t="n">
        <v>143819.65</v>
      </c>
      <c r="E2740" s="1672" t="n">
        <v>154599</v>
      </c>
      <c r="F2740" s="1672" t="n">
        <v>141288</v>
      </c>
      <c r="G2740" s="1645" t="n">
        <v>159663.28</v>
      </c>
      <c r="H2740" s="1672" t="n">
        <v>153263</v>
      </c>
      <c r="I2740" s="1688" t="n">
        <v>137759</v>
      </c>
      <c r="J2740" s="1645" t="n">
        <v>162121.3</v>
      </c>
      <c r="K2740" s="1672" t="n">
        <v>139804</v>
      </c>
      <c r="L2740" s="1672" t="n">
        <v>138919</v>
      </c>
      <c r="M2740" s="1645" t="n">
        <v>144849.68</v>
      </c>
      <c r="N2740" s="1672" t="n">
        <v>127227</v>
      </c>
      <c r="O2740" s="1688" t="n">
        <v>124329</v>
      </c>
      <c r="P2740" s="1622" t="n">
        <v>129132.35</v>
      </c>
    </row>
    <row r="2741" ht="15.75" customHeight="1" s="2">
      <c r="A2741" s="462" t="inlineStr">
        <is>
          <t>Nett Sales</t>
        </is>
      </c>
      <c r="B2741" s="1677" t="n">
        <v>130678.03</v>
      </c>
      <c r="C2741" s="1677" t="n">
        <v>122671</v>
      </c>
      <c r="D2741" s="1625" t="n">
        <v>130745.14</v>
      </c>
      <c r="E2741" s="1677" t="n">
        <v>140544.55</v>
      </c>
      <c r="F2741" s="1677" t="n">
        <v>128443</v>
      </c>
      <c r="G2741" s="1637" t="n">
        <v>145148.44</v>
      </c>
      <c r="H2741" s="1677" t="n">
        <v>139330</v>
      </c>
      <c r="I2741" s="1677" t="n">
        <v>125235.5</v>
      </c>
      <c r="J2741" s="1625" t="n">
        <v>147383</v>
      </c>
      <c r="K2741" s="1677" t="n">
        <v>127095</v>
      </c>
      <c r="L2741" s="1677" t="n">
        <v>126290</v>
      </c>
      <c r="M2741" s="1625" t="n">
        <v>131682</v>
      </c>
      <c r="N2741" s="1677" t="n">
        <v>115661</v>
      </c>
      <c r="O2741" s="1677" t="n">
        <v>113026</v>
      </c>
      <c r="P2741" s="1625" t="n">
        <v>117393.05</v>
      </c>
    </row>
    <row r="2742" ht="15.75" customHeight="1" s="2">
      <c r="A2742" s="462" t="inlineStr">
        <is>
          <t>Customers</t>
        </is>
      </c>
      <c r="B2742" s="1270" t="n">
        <v>5873</v>
      </c>
      <c r="C2742" s="1270" t="n">
        <v>5525</v>
      </c>
      <c r="D2742" s="466" t="n">
        <v>5915</v>
      </c>
      <c r="E2742" s="1270" t="n">
        <v>6071</v>
      </c>
      <c r="F2742" s="1270" t="n">
        <v>5750</v>
      </c>
      <c r="G2742" s="466" t="n">
        <v>6666</v>
      </c>
      <c r="H2742" s="1270" t="n">
        <v>6128</v>
      </c>
      <c r="I2742" s="1270" t="n">
        <v>5695</v>
      </c>
      <c r="J2742" s="466" t="n">
        <v>6408</v>
      </c>
      <c r="K2742" s="1270" t="n">
        <v>5892</v>
      </c>
      <c r="L2742" s="1270" t="n">
        <v>5735</v>
      </c>
      <c r="M2742" s="466" t="n">
        <v>5875</v>
      </c>
      <c r="N2742" s="1270" t="n">
        <v>5311</v>
      </c>
      <c r="O2742" s="1270" t="n">
        <v>5145</v>
      </c>
      <c r="P2742" s="1655" t="n">
        <v>5062</v>
      </c>
    </row>
    <row r="2743" ht="15.75" customHeight="1" s="2">
      <c r="A2743" s="462" t="inlineStr">
        <is>
          <t>Average Customer Spend</t>
        </is>
      </c>
      <c r="B2743" s="1682" t="n">
        <v>24.47</v>
      </c>
      <c r="C2743" s="1682" t="n">
        <v>24.42</v>
      </c>
      <c r="D2743" s="1628" t="n">
        <v>24.31</v>
      </c>
      <c r="E2743" s="1682" t="n">
        <v>25.46</v>
      </c>
      <c r="F2743" s="1682" t="n">
        <v>24.57</v>
      </c>
      <c r="G2743" s="1649" t="n">
        <v>23.95</v>
      </c>
      <c r="H2743" s="1682" t="n">
        <v>25.01</v>
      </c>
      <c r="I2743" s="1689" t="n">
        <v>24.19</v>
      </c>
      <c r="J2743" s="1649" t="n">
        <v>25.29</v>
      </c>
      <c r="K2743" s="1682" t="n">
        <v>23.72</v>
      </c>
      <c r="L2743" s="1682" t="n">
        <v>24.22</v>
      </c>
      <c r="M2743" s="1649" t="n">
        <v>24.65</v>
      </c>
      <c r="N2743" s="1682" t="n">
        <v>23.95</v>
      </c>
      <c r="O2743" s="1689" t="n">
        <v>24.17</v>
      </c>
      <c r="P2743" s="1628" t="n">
        <v>25.51</v>
      </c>
    </row>
    <row r="2744" ht="15.75" customHeight="1" s="2">
      <c r="A2744" s="462" t="inlineStr">
        <is>
          <t>Wage % to Total Receipts</t>
        </is>
      </c>
      <c r="B2744" s="1272" t="n">
        <v>0.3126</v>
      </c>
      <c r="C2744" s="1272" t="n">
        <v>0.3033</v>
      </c>
      <c r="D2744" s="470" t="n">
        <v>0.3032</v>
      </c>
      <c r="E2744" s="1272" t="n">
        <v>0.304</v>
      </c>
      <c r="F2744" s="1272" t="n">
        <v>0.3015</v>
      </c>
      <c r="G2744" s="863" t="n">
        <v>0.2797</v>
      </c>
      <c r="H2744" s="1272" t="n">
        <v>0.3094</v>
      </c>
      <c r="I2744" s="1301" t="n">
        <v>0.3062</v>
      </c>
      <c r="J2744" s="863" t="n">
        <v>0.2911</v>
      </c>
      <c r="K2744" s="1272" t="n">
        <v>0.3251</v>
      </c>
      <c r="L2744" s="1272" t="n">
        <v>0.3058</v>
      </c>
      <c r="M2744" s="863" t="n">
        <v>0.3064</v>
      </c>
      <c r="N2744" s="1272" t="n">
        <v>0.3522</v>
      </c>
      <c r="O2744" s="1301" t="n">
        <v>0.3065</v>
      </c>
      <c r="P2744" s="470" t="n">
        <v>0.3303</v>
      </c>
    </row>
    <row r="2745" ht="15.75" customHeight="1" s="2">
      <c r="A2745" s="462" t="inlineStr">
        <is>
          <t>Wage % to Nett Sales</t>
        </is>
      </c>
      <c r="B2745" s="1272" t="n">
        <v>0.3439</v>
      </c>
      <c r="C2745" s="1272" t="n">
        <v>0.3336</v>
      </c>
      <c r="D2745" s="470" t="n">
        <v>0.3335</v>
      </c>
      <c r="E2745" s="1272" t="n">
        <v>0.3344</v>
      </c>
      <c r="F2745" s="1272" t="n">
        <v>0.3316</v>
      </c>
      <c r="G2745" s="863" t="n">
        <v>0.3077</v>
      </c>
      <c r="H2745" s="1272" t="n">
        <v>0.3404</v>
      </c>
      <c r="I2745" s="1301" t="n">
        <v>0.3368</v>
      </c>
      <c r="J2745" s="863" t="n">
        <v>0.3202</v>
      </c>
      <c r="K2745" s="1272" t="n">
        <v>0.3576</v>
      </c>
      <c r="L2745" s="1272" t="n">
        <v>0.3364</v>
      </c>
      <c r="M2745" s="863" t="n">
        <v>0.3371</v>
      </c>
      <c r="N2745" s="1272" t="n">
        <v>0.3874</v>
      </c>
      <c r="O2745" s="1301" t="n">
        <v>0.3372</v>
      </c>
      <c r="P2745" s="470" t="n">
        <v>0.3634</v>
      </c>
    </row>
    <row r="2746" ht="15.75" customHeight="1" s="2">
      <c r="A2746" s="462" t="inlineStr">
        <is>
          <t>Productivity</t>
        </is>
      </c>
      <c r="B2746" s="1273" t="n">
        <v>5.26</v>
      </c>
      <c r="C2746" s="1273" t="n">
        <v>5.4</v>
      </c>
      <c r="D2746" s="472" t="n">
        <v>5.66</v>
      </c>
      <c r="E2746" s="1273" t="n">
        <v>5.32</v>
      </c>
      <c r="F2746" s="1273" t="n">
        <v>5.4</v>
      </c>
      <c r="G2746" s="472" t="n">
        <v>6.1</v>
      </c>
      <c r="H2746" s="1273" t="n">
        <v>5.34</v>
      </c>
      <c r="I2746" s="1273" t="n">
        <v>5.4</v>
      </c>
      <c r="J2746" s="472" t="n">
        <v>5.57</v>
      </c>
      <c r="K2746" s="1273" t="n">
        <v>5.22</v>
      </c>
      <c r="L2746" s="1273" t="n">
        <v>5.4</v>
      </c>
      <c r="M2746" s="472" t="n">
        <v>5.54</v>
      </c>
      <c r="N2746" s="1273" t="n">
        <v>4.66</v>
      </c>
      <c r="O2746" s="1273" t="n">
        <v>5.4</v>
      </c>
      <c r="P2746" s="472" t="n">
        <v>4.8</v>
      </c>
    </row>
    <row r="2747" ht="15.75" customHeight="1" s="2">
      <c r="A2747" s="462" t="inlineStr">
        <is>
          <t>Average Hourly Rate</t>
        </is>
      </c>
      <c r="B2747" s="1273" t="n">
        <v>40.28</v>
      </c>
      <c r="C2747" s="1273" t="n">
        <v>40</v>
      </c>
      <c r="D2747" s="1628" t="n">
        <v>41.74</v>
      </c>
      <c r="E2747" s="1273" t="n">
        <v>41.17</v>
      </c>
      <c r="F2747" s="1273" t="n">
        <v>40</v>
      </c>
      <c r="G2747" s="1649" t="n">
        <v>40.9</v>
      </c>
      <c r="H2747" s="1273" t="n">
        <v>41.33</v>
      </c>
      <c r="I2747" s="1273" t="n">
        <v>40</v>
      </c>
      <c r="J2747" s="1649" t="n">
        <v>41</v>
      </c>
      <c r="K2747" s="1273" t="n">
        <v>40.27</v>
      </c>
      <c r="L2747" s="1273" t="n">
        <v>40</v>
      </c>
      <c r="M2747" s="1649" t="n">
        <v>41.82</v>
      </c>
      <c r="N2747" s="1273" t="n">
        <v>39.36</v>
      </c>
      <c r="O2747" s="1273" t="n">
        <v>40</v>
      </c>
      <c r="P2747" s="1628" t="n">
        <v>40.41</v>
      </c>
    </row>
    <row r="2748" ht="15.75" customHeight="1" s="2">
      <c r="A2748" s="462" t="inlineStr">
        <is>
          <t>Total hours for productivity</t>
        </is>
      </c>
      <c r="B2748" s="1273" t="n">
        <v>1115.5</v>
      </c>
      <c r="C2748" s="1273" t="n">
        <v>1056</v>
      </c>
      <c r="D2748" s="466" t="n">
        <v>1044.5</v>
      </c>
      <c r="E2748" s="1273" t="n">
        <v>1141</v>
      </c>
      <c r="F2748" s="1273" t="n">
        <v>1071.5</v>
      </c>
      <c r="G2748" s="466" t="n">
        <v>1092</v>
      </c>
      <c r="H2748" s="1273" t="n">
        <v>1147.5</v>
      </c>
      <c r="I2748" s="1273" t="n">
        <v>1113.5</v>
      </c>
      <c r="J2748" s="472" t="n">
        <v>1118.5</v>
      </c>
      <c r="K2748" s="1273" t="n">
        <v>1128</v>
      </c>
      <c r="L2748" s="1273" t="n">
        <v>1090</v>
      </c>
      <c r="M2748" s="466" t="n">
        <v>1061.25</v>
      </c>
      <c r="N2748" s="1273" t="n">
        <v>1138.5</v>
      </c>
      <c r="O2748" s="1273" t="n">
        <v>1068</v>
      </c>
      <c r="P2748" s="466" t="n">
        <v>1055.5</v>
      </c>
    </row>
    <row r="2749" ht="15.75" customHeight="1" s="2">
      <c r="A2749" s="462" t="inlineStr">
        <is>
          <t>Training Hours used</t>
        </is>
      </c>
      <c r="B2749" s="1274" t="n">
        <v>10</v>
      </c>
      <c r="C2749" s="1274" t="n"/>
      <c r="D2749" s="466" t="n">
        <v>0</v>
      </c>
      <c r="E2749" s="1274" t="n">
        <v>10</v>
      </c>
      <c r="F2749" s="1274" t="n"/>
      <c r="G2749" s="466" t="n"/>
      <c r="H2749" s="1274" t="n">
        <v>36.5</v>
      </c>
      <c r="I2749" s="1274" t="n"/>
      <c r="J2749" s="466" t="n"/>
      <c r="K2749" s="1274" t="n"/>
      <c r="L2749" s="1274" t="n"/>
      <c r="M2749" s="466" t="n"/>
      <c r="N2749" s="1274" t="n">
        <v>20</v>
      </c>
      <c r="O2749" s="1274" t="n"/>
      <c r="P2749" s="466" t="n"/>
    </row>
    <row r="2750" ht="15.75" customHeight="1" s="2" thickBot="1">
      <c r="A2750" s="474" t="inlineStr">
        <is>
          <t>Number of hours used to cover sick leave</t>
        </is>
      </c>
      <c r="B2750" s="1282" t="n"/>
      <c r="C2750" s="1282" t="n"/>
      <c r="D2750" s="476" t="n">
        <v>37</v>
      </c>
      <c r="E2750" s="1282" t="n"/>
      <c r="F2750" s="1282" t="n"/>
      <c r="G2750" s="476" t="n">
        <v>35.5</v>
      </c>
      <c r="H2750" s="1282" t="n"/>
      <c r="I2750" s="1282" t="n"/>
      <c r="J2750" s="476" t="n">
        <v>20.75</v>
      </c>
      <c r="K2750" s="1282" t="n"/>
      <c r="L2750" s="1282" t="n">
        <v>29</v>
      </c>
      <c r="M2750" s="476" t="n"/>
      <c r="N2750" s="1282" t="n"/>
      <c r="O2750" s="1282" t="n"/>
      <c r="P2750" s="476" t="n"/>
    </row>
    <row r="2751" ht="15.75" customHeight="1" s="2" thickBot="1">
      <c r="A2751" s="477" t="inlineStr">
        <is>
          <t xml:space="preserve">Minimum Hours </t>
        </is>
      </c>
      <c r="B2751" s="1171" t="n"/>
      <c r="C2751" s="816" t="inlineStr">
        <is>
          <t>Projected</t>
        </is>
      </c>
      <c r="D2751" s="935" t="inlineStr">
        <is>
          <t>Min Hrs</t>
        </is>
      </c>
      <c r="E2751" s="1171" t="n"/>
      <c r="F2751" s="816" t="inlineStr">
        <is>
          <t>Projected</t>
        </is>
      </c>
      <c r="G2751" s="935" t="inlineStr">
        <is>
          <t>Min Hrs</t>
        </is>
      </c>
      <c r="H2751" s="935" t="n"/>
      <c r="I2751" s="816" t="inlineStr">
        <is>
          <t>Projected</t>
        </is>
      </c>
      <c r="J2751" s="935" t="inlineStr">
        <is>
          <t>Min Hrs</t>
        </is>
      </c>
      <c r="K2751" s="935" t="n"/>
      <c r="L2751" s="816" t="inlineStr">
        <is>
          <t>Projected</t>
        </is>
      </c>
      <c r="M2751" s="935" t="inlineStr">
        <is>
          <t>Min Hrs</t>
        </is>
      </c>
      <c r="N2751" s="1171" t="n"/>
      <c r="O2751" s="816" t="inlineStr">
        <is>
          <t>Projected</t>
        </is>
      </c>
      <c r="P2751" s="935" t="inlineStr">
        <is>
          <t>Min Hrs</t>
        </is>
      </c>
    </row>
    <row r="2752" ht="15.75" customHeight="1" s="2">
      <c r="A2752" s="479" t="inlineStr">
        <is>
          <t>Floor</t>
        </is>
      </c>
      <c r="B2752" s="1172" t="n"/>
      <c r="C2752" s="810" t="n">
        <v>550.5</v>
      </c>
      <c r="D2752" s="811" t="n">
        <v>538</v>
      </c>
      <c r="E2752" s="1172" t="n"/>
      <c r="F2752" s="810" t="n">
        <v>547.5</v>
      </c>
      <c r="G2752" s="811" t="n">
        <v>538</v>
      </c>
      <c r="H2752" s="810" t="n"/>
      <c r="I2752" s="810" t="n">
        <v>582.5</v>
      </c>
      <c r="J2752" s="811" t="n">
        <v>538</v>
      </c>
      <c r="K2752" s="810" t="n"/>
      <c r="L2752" s="810" t="n">
        <v>554</v>
      </c>
      <c r="M2752" s="811" t="n">
        <v>538</v>
      </c>
      <c r="N2752" s="1172" t="n"/>
      <c r="O2752" s="810" t="n">
        <v>548</v>
      </c>
      <c r="P2752" s="811" t="n">
        <v>538</v>
      </c>
    </row>
    <row r="2753" ht="15.75" customHeight="1" s="2" thickBot="1">
      <c r="A2753" s="481" t="inlineStr">
        <is>
          <t>Kitchen</t>
        </is>
      </c>
      <c r="B2753" s="1173" t="n"/>
      <c r="C2753" s="813" t="n">
        <v>505.5</v>
      </c>
      <c r="D2753" s="814" t="n">
        <v>485</v>
      </c>
      <c r="E2753" s="1173" t="n"/>
      <c r="F2753" s="840" t="n">
        <v>524</v>
      </c>
      <c r="G2753" s="814" t="n">
        <v>485</v>
      </c>
      <c r="H2753" s="813" t="n"/>
      <c r="I2753" s="840" t="n">
        <v>536</v>
      </c>
      <c r="J2753" s="814" t="n">
        <v>485</v>
      </c>
      <c r="K2753" s="813" t="n"/>
      <c r="L2753" s="840" t="n">
        <v>536</v>
      </c>
      <c r="M2753" s="814" t="n">
        <v>485</v>
      </c>
      <c r="N2753" s="1173" t="n"/>
      <c r="O2753" s="813" t="n">
        <v>520</v>
      </c>
      <c r="P2753" s="814" t="n">
        <v>485</v>
      </c>
    </row>
    <row r="2754" ht="15.75" customHeight="1" s="2" thickBot="1">
      <c r="A2754" s="834" t="n"/>
      <c r="B2754" s="836" t="n"/>
      <c r="C2754" s="1220" t="n"/>
      <c r="D2754" s="1220" t="n"/>
      <c r="E2754" s="839" t="n"/>
      <c r="F2754" s="1220" t="n"/>
      <c r="G2754" s="1220" t="n"/>
      <c r="H2754" s="839" t="n"/>
      <c r="I2754" s="1220" t="n"/>
      <c r="J2754" s="1220" t="n"/>
      <c r="K2754" s="839" t="n"/>
      <c r="L2754" s="1220" t="n"/>
      <c r="M2754" s="1220" t="n"/>
      <c r="N2754" s="839" t="n"/>
      <c r="O2754" s="835" t="n"/>
      <c r="P2754" s="835" t="n"/>
    </row>
    <row r="2755" ht="15.75" customHeight="1" s="2">
      <c r="A2755" s="506" t="inlineStr">
        <is>
          <t>Training explanation</t>
        </is>
      </c>
      <c r="B2755" s="837" t="n"/>
      <c r="C2755" s="1220" t="n"/>
      <c r="D2755" s="1220" t="n"/>
      <c r="E2755" s="837" t="n"/>
      <c r="F2755" s="1220" t="n"/>
      <c r="G2755" s="1220" t="n"/>
      <c r="H2755" s="837" t="n"/>
      <c r="I2755" s="1220" t="n"/>
      <c r="J2755" s="1220" t="n"/>
      <c r="K2755" s="837" t="n"/>
      <c r="L2755" s="1220" t="n"/>
      <c r="M2755" s="1220" t="n"/>
      <c r="N2755" s="837" t="n"/>
      <c r="O2755" s="835" t="n"/>
      <c r="P2755" s="835" t="n"/>
    </row>
    <row r="2756" ht="15.75" customHeight="1" s="2" thickBot="1">
      <c r="A2756" s="506" t="inlineStr">
        <is>
          <t>Who is being Trained</t>
        </is>
      </c>
      <c r="B2756" s="838" t="n"/>
      <c r="C2756" s="1221" t="n"/>
      <c r="D2756" s="1221" t="n"/>
      <c r="E2756" s="838" t="n"/>
      <c r="F2756" s="1221" t="n"/>
      <c r="G2756" s="1221" t="n"/>
      <c r="H2756" s="838" t="n"/>
      <c r="I2756" s="1221" t="n"/>
      <c r="J2756" s="1221" t="n"/>
      <c r="K2756" s="838" t="n"/>
      <c r="L2756" s="1221" t="n"/>
      <c r="M2756" s="1221" t="n"/>
      <c r="N2756" s="838" t="n"/>
    </row>
    <row r="2757" ht="15.75" customHeight="1" s="2" thickBot="1">
      <c r="A2757" s="506" t="n"/>
      <c r="C2757" s="523" t="inlineStr">
        <is>
          <t>floor</t>
        </is>
      </c>
      <c r="D2757" s="524" t="inlineStr">
        <is>
          <t>kitchen</t>
        </is>
      </c>
      <c r="E2757" s="509" t="n"/>
      <c r="F2757" s="507" t="inlineStr">
        <is>
          <t>floor</t>
        </is>
      </c>
      <c r="G2757" s="508" t="inlineStr">
        <is>
          <t>kitchen</t>
        </is>
      </c>
      <c r="H2757" s="510" t="n"/>
      <c r="I2757" s="535" t="inlineStr">
        <is>
          <t>floor</t>
        </is>
      </c>
      <c r="J2757" s="511" t="inlineStr">
        <is>
          <t>kitchen</t>
        </is>
      </c>
      <c r="K2757" s="512" t="n"/>
      <c r="L2757" s="535" t="inlineStr">
        <is>
          <t>floor</t>
        </is>
      </c>
      <c r="M2757" s="513" t="inlineStr">
        <is>
          <t>kitchen</t>
        </is>
      </c>
      <c r="N2757" s="512" t="n"/>
      <c r="O2757" s="535" t="inlineStr">
        <is>
          <t>floor</t>
        </is>
      </c>
      <c r="P2757" s="513" t="inlineStr">
        <is>
          <t>kitchen</t>
        </is>
      </c>
    </row>
    <row r="2758" ht="15.75" customHeight="1" s="2">
      <c r="A2758" s="506" t="n"/>
      <c r="C2758" s="525" t="n"/>
      <c r="D2758" s="527" t="n"/>
      <c r="E2758" s="514" t="n"/>
      <c r="F2758" s="525" t="n"/>
      <c r="G2758" s="527" t="n"/>
      <c r="H2758" s="515" t="n"/>
      <c r="I2758" s="531" t="n"/>
      <c r="J2758" s="824" t="n"/>
      <c r="K2758" s="515" t="n"/>
      <c r="L2758" s="536" t="n"/>
      <c r="M2758" s="532" t="n"/>
      <c r="N2758" s="515" t="n"/>
      <c r="O2758" s="536" t="n"/>
      <c r="P2758" s="532" t="n"/>
    </row>
    <row r="2759" ht="15.75" customHeight="1" s="2">
      <c r="C2759" s="891" t="n"/>
      <c r="D2759" s="526" t="n"/>
      <c r="E2759" s="514" t="n"/>
      <c r="F2759" s="891" t="n"/>
      <c r="G2759" s="526" t="n"/>
      <c r="H2759" s="516" t="n"/>
      <c r="I2759" s="1656" t="n"/>
      <c r="J2759" s="530" t="n"/>
      <c r="K2759" s="516" t="n"/>
      <c r="L2759" s="542" t="n"/>
      <c r="M2759" s="530" t="n"/>
      <c r="N2759" s="516" t="n"/>
      <c r="O2759" s="542" t="n"/>
      <c r="P2759" s="530" t="n"/>
    </row>
    <row r="2760" ht="15.75" customHeight="1" s="2">
      <c r="C2760" s="550" t="n"/>
      <c r="D2760" s="527" t="n"/>
      <c r="E2760" s="514" t="n"/>
      <c r="F2760" s="531" t="n"/>
      <c r="G2760" s="530" t="n"/>
      <c r="H2760" s="516" t="n"/>
      <c r="I2760" s="537" t="n"/>
      <c r="J2760" s="530" t="n"/>
      <c r="K2760" s="516" t="n"/>
      <c r="L2760" s="1657" t="n"/>
      <c r="M2760" s="539" t="n"/>
      <c r="N2760" s="516" t="n"/>
      <c r="O2760" s="542" t="n"/>
      <c r="P2760" s="539" t="n"/>
    </row>
    <row r="2761" ht="15.75" customHeight="1" s="2">
      <c r="C2761" s="561" t="n"/>
      <c r="D2761" s="561" t="n"/>
      <c r="E2761" s="519" t="n"/>
      <c r="F2761" s="517" t="n"/>
      <c r="G2761" s="1659" t="n"/>
      <c r="H2761" s="516" t="n"/>
      <c r="I2761" s="537" t="n"/>
      <c r="J2761" s="530" t="n"/>
      <c r="K2761" s="516" t="n"/>
      <c r="L2761" s="537" t="n"/>
      <c r="M2761" s="539" t="n"/>
      <c r="N2761" s="516" t="n"/>
      <c r="O2761" s="537" t="n"/>
      <c r="P2761" s="539" t="n"/>
    </row>
    <row r="2762" ht="15.75" customHeight="1" s="2">
      <c r="C2762" s="551" t="n"/>
      <c r="D2762" s="528" t="n"/>
      <c r="E2762" s="519" t="n"/>
      <c r="F2762" s="517" t="n"/>
      <c r="G2762" s="518" t="n"/>
      <c r="H2762" s="516" t="n"/>
      <c r="I2762" s="537" t="n"/>
      <c r="J2762" s="533" t="n"/>
      <c r="K2762" s="516" t="n"/>
      <c r="L2762" s="537" t="n"/>
      <c r="M2762" s="540" t="n"/>
      <c r="N2762" s="516" t="n"/>
      <c r="O2762" s="537" t="n"/>
      <c r="P2762" s="540" t="n"/>
    </row>
    <row r="2768" ht="15.75" customHeight="1" s="2" thickBot="1"/>
    <row r="2769" ht="15.75" customHeight="1" s="2" thickBot="1">
      <c r="B2769" s="1482" t="n"/>
      <c r="C2769" s="1483" t="inlineStr">
        <is>
          <t>09.09.2024</t>
        </is>
      </c>
      <c r="D2769" s="1484" t="n"/>
      <c r="E2769" s="1485" t="n"/>
      <c r="F2769" s="1486" t="inlineStr">
        <is>
          <t>16.09.2024</t>
        </is>
      </c>
      <c r="G2769" s="1487" t="n"/>
      <c r="H2769" s="1485" t="n"/>
      <c r="I2769" s="1486" t="inlineStr">
        <is>
          <t>23.09.2.24</t>
        </is>
      </c>
      <c r="J2769" s="1487" t="n"/>
      <c r="K2769" s="1485" t="n"/>
      <c r="L2769" s="1486" t="inlineStr">
        <is>
          <t>30.09.2024</t>
        </is>
      </c>
      <c r="M2769" s="1487" t="n"/>
      <c r="N2769" s="1488" t="n"/>
      <c r="O2769" s="1489" t="inlineStr">
        <is>
          <t>07.10.2024</t>
        </is>
      </c>
      <c r="P2769" s="1490" t="n"/>
    </row>
    <row r="2770" ht="15.75" customHeight="1" s="2" thickBot="1">
      <c r="A2770" s="455" t="n"/>
      <c r="B2770" s="1217" t="inlineStr">
        <is>
          <t>LAST YEAR</t>
        </is>
      </c>
      <c r="C2770" s="1219" t="inlineStr">
        <is>
          <t>Projected</t>
        </is>
      </c>
      <c r="D2770" s="1218" t="inlineStr">
        <is>
          <t>Actual</t>
        </is>
      </c>
      <c r="E2770" s="1217" t="inlineStr">
        <is>
          <t>LAST YEAR</t>
        </is>
      </c>
      <c r="F2770" s="1219" t="inlineStr">
        <is>
          <t>Projected</t>
        </is>
      </c>
      <c r="G2770" s="1218" t="inlineStr">
        <is>
          <t>Actual</t>
        </is>
      </c>
      <c r="H2770" s="1217" t="inlineStr">
        <is>
          <t>LAST YEAR</t>
        </is>
      </c>
      <c r="I2770" s="1219" t="inlineStr">
        <is>
          <t>Projected</t>
        </is>
      </c>
      <c r="J2770" s="1218" t="inlineStr">
        <is>
          <t>Actual</t>
        </is>
      </c>
      <c r="K2770" s="1217" t="inlineStr">
        <is>
          <t>LAST YEAR</t>
        </is>
      </c>
      <c r="L2770" s="1219" t="inlineStr">
        <is>
          <t>Projected</t>
        </is>
      </c>
      <c r="M2770" s="1218" t="inlineStr">
        <is>
          <t>Actual</t>
        </is>
      </c>
      <c r="N2770" s="1217" t="inlineStr">
        <is>
          <t>LAST YEAR</t>
        </is>
      </c>
      <c r="O2770" s="1219" t="inlineStr">
        <is>
          <t>Projected</t>
        </is>
      </c>
      <c r="P2770" s="1218" t="inlineStr">
        <is>
          <t>Actual</t>
        </is>
      </c>
    </row>
    <row r="2771" ht="15.75" customHeight="1" s="2">
      <c r="A2771" s="459" t="inlineStr">
        <is>
          <t>Total Receipts</t>
        </is>
      </c>
      <c r="B2771" s="1672" t="n">
        <v>118234</v>
      </c>
      <c r="C2771" s="1672" t="n">
        <v>123195</v>
      </c>
      <c r="D2771" s="1622" t="n">
        <v>119813.51</v>
      </c>
      <c r="E2771" s="1672" t="n">
        <v>124687</v>
      </c>
      <c r="F2771" s="1672" t="n">
        <v>132113</v>
      </c>
      <c r="G2771" s="1645" t="n">
        <v>133660.93</v>
      </c>
      <c r="H2771" s="1672" t="n">
        <v>152892</v>
      </c>
      <c r="I2771" s="1688" t="n">
        <v>138630</v>
      </c>
      <c r="J2771" s="1645" t="n">
        <v>135593.02</v>
      </c>
      <c r="K2771" s="1672" t="n">
        <v>204912</v>
      </c>
      <c r="L2771" s="1672" t="n">
        <v>151669</v>
      </c>
      <c r="M2771" s="1645" t="n">
        <v>146950.21</v>
      </c>
      <c r="N2771" s="1672" t="n">
        <v>149794.67</v>
      </c>
      <c r="O2771" s="1688" t="n">
        <v>195283</v>
      </c>
      <c r="P2771" s="1622" t="n">
        <v>182913.56</v>
      </c>
    </row>
    <row r="2772" ht="15.75" customHeight="1" s="2">
      <c r="A2772" s="462" t="inlineStr">
        <is>
          <t>Nett Sales</t>
        </is>
      </c>
      <c r="B2772" s="1677" t="n">
        <v>107485</v>
      </c>
      <c r="C2772" s="1677" t="n">
        <v>112682.2</v>
      </c>
      <c r="D2772" s="1625" t="n">
        <v>10821.37</v>
      </c>
      <c r="E2772" s="1677" t="n">
        <v>113352</v>
      </c>
      <c r="F2772" s="1677" t="n">
        <v>120102.7</v>
      </c>
      <c r="G2772" s="1637" t="n">
        <v>121509.94</v>
      </c>
      <c r="H2772" s="1677" t="n">
        <v>138993</v>
      </c>
      <c r="I2772" s="1677" t="n">
        <v>126027</v>
      </c>
      <c r="J2772" s="1625" t="n">
        <v>123266.38</v>
      </c>
      <c r="K2772" s="1677" t="n">
        <v>186283</v>
      </c>
      <c r="L2772" s="1677" t="n">
        <v>137880.9</v>
      </c>
      <c r="M2772" s="1625" t="n">
        <v>133591.1</v>
      </c>
      <c r="N2772" s="1677" t="n">
        <v>136176.97</v>
      </c>
      <c r="O2772" s="1677" t="n">
        <v>177529.5</v>
      </c>
      <c r="P2772" s="1625" t="n">
        <v>166285</v>
      </c>
    </row>
    <row r="2773" ht="15.75" customHeight="1" s="2">
      <c r="A2773" s="462" t="inlineStr">
        <is>
          <t>Customers</t>
        </is>
      </c>
      <c r="B2773" s="1270" t="n">
        <v>4629</v>
      </c>
      <c r="C2773" s="1270" t="n">
        <v>5135</v>
      </c>
      <c r="D2773" s="466" t="n">
        <v>4891</v>
      </c>
      <c r="E2773" s="1270" t="n">
        <v>5136</v>
      </c>
      <c r="F2773" s="1270" t="n">
        <v>5465</v>
      </c>
      <c r="G2773" s="466" t="n">
        <v>5438</v>
      </c>
      <c r="H2773" s="1270" t="n">
        <v>6356</v>
      </c>
      <c r="I2773" s="1270" t="n">
        <v>5615</v>
      </c>
      <c r="J2773" s="466" t="n">
        <v>5533</v>
      </c>
      <c r="K2773" s="1270" t="n">
        <v>8186</v>
      </c>
      <c r="L2773" s="1270" t="n">
        <v>6220</v>
      </c>
      <c r="M2773" s="466" t="n">
        <v>5983</v>
      </c>
      <c r="N2773" s="1270" t="n">
        <v>6335</v>
      </c>
      <c r="O2773" s="1270" t="n">
        <v>7895</v>
      </c>
      <c r="P2773" s="1655" t="n">
        <v>7090</v>
      </c>
    </row>
    <row r="2774" ht="15.75" customHeight="1" s="2">
      <c r="A2774" s="462" t="inlineStr">
        <is>
          <t>Average Customer Spend</t>
        </is>
      </c>
      <c r="B2774" s="1682" t="n">
        <v>25.54</v>
      </c>
      <c r="C2774" s="1682" t="n">
        <v>24.14</v>
      </c>
      <c r="D2774" s="1628" t="n">
        <v>24.49</v>
      </c>
      <c r="E2774" s="1682" t="n">
        <v>24.27</v>
      </c>
      <c r="F2774" s="1682" t="n">
        <v>24.17</v>
      </c>
      <c r="G2774" s="1649" t="n">
        <v>24.57</v>
      </c>
      <c r="H2774" s="1682" t="n">
        <v>24.05</v>
      </c>
      <c r="I2774" s="1689" t="n">
        <v>24.69</v>
      </c>
      <c r="J2774" s="1649" t="n">
        <v>24.5</v>
      </c>
      <c r="K2774" s="1682" t="n">
        <v>25.03</v>
      </c>
      <c r="L2774" s="1682" t="n">
        <v>24.38</v>
      </c>
      <c r="M2774" s="1649" t="n">
        <v>24.56</v>
      </c>
      <c r="N2774" s="1682" t="n">
        <v>23.64</v>
      </c>
      <c r="O2774" s="1689" t="n">
        <v>24.73</v>
      </c>
      <c r="P2774" s="1628" t="n">
        <v>25.79</v>
      </c>
    </row>
    <row r="2775" ht="15.75" customHeight="1" s="2">
      <c r="A2775" s="462" t="inlineStr">
        <is>
          <t>Wage % to Total Receipts</t>
        </is>
      </c>
      <c r="B2775" s="1272" t="n">
        <v>0.3804</v>
      </c>
      <c r="C2775" s="1272" t="n">
        <v>0.3069</v>
      </c>
      <c r="D2775" s="470" t="n">
        <v>0.3508</v>
      </c>
      <c r="E2775" s="1272" t="n">
        <v>0.3487</v>
      </c>
      <c r="F2775" s="1272" t="n">
        <v>0.3064</v>
      </c>
      <c r="G2775" s="863" t="n">
        <v>0.3199</v>
      </c>
      <c r="H2775" s="1272" t="n">
        <v>0.3068</v>
      </c>
      <c r="I2775" s="1301" t="n">
        <v>0.3</v>
      </c>
      <c r="J2775" s="863" t="n">
        <v>0.3145</v>
      </c>
      <c r="K2775" s="1272" t="n">
        <v>0.3199</v>
      </c>
      <c r="L2775" s="1272" t="n">
        <v>0.3038</v>
      </c>
      <c r="M2775" s="863" t="n">
        <v>0.3152</v>
      </c>
      <c r="N2775" s="1272" t="n">
        <v>0.336</v>
      </c>
      <c r="O2775" s="1301" t="n">
        <v>0.2995</v>
      </c>
      <c r="P2775" s="470" t="n">
        <v>0.3363</v>
      </c>
    </row>
    <row r="2776" ht="15.75" customHeight="1" s="2">
      <c r="A2776" s="462" t="inlineStr">
        <is>
          <t>Wage % to Nett Sales</t>
        </is>
      </c>
      <c r="B2776" s="1272" t="n">
        <v>0.4185</v>
      </c>
      <c r="C2776" s="1272" t="n">
        <v>0.3376</v>
      </c>
      <c r="D2776" s="470" t="n">
        <v>0.3858</v>
      </c>
      <c r="E2776" s="1272" t="n">
        <v>0.3837</v>
      </c>
      <c r="F2776" s="1272" t="n">
        <v>0.3371</v>
      </c>
      <c r="G2776" s="863" t="n">
        <v>0.3518</v>
      </c>
      <c r="H2776" s="1272" t="n">
        <v>0.3374</v>
      </c>
      <c r="I2776" s="1301" t="n">
        <v>0.33</v>
      </c>
      <c r="J2776" s="863" t="n">
        <v>0.3459</v>
      </c>
      <c r="K2776" s="1272" t="n">
        <v>0.3519</v>
      </c>
      <c r="L2776" s="1272" t="n">
        <v>0.3342</v>
      </c>
      <c r="M2776" s="863" t="n">
        <v>0.3467</v>
      </c>
      <c r="N2776" s="1272" t="n">
        <v>0.3696</v>
      </c>
      <c r="O2776" s="1301" t="n">
        <v>0.3294</v>
      </c>
      <c r="P2776" s="470" t="n">
        <v>0.3699</v>
      </c>
    </row>
    <row r="2777" ht="15.75" customHeight="1" s="2">
      <c r="A2777" s="462" t="inlineStr">
        <is>
          <t>Productivity</t>
        </is>
      </c>
      <c r="B2777" s="1273" t="n">
        <v>4.19</v>
      </c>
      <c r="C2777" s="1273" t="n">
        <v>5.4</v>
      </c>
      <c r="D2777" s="472" t="n">
        <v>4.59</v>
      </c>
      <c r="E2777" s="1273" t="n">
        <v>4.56</v>
      </c>
      <c r="F2777" s="1273" t="n">
        <v>5.4</v>
      </c>
      <c r="G2777" s="472" t="n">
        <v>5.05</v>
      </c>
      <c r="H2777" s="1273" t="n">
        <v>5.24</v>
      </c>
      <c r="I2777" s="1273" t="n">
        <v>5.4</v>
      </c>
      <c r="J2777" s="472" t="n">
        <v>5.1</v>
      </c>
      <c r="K2777" s="1273" t="n">
        <v>5.59</v>
      </c>
      <c r="L2777" s="1273" t="n">
        <v>5.4</v>
      </c>
      <c r="M2777" s="472" t="n">
        <v>5.14</v>
      </c>
      <c r="N2777" s="1273" t="n">
        <v>5.03</v>
      </c>
      <c r="O2777" s="1273" t="n">
        <v>5.4</v>
      </c>
      <c r="P2777" s="472" t="n">
        <v>5.16</v>
      </c>
    </row>
    <row r="2778" ht="15.75" customHeight="1" s="2">
      <c r="A2778" s="462" t="inlineStr">
        <is>
          <t>Average Hourly Rate</t>
        </is>
      </c>
      <c r="B2778" s="1273" t="n">
        <v>40.73</v>
      </c>
      <c r="C2778" s="1273" t="n">
        <v>40</v>
      </c>
      <c r="D2778" s="1628" t="n">
        <v>39.42</v>
      </c>
      <c r="E2778" s="1273" t="n">
        <v>38.58</v>
      </c>
      <c r="F2778" s="1273" t="n">
        <v>40</v>
      </c>
      <c r="G2778" s="1649" t="n">
        <v>39.7</v>
      </c>
      <c r="H2778" s="1273" t="n">
        <v>38.7</v>
      </c>
      <c r="I2778" s="1273" t="n">
        <v>40</v>
      </c>
      <c r="J2778" s="1649" t="n">
        <v>39.27</v>
      </c>
      <c r="K2778" s="1273" t="n">
        <v>44.79</v>
      </c>
      <c r="L2778" s="1273" t="n">
        <v>40</v>
      </c>
      <c r="M2778" s="1649" t="n">
        <v>39.8</v>
      </c>
      <c r="N2778" s="1273" t="n">
        <v>39.99</v>
      </c>
      <c r="O2778" s="1273" t="n">
        <v>46</v>
      </c>
      <c r="P2778" s="1628" t="n">
        <v>44.74</v>
      </c>
    </row>
    <row r="2779" ht="15.75" customHeight="1" s="2">
      <c r="A2779" s="462" t="inlineStr">
        <is>
          <t>Total hours for productivity</t>
        </is>
      </c>
      <c r="B2779" s="1273" t="n">
        <v>1104.5</v>
      </c>
      <c r="C2779" s="1273" t="n">
        <v>1039</v>
      </c>
      <c r="D2779" s="466" t="n">
        <v>1066.25</v>
      </c>
      <c r="E2779" s="1273" t="n">
        <v>1127</v>
      </c>
      <c r="F2779" s="1273" t="n">
        <v>1049.5</v>
      </c>
      <c r="G2779" s="466" t="n">
        <v>1077</v>
      </c>
      <c r="H2779" s="1273" t="n">
        <v>1212</v>
      </c>
      <c r="I2779" s="1273" t="n">
        <v>1095.5</v>
      </c>
      <c r="J2779" s="472" t="n">
        <v>1085.75</v>
      </c>
      <c r="K2779" s="1273" t="n">
        <v>1463</v>
      </c>
      <c r="L2779" s="1273" t="n">
        <v>1183</v>
      </c>
      <c r="M2779" s="466" t="n">
        <v>1163.75</v>
      </c>
      <c r="N2779" s="1273" t="n">
        <v>1258.5</v>
      </c>
      <c r="O2779" s="1273" t="n">
        <v>1397.5</v>
      </c>
      <c r="P2779" s="466" t="n">
        <v>1374.75</v>
      </c>
    </row>
    <row r="2780" ht="15.75" customHeight="1" s="2">
      <c r="A2780" s="462" t="inlineStr">
        <is>
          <t>Training Hours used</t>
        </is>
      </c>
      <c r="B2780" s="1274" t="n">
        <v>85</v>
      </c>
      <c r="C2780" s="1274" t="n"/>
      <c r="D2780" s="466" t="n">
        <v>44</v>
      </c>
      <c r="E2780" s="1274" t="n"/>
      <c r="F2780" s="1274" t="n"/>
      <c r="G2780" s="466" t="n">
        <v>52</v>
      </c>
      <c r="H2780" s="1274" t="n"/>
      <c r="I2780" s="1274" t="n"/>
      <c r="J2780" s="466" t="n"/>
      <c r="K2780" s="1274" t="n"/>
      <c r="L2780" s="1274" t="n"/>
      <c r="M2780" s="466" t="n">
        <v>10</v>
      </c>
      <c r="N2780" s="1274" t="n">
        <v>12</v>
      </c>
      <c r="O2780" s="1274" t="n"/>
      <c r="P2780" s="466" t="n"/>
    </row>
    <row r="2781" ht="15.75" customHeight="1" s="2" thickBot="1">
      <c r="A2781" s="474" t="inlineStr">
        <is>
          <t>Number of hours used to cover sick leave</t>
        </is>
      </c>
      <c r="B2781" s="1282" t="n"/>
      <c r="C2781" s="1282" t="n"/>
      <c r="D2781" s="476" t="n">
        <v>5.5</v>
      </c>
      <c r="E2781" s="1282" t="n"/>
      <c r="F2781" s="1282" t="n"/>
      <c r="G2781" s="476" t="n">
        <v>4.5</v>
      </c>
      <c r="H2781" s="1282" t="n"/>
      <c r="I2781" s="1282" t="n"/>
      <c r="J2781" s="476" t="n">
        <v>8</v>
      </c>
      <c r="K2781" s="1282" t="n"/>
      <c r="L2781" s="1282" t="n"/>
      <c r="M2781" s="476" t="n">
        <v>18</v>
      </c>
      <c r="N2781" s="1282" t="n"/>
      <c r="O2781" s="1282" t="n"/>
      <c r="P2781" s="476" t="n"/>
    </row>
    <row r="2782" ht="15.75" customHeight="1" s="2" thickBot="1">
      <c r="A2782" s="477" t="inlineStr">
        <is>
          <t xml:space="preserve">Minimum Hours </t>
        </is>
      </c>
      <c r="B2782" s="1171" t="n"/>
      <c r="C2782" s="816" t="inlineStr">
        <is>
          <t>Projected</t>
        </is>
      </c>
      <c r="D2782" s="935" t="inlineStr">
        <is>
          <t>Min Hrs</t>
        </is>
      </c>
      <c r="E2782" s="1171" t="n"/>
      <c r="F2782" s="816" t="inlineStr">
        <is>
          <t>Projected</t>
        </is>
      </c>
      <c r="G2782" s="935" t="inlineStr">
        <is>
          <t>Min Hrs</t>
        </is>
      </c>
      <c r="H2782" s="935" t="n"/>
      <c r="I2782" s="816" t="inlineStr">
        <is>
          <t>Projected</t>
        </is>
      </c>
      <c r="J2782" s="935" t="inlineStr">
        <is>
          <t>Min Hrs</t>
        </is>
      </c>
      <c r="K2782" s="935" t="n"/>
      <c r="L2782" s="816" t="inlineStr">
        <is>
          <t>Projected</t>
        </is>
      </c>
      <c r="M2782" s="935" t="inlineStr">
        <is>
          <t>Min Hrs</t>
        </is>
      </c>
      <c r="N2782" s="1171" t="n"/>
      <c r="O2782" s="816" t="inlineStr">
        <is>
          <t>Projected</t>
        </is>
      </c>
      <c r="P2782" s="935" t="inlineStr">
        <is>
          <t>Min Hrs</t>
        </is>
      </c>
    </row>
    <row r="2783" ht="15.75" customHeight="1" s="2">
      <c r="A2783" s="479" t="inlineStr">
        <is>
          <t>Floor</t>
        </is>
      </c>
      <c r="B2783" s="1172" t="n"/>
      <c r="C2783" s="810" t="n">
        <v>534</v>
      </c>
      <c r="D2783" s="811" t="n">
        <v>538</v>
      </c>
      <c r="E2783" s="1172" t="n"/>
      <c r="F2783" s="810" t="n">
        <v>549.5</v>
      </c>
      <c r="G2783" s="811" t="n">
        <v>538</v>
      </c>
      <c r="H2783" s="810" t="n"/>
      <c r="I2783" s="810" t="n">
        <v>565</v>
      </c>
      <c r="J2783" s="811" t="n">
        <v>508</v>
      </c>
      <c r="K2783" s="810" t="n"/>
      <c r="L2783" s="810" t="n">
        <v>620.5</v>
      </c>
      <c r="M2783" s="811" t="n">
        <v>508</v>
      </c>
      <c r="N2783" s="1172" t="n"/>
      <c r="O2783" s="810" t="n">
        <v>740</v>
      </c>
      <c r="P2783" s="811" t="n">
        <v>484</v>
      </c>
    </row>
    <row r="2784" ht="15.75" customHeight="1" s="2" thickBot="1">
      <c r="A2784" s="481" t="inlineStr">
        <is>
          <t>Kitchen</t>
        </is>
      </c>
      <c r="B2784" s="1173" t="n"/>
      <c r="C2784" s="813" t="n">
        <v>505</v>
      </c>
      <c r="D2784" s="814" t="n">
        <v>471</v>
      </c>
      <c r="E2784" s="1173" t="n"/>
      <c r="F2784" s="840" t="n">
        <v>500</v>
      </c>
      <c r="G2784" s="814" t="n">
        <v>491</v>
      </c>
      <c r="H2784" s="813" t="n"/>
      <c r="I2784" s="840" t="n">
        <v>530.5</v>
      </c>
      <c r="J2784" s="814" t="n">
        <v>491</v>
      </c>
      <c r="K2784" s="813" t="n"/>
      <c r="L2784" s="840" t="n">
        <v>562.5</v>
      </c>
      <c r="M2784" s="814" t="n">
        <v>491</v>
      </c>
      <c r="N2784" s="1173" t="n"/>
      <c r="O2784" s="813" t="n">
        <v>657.5</v>
      </c>
      <c r="P2784" s="814" t="n">
        <v>491</v>
      </c>
    </row>
    <row r="2785" ht="15.75" customHeight="1" s="2" thickBot="1">
      <c r="A2785" s="834" t="n"/>
      <c r="B2785" s="836" t="n"/>
      <c r="C2785" s="1220" t="n"/>
      <c r="D2785" s="1220" t="n"/>
      <c r="E2785" s="839" t="n"/>
      <c r="F2785" s="1220" t="n"/>
      <c r="G2785" s="1220" t="n"/>
      <c r="H2785" s="839" t="n"/>
      <c r="I2785" s="1220" t="n"/>
      <c r="J2785" s="1220" t="n"/>
      <c r="K2785" s="839" t="n"/>
      <c r="L2785" s="1220" t="n"/>
      <c r="M2785" s="1220" t="n"/>
      <c r="N2785" s="839" t="n"/>
      <c r="O2785" s="835" t="n"/>
      <c r="P2785" s="835" t="n"/>
    </row>
    <row r="2786" ht="15.75" customHeight="1" s="2">
      <c r="A2786" s="506" t="inlineStr">
        <is>
          <t>Training explanation</t>
        </is>
      </c>
      <c r="B2786" s="837" t="n"/>
      <c r="C2786" s="1220" t="n"/>
      <c r="D2786" s="1220" t="n"/>
      <c r="E2786" s="837" t="n"/>
      <c r="F2786" s="1220" t="n"/>
      <c r="G2786" s="1220" t="n"/>
      <c r="H2786" s="837" t="n"/>
      <c r="I2786" s="1220" t="n"/>
      <c r="J2786" s="1220" t="n"/>
      <c r="K2786" s="837" t="n"/>
      <c r="L2786" s="1220" t="n"/>
      <c r="M2786" s="1220" t="n"/>
      <c r="N2786" s="837" t="n"/>
      <c r="O2786" s="835" t="n"/>
      <c r="P2786" s="835" t="n"/>
    </row>
    <row r="2787" ht="15.75" customHeight="1" s="2" thickBot="1">
      <c r="A2787" s="506" t="inlineStr">
        <is>
          <t>Who is being Trained</t>
        </is>
      </c>
      <c r="B2787" s="838" t="n"/>
      <c r="C2787" s="1221" t="n"/>
      <c r="D2787" s="1221" t="n"/>
      <c r="E2787" s="838" t="n"/>
      <c r="F2787" s="1221" t="n"/>
      <c r="G2787" s="1221" t="n"/>
      <c r="H2787" s="838" t="n"/>
      <c r="I2787" s="1221" t="n"/>
      <c r="J2787" s="1221" t="n"/>
      <c r="K2787" s="838" t="n"/>
      <c r="L2787" s="1221" t="n"/>
      <c r="M2787" s="1221" t="n"/>
      <c r="N2787" s="838" t="n"/>
    </row>
    <row r="2788" ht="15.75" customHeight="1" s="2" thickBot="1">
      <c r="A2788" s="506" t="n"/>
      <c r="C2788" s="523" t="inlineStr">
        <is>
          <t>floor</t>
        </is>
      </c>
      <c r="D2788" s="524" t="inlineStr">
        <is>
          <t>kitchen</t>
        </is>
      </c>
      <c r="E2788" s="509" t="n"/>
      <c r="F2788" s="507" t="inlineStr">
        <is>
          <t>floor</t>
        </is>
      </c>
      <c r="G2788" s="508" t="inlineStr">
        <is>
          <t>kitchen</t>
        </is>
      </c>
      <c r="H2788" s="510" t="n"/>
      <c r="I2788" s="535" t="inlineStr">
        <is>
          <t>floor</t>
        </is>
      </c>
      <c r="J2788" s="511" t="inlineStr">
        <is>
          <t>kitchen</t>
        </is>
      </c>
      <c r="K2788" s="512" t="n"/>
      <c r="L2788" s="535" t="inlineStr">
        <is>
          <t>floor</t>
        </is>
      </c>
      <c r="M2788" s="513" t="inlineStr">
        <is>
          <t>kitchen</t>
        </is>
      </c>
      <c r="N2788" s="512" t="n"/>
      <c r="O2788" s="535" t="inlineStr">
        <is>
          <t>floor</t>
        </is>
      </c>
      <c r="P2788" s="513" t="inlineStr">
        <is>
          <t>kitchen</t>
        </is>
      </c>
    </row>
    <row r="2789" ht="15.75" customHeight="1" s="2">
      <c r="A2789" s="506" t="n"/>
      <c r="C2789" s="525" t="n"/>
      <c r="D2789" s="527" t="n"/>
      <c r="E2789" s="514" t="n"/>
      <c r="F2789" s="525" t="n"/>
      <c r="G2789" s="527" t="n"/>
      <c r="H2789" s="515" t="n"/>
      <c r="I2789" s="531" t="n"/>
      <c r="J2789" s="824" t="n"/>
      <c r="K2789" s="515" t="n"/>
      <c r="L2789" s="536" t="n"/>
      <c r="M2789" s="532" t="inlineStr">
        <is>
          <t xml:space="preserve"> Riasatul-creping-10hrs</t>
        </is>
      </c>
      <c r="N2789" s="515" t="n"/>
      <c r="O2789" s="536" t="n"/>
      <c r="P2789" s="532" t="n"/>
    </row>
    <row r="2790" ht="15.75" customHeight="1" s="2">
      <c r="C2790" s="891" t="n"/>
      <c r="D2790" s="526" t="n"/>
      <c r="E2790" s="514" t="n"/>
      <c r="F2790" s="891" t="n"/>
      <c r="G2790" s="526" t="n"/>
      <c r="H2790" s="516" t="n"/>
      <c r="I2790" s="1656" t="n"/>
      <c r="J2790" s="530" t="n"/>
      <c r="K2790" s="516" t="n"/>
      <c r="L2790" s="542" t="n"/>
      <c r="M2790" s="530" t="n"/>
      <c r="N2790" s="516" t="n"/>
      <c r="O2790" s="542" t="n"/>
      <c r="P2790" s="530" t="n"/>
    </row>
    <row r="2791" ht="15.75" customHeight="1" s="2">
      <c r="C2791" s="550" t="n"/>
      <c r="D2791" s="527" t="n"/>
      <c r="E2791" s="514" t="n"/>
      <c r="F2791" s="531" t="n"/>
      <c r="G2791" s="530" t="n"/>
      <c r="H2791" s="516" t="n"/>
      <c r="I2791" s="537" t="n"/>
      <c r="J2791" s="530" t="n"/>
      <c r="K2791" s="516" t="n"/>
      <c r="L2791" s="1657" t="n"/>
      <c r="M2791" s="539" t="n"/>
      <c r="N2791" s="516" t="n"/>
      <c r="O2791" s="542" t="n"/>
      <c r="P2791" s="539" t="n"/>
    </row>
    <row r="2792" ht="15.75" customHeight="1" s="2">
      <c r="C2792" s="561" t="n"/>
      <c r="D2792" s="561" t="n"/>
      <c r="E2792" s="519" t="n"/>
      <c r="F2792" s="517" t="n"/>
      <c r="G2792" s="1659" t="n"/>
      <c r="H2792" s="516" t="n"/>
      <c r="I2792" s="537" t="n"/>
      <c r="J2792" s="530" t="n"/>
      <c r="K2792" s="516" t="n"/>
      <c r="L2792" s="537" t="n"/>
      <c r="M2792" s="539" t="n"/>
      <c r="N2792" s="516" t="n"/>
      <c r="O2792" s="537" t="n"/>
      <c r="P2792" s="539" t="n"/>
    </row>
    <row r="2793" ht="15.75" customHeight="1" s="2">
      <c r="C2793" s="551" t="n"/>
      <c r="D2793" s="528" t="n"/>
      <c r="E2793" s="519" t="n"/>
      <c r="F2793" s="517" t="n"/>
      <c r="G2793" s="518" t="n"/>
      <c r="H2793" s="516" t="n"/>
      <c r="I2793" s="537" t="n"/>
      <c r="J2793" s="533" t="n"/>
      <c r="K2793" s="516" t="n"/>
      <c r="L2793" s="537" t="n"/>
      <c r="M2793" s="540" t="n"/>
      <c r="N2793" s="516" t="n"/>
      <c r="O2793" s="537" t="n"/>
      <c r="P2793" s="540" t="n"/>
    </row>
    <row r="2797" ht="15.75" customHeight="1" s="2" thickBot="1"/>
    <row r="2798" ht="15.75" customHeight="1" s="2" thickBot="1">
      <c r="B2798" s="1482" t="n"/>
      <c r="C2798" s="1483" t="inlineStr">
        <is>
          <t>14.10.2024</t>
        </is>
      </c>
      <c r="D2798" s="1484" t="n"/>
      <c r="E2798" s="1485" t="n"/>
      <c r="F2798" s="1486" t="inlineStr">
        <is>
          <t>21.10.2024</t>
        </is>
      </c>
      <c r="G2798" s="1487" t="n"/>
      <c r="H2798" s="1485" t="n"/>
      <c r="I2798" s="1486" t="inlineStr">
        <is>
          <t>28.10.2024</t>
        </is>
      </c>
      <c r="J2798" s="1487" t="n"/>
      <c r="K2798" s="1485" t="n"/>
      <c r="L2798" s="1486" t="inlineStr">
        <is>
          <t>04.11.2024</t>
        </is>
      </c>
      <c r="M2798" s="1487" t="n"/>
      <c r="N2798" s="1488" t="n"/>
      <c r="O2798" s="1489" t="inlineStr">
        <is>
          <t>11.11.2024</t>
        </is>
      </c>
      <c r="P2798" s="1490" t="n"/>
    </row>
    <row r="2799" ht="15.75" customHeight="1" s="2" thickBot="1">
      <c r="A2799" s="455" t="n"/>
      <c r="B2799" s="1217" t="inlineStr">
        <is>
          <t>LAST YEAR</t>
        </is>
      </c>
      <c r="C2799" s="1219" t="inlineStr">
        <is>
          <t>Projected</t>
        </is>
      </c>
      <c r="D2799" s="1218" t="inlineStr">
        <is>
          <t>Actual</t>
        </is>
      </c>
      <c r="E2799" s="1217" t="inlineStr">
        <is>
          <t>LAST YEAR</t>
        </is>
      </c>
      <c r="F2799" s="1219" t="inlineStr">
        <is>
          <t>Projected</t>
        </is>
      </c>
      <c r="G2799" s="1218" t="inlineStr">
        <is>
          <t>Actual</t>
        </is>
      </c>
      <c r="H2799" s="1217" t="inlineStr">
        <is>
          <t>LAST YEAR</t>
        </is>
      </c>
      <c r="I2799" s="1219" t="inlineStr">
        <is>
          <t>Projected</t>
        </is>
      </c>
      <c r="J2799" s="1218" t="inlineStr">
        <is>
          <t>Actual</t>
        </is>
      </c>
      <c r="K2799" s="1217" t="inlineStr">
        <is>
          <t>LAST YEAR</t>
        </is>
      </c>
      <c r="L2799" s="1219" t="inlineStr">
        <is>
          <t>Projected</t>
        </is>
      </c>
      <c r="M2799" s="1218" t="inlineStr">
        <is>
          <t>Actual</t>
        </is>
      </c>
      <c r="N2799" s="1217" t="inlineStr">
        <is>
          <t>LAST YEAR</t>
        </is>
      </c>
      <c r="O2799" s="1219" t="inlineStr">
        <is>
          <t>Projected</t>
        </is>
      </c>
      <c r="P2799" s="1218" t="inlineStr">
        <is>
          <t>Actual</t>
        </is>
      </c>
    </row>
    <row r="2800" ht="15.75" customHeight="1" s="2">
      <c r="A2800" s="459" t="inlineStr">
        <is>
          <t>Total Receipts</t>
        </is>
      </c>
      <c r="B2800" s="1672" t="n">
        <v>98330</v>
      </c>
      <c r="C2800" s="1672" t="n">
        <v>156243</v>
      </c>
      <c r="D2800" s="1622" t="n">
        <v>138575.98</v>
      </c>
      <c r="E2800" s="1672" t="n">
        <v>139873.86</v>
      </c>
      <c r="F2800" s="1672" t="n">
        <v>133334</v>
      </c>
      <c r="G2800" s="1645" t="n">
        <v>121933.37</v>
      </c>
      <c r="H2800" s="1672" t="n">
        <v>122578.79</v>
      </c>
      <c r="I2800" s="1688" t="n">
        <v>128735</v>
      </c>
      <c r="J2800" s="1645" t="n">
        <v>146912.96</v>
      </c>
      <c r="K2800" s="1672" t="n">
        <v>124905.78</v>
      </c>
      <c r="L2800" s="1672" t="n">
        <v>126823</v>
      </c>
      <c r="M2800" s="1645" t="n">
        <v>168520.42</v>
      </c>
      <c r="N2800" s="1672" t="n">
        <v>131832.54</v>
      </c>
      <c r="O2800" s="1688" t="n">
        <v>129910</v>
      </c>
      <c r="P2800" s="1622" t="n">
        <v>147505.67</v>
      </c>
    </row>
    <row r="2801" ht="15.75" customHeight="1" s="2">
      <c r="A2801" s="462" t="inlineStr">
        <is>
          <t>Nett Sales</t>
        </is>
      </c>
      <c r="B2801" s="1677" t="n">
        <v>89390</v>
      </c>
      <c r="C2801" s="1677" t="n">
        <v>142039</v>
      </c>
      <c r="D2801" s="1625" t="n">
        <v>125978.16</v>
      </c>
      <c r="E2801" s="1677" t="n">
        <v>127158.05</v>
      </c>
      <c r="F2801" s="1677" t="n">
        <v>121212.7</v>
      </c>
      <c r="G2801" s="1637" t="n">
        <v>110848.52</v>
      </c>
      <c r="H2801" s="1677" t="n">
        <v>111435.26</v>
      </c>
      <c r="I2801" s="1677" t="n">
        <v>117031.8</v>
      </c>
      <c r="J2801" s="1625" t="n">
        <v>133557.24</v>
      </c>
      <c r="K2801" s="1677" t="n">
        <v>113550.71</v>
      </c>
      <c r="L2801" s="1677" t="n">
        <v>115293</v>
      </c>
      <c r="M2801" s="1625" t="n">
        <v>153200.38</v>
      </c>
      <c r="N2801" s="1677" t="n">
        <v>119847.76</v>
      </c>
      <c r="O2801" s="1677" t="n">
        <v>118100</v>
      </c>
      <c r="P2801" s="1625" t="n">
        <v>134096.06</v>
      </c>
    </row>
    <row r="2802" ht="15.75" customHeight="1" s="2">
      <c r="A2802" s="462" t="inlineStr">
        <is>
          <t>Customers</t>
        </is>
      </c>
      <c r="B2802" s="1270" t="n">
        <v>4057</v>
      </c>
      <c r="C2802" s="1270" t="n">
        <v>6420</v>
      </c>
      <c r="D2802" s="466" t="n">
        <v>5782</v>
      </c>
      <c r="E2802" s="1270" t="n">
        <v>5873</v>
      </c>
      <c r="F2802" s="1270" t="n">
        <v>5480</v>
      </c>
      <c r="G2802" s="466" t="n">
        <v>4937</v>
      </c>
      <c r="H2802" s="1270" t="n">
        <v>5247</v>
      </c>
      <c r="I2802" s="1270" t="n">
        <v>5270</v>
      </c>
      <c r="J2802" s="466" t="n">
        <v>5866</v>
      </c>
      <c r="K2802" s="1270" t="n">
        <v>5180</v>
      </c>
      <c r="L2802" s="1270" t="n">
        <v>5195</v>
      </c>
      <c r="M2802" s="466" t="n">
        <v>6454</v>
      </c>
      <c r="N2802" s="1270" t="n">
        <v>5052</v>
      </c>
      <c r="O2802" s="1270" t="n">
        <v>5250</v>
      </c>
      <c r="P2802" s="1655" t="n">
        <v>5486</v>
      </c>
    </row>
    <row r="2803" ht="15.75" customHeight="1" s="2">
      <c r="A2803" s="462" t="inlineStr">
        <is>
          <t>Average Customer Spend</t>
        </is>
      </c>
      <c r="B2803" s="1682" t="n">
        <v>24.35</v>
      </c>
      <c r="C2803" s="1682" t="n">
        <v>24.34</v>
      </c>
      <c r="D2803" s="1628" t="n">
        <v>23.96</v>
      </c>
      <c r="E2803" s="1682" t="n">
        <v>23.81</v>
      </c>
      <c r="F2803" s="1682" t="n">
        <v>24.33</v>
      </c>
      <c r="G2803" s="1649" t="n">
        <v>24.69</v>
      </c>
      <c r="H2803" s="1682" t="n">
        <v>23.36</v>
      </c>
      <c r="I2803" s="1689" t="n">
        <v>24.43</v>
      </c>
      <c r="J2803" s="1649" t="n">
        <v>25.04</v>
      </c>
      <c r="K2803" s="1682" t="n">
        <v>24.11</v>
      </c>
      <c r="L2803" s="1682" t="n">
        <v>24.41</v>
      </c>
      <c r="M2803" s="1649" t="n">
        <v>26.11</v>
      </c>
      <c r="N2803" s="1682" t="n">
        <v>26.09</v>
      </c>
      <c r="O2803" s="1689" t="n">
        <v>24.74</v>
      </c>
      <c r="P2803" s="1628" t="n">
        <v>26.91</v>
      </c>
    </row>
    <row r="2804" ht="15.75" customHeight="1" s="2">
      <c r="A2804" s="462" t="inlineStr">
        <is>
          <t>Wage % to Total Receipts</t>
        </is>
      </c>
      <c r="B2804" s="1272" t="n">
        <v>0.4366</v>
      </c>
      <c r="C2804" s="1272" t="n">
        <v>0.3044</v>
      </c>
      <c r="D2804" s="470" t="n">
        <v>0.3306</v>
      </c>
      <c r="E2804" s="1272" t="n">
        <v>0.3252</v>
      </c>
      <c r="F2804" s="1272" t="n">
        <v>0.3044</v>
      </c>
      <c r="G2804" s="863" t="n">
        <v>0.3524</v>
      </c>
      <c r="H2804" s="1272" t="n">
        <v>0.3477</v>
      </c>
      <c r="I2804" s="1301" t="n">
        <v>0.3032</v>
      </c>
      <c r="J2804" s="863" t="n">
        <v>0.2911</v>
      </c>
      <c r="K2804" s="1272" t="n">
        <v>0.3374</v>
      </c>
      <c r="L2804" s="1272" t="n">
        <v>0.3034</v>
      </c>
      <c r="M2804" s="863" t="n">
        <v>0.2567</v>
      </c>
      <c r="N2804" s="1272" t="n">
        <v>0.3289</v>
      </c>
      <c r="O2804" s="1301" t="n">
        <v>0.2994</v>
      </c>
      <c r="P2804" s="470" t="n">
        <v>0.2782</v>
      </c>
    </row>
    <row r="2805" ht="15.75" customHeight="1" s="2">
      <c r="A2805" s="462" t="inlineStr">
        <is>
          <t>Wage % to Nett Sales</t>
        </is>
      </c>
      <c r="B2805" s="1272" t="n">
        <v>0.4802</v>
      </c>
      <c r="C2805" s="1272" t="n">
        <v>0.3348</v>
      </c>
      <c r="D2805" s="470" t="n">
        <v>0.3636</v>
      </c>
      <c r="E2805" s="1272" t="n">
        <v>0.3577</v>
      </c>
      <c r="F2805" s="1272" t="n">
        <v>0.3349</v>
      </c>
      <c r="G2805" s="863" t="n">
        <v>0.3876</v>
      </c>
      <c r="H2805" s="1272" t="n">
        <v>0.3825</v>
      </c>
      <c r="I2805" s="1301" t="n">
        <v>0.3336</v>
      </c>
      <c r="J2805" s="863" t="n">
        <v>0.3202</v>
      </c>
      <c r="K2805" s="1272" t="n">
        <v>0.3711</v>
      </c>
      <c r="L2805" s="1272" t="n">
        <v>0.3338</v>
      </c>
      <c r="M2805" s="863" t="n">
        <v>0.2824</v>
      </c>
      <c r="N2805" s="1272" t="n">
        <v>0.3618</v>
      </c>
      <c r="O2805" s="1301" t="n">
        <v>0.3293</v>
      </c>
      <c r="P2805" s="470" t="n">
        <v>0.306</v>
      </c>
    </row>
    <row r="2806" ht="15.75" customHeight="1" s="2">
      <c r="A2806" s="462" t="inlineStr">
        <is>
          <t>Productivity</t>
        </is>
      </c>
      <c r="B2806" s="1273" t="n">
        <v>3.8</v>
      </c>
      <c r="C2806" s="1273" t="n">
        <v>5.4</v>
      </c>
      <c r="D2806" s="472" t="n">
        <v>5.06</v>
      </c>
      <c r="E2806" s="1273" t="n">
        <v>5.42</v>
      </c>
      <c r="F2806" s="1273" t="n">
        <v>5.4</v>
      </c>
      <c r="G2806" s="472" t="n">
        <v>4.78</v>
      </c>
      <c r="H2806" s="1273" t="n">
        <v>4.95</v>
      </c>
      <c r="I2806" s="1273" t="n">
        <v>5.4</v>
      </c>
      <c r="J2806" s="472" t="n">
        <v>5.7</v>
      </c>
      <c r="K2806" s="1273" t="n">
        <v>4.82</v>
      </c>
      <c r="L2806" s="1273" t="n">
        <v>5.4</v>
      </c>
      <c r="M2806" s="472" t="n">
        <v>6.16</v>
      </c>
      <c r="N2806" s="1273" t="n">
        <v>4.73</v>
      </c>
      <c r="O2806" s="1273" t="n">
        <v>5.4</v>
      </c>
      <c r="P2806" s="472" t="n">
        <v>5.4</v>
      </c>
    </row>
    <row r="2807" ht="15.75" customHeight="1" s="2">
      <c r="A2807" s="462" t="inlineStr">
        <is>
          <t>Average Hourly Rate</t>
        </is>
      </c>
      <c r="B2807" s="1273" t="n">
        <v>40.18</v>
      </c>
      <c r="C2807" s="1273" t="n">
        <v>40</v>
      </c>
      <c r="D2807" s="1628" t="n">
        <v>40.11</v>
      </c>
      <c r="E2807" s="1273" t="n">
        <v>41.95</v>
      </c>
      <c r="F2807" s="1273" t="n">
        <v>40</v>
      </c>
      <c r="G2807" s="1649" t="n">
        <v>41.57</v>
      </c>
      <c r="H2807" s="1273" t="n">
        <v>40.22</v>
      </c>
      <c r="I2807" s="1273" t="n">
        <v>40</v>
      </c>
      <c r="J2807" s="1649" t="n">
        <v>41.54</v>
      </c>
      <c r="K2807" s="1273" t="n">
        <v>39.2</v>
      </c>
      <c r="L2807" s="1273" t="n">
        <v>40</v>
      </c>
      <c r="M2807" s="1649" t="n">
        <v>41.29</v>
      </c>
      <c r="N2807" s="1273" t="n">
        <v>40.57</v>
      </c>
      <c r="O2807" s="1273" t="n">
        <v>40</v>
      </c>
      <c r="P2807" s="1628" t="n">
        <v>40.36</v>
      </c>
    </row>
    <row r="2808" ht="15.75" customHeight="1" s="2">
      <c r="A2808" s="462" t="inlineStr">
        <is>
          <t>Total hours for productivity</t>
        </is>
      </c>
      <c r="B2808" s="1273" t="n">
        <v>1068.5</v>
      </c>
      <c r="C2808" s="1273" t="n">
        <v>1194.5</v>
      </c>
      <c r="D2808" s="466" t="n">
        <v>1142</v>
      </c>
      <c r="E2808" s="1273" t="n">
        <v>1084.75</v>
      </c>
      <c r="F2808" s="1273" t="n">
        <v>1041</v>
      </c>
      <c r="G2808" s="466" t="n">
        <v>1033.75</v>
      </c>
      <c r="H2808" s="1273" t="n">
        <v>1059.75</v>
      </c>
      <c r="I2808" s="1273" t="n">
        <v>1031</v>
      </c>
      <c r="J2808" s="472" t="n">
        <v>1029.75</v>
      </c>
      <c r="K2808" s="1273" t="n">
        <v>1075</v>
      </c>
      <c r="L2808" s="1273" t="n">
        <v>1012.5</v>
      </c>
      <c r="M2808" s="466" t="n">
        <v>1047.75</v>
      </c>
      <c r="N2808" s="1273" t="n">
        <v>1068.75</v>
      </c>
      <c r="O2808" s="1273" t="n">
        <v>1028.5</v>
      </c>
      <c r="P2808" s="466" t="n">
        <v>1016.75</v>
      </c>
    </row>
    <row r="2809" ht="15.75" customHeight="1" s="2">
      <c r="A2809" s="462" t="inlineStr">
        <is>
          <t>Training Hours used</t>
        </is>
      </c>
      <c r="B2809" s="1274" t="n"/>
      <c r="C2809" s="1274" t="n"/>
      <c r="D2809" s="466" t="n">
        <v>15</v>
      </c>
      <c r="E2809" s="1274" t="n"/>
      <c r="F2809" s="1274" t="n"/>
      <c r="G2809" s="466" t="n">
        <v>30</v>
      </c>
      <c r="H2809" s="1274" t="n"/>
      <c r="I2809" s="1274" t="n"/>
      <c r="J2809" s="466" t="n"/>
      <c r="K2809" s="1274" t="n"/>
      <c r="L2809" s="1274" t="n"/>
      <c r="M2809" s="466" t="n"/>
      <c r="N2809" s="1274" t="n"/>
      <c r="O2809" s="1274" t="n"/>
      <c r="P2809" s="466" t="n"/>
    </row>
    <row r="2810" ht="15.75" customHeight="1" s="2" thickBot="1">
      <c r="A2810" s="474" t="inlineStr">
        <is>
          <t>Number of hours used to cover sick leave</t>
        </is>
      </c>
      <c r="B2810" s="570" t="n"/>
      <c r="C2810" s="1229" t="n"/>
      <c r="D2810" s="476" t="n"/>
      <c r="E2810" s="1282" t="n"/>
      <c r="F2810" s="1282" t="n"/>
      <c r="G2810" s="476" t="n"/>
      <c r="H2810" s="1282" t="n"/>
      <c r="I2810" s="1282" t="n">
        <v>29</v>
      </c>
      <c r="J2810" s="476" t="n"/>
      <c r="K2810" s="1282" t="n"/>
      <c r="L2810" s="1282" t="n"/>
      <c r="M2810" s="476" t="n">
        <v>13.5</v>
      </c>
      <c r="N2810" s="1282" t="n"/>
      <c r="O2810" s="1282" t="n"/>
      <c r="P2810" s="476" t="n"/>
    </row>
    <row r="2811" ht="15.75" customHeight="1" s="2" thickBot="1">
      <c r="A2811" s="477" t="inlineStr">
        <is>
          <t xml:space="preserve">Minimum Hours </t>
        </is>
      </c>
      <c r="B2811" s="1171" t="n"/>
      <c r="C2811" s="816" t="inlineStr">
        <is>
          <t>Projected</t>
        </is>
      </c>
      <c r="D2811" s="935" t="inlineStr">
        <is>
          <t>Min Hrs</t>
        </is>
      </c>
      <c r="E2811" s="1171" t="n"/>
      <c r="F2811" s="816" t="inlineStr">
        <is>
          <t>Projected</t>
        </is>
      </c>
      <c r="G2811" s="935" t="inlineStr">
        <is>
          <t>Min Hrs</t>
        </is>
      </c>
      <c r="H2811" s="935" t="n"/>
      <c r="I2811" s="816" t="inlineStr">
        <is>
          <t>Projected</t>
        </is>
      </c>
      <c r="J2811" s="935" t="inlineStr">
        <is>
          <t>Min Hrs</t>
        </is>
      </c>
      <c r="K2811" s="935" t="n"/>
      <c r="L2811" s="816" t="inlineStr">
        <is>
          <t>Projected</t>
        </is>
      </c>
      <c r="M2811" s="935" t="inlineStr">
        <is>
          <t>Min Hrs</t>
        </is>
      </c>
      <c r="N2811" s="1171" t="n"/>
      <c r="O2811" s="816" t="inlineStr">
        <is>
          <t>Projected</t>
        </is>
      </c>
      <c r="P2811" s="935" t="inlineStr">
        <is>
          <t>Min Hrs</t>
        </is>
      </c>
    </row>
    <row r="2812" ht="15.75" customHeight="1" s="2">
      <c r="A2812" s="479" t="inlineStr">
        <is>
          <t>Floor</t>
        </is>
      </c>
      <c r="B2812" s="1172" t="n"/>
      <c r="C2812" s="810" t="n">
        <v>618.5</v>
      </c>
      <c r="D2812" s="811" t="n">
        <v>484</v>
      </c>
      <c r="E2812" s="1172" t="n"/>
      <c r="F2812" s="810" t="n">
        <v>551.5</v>
      </c>
      <c r="G2812" s="811" t="n">
        <v>522</v>
      </c>
      <c r="H2812" s="810" t="n"/>
      <c r="I2812" s="810" t="n">
        <v>545.5</v>
      </c>
      <c r="J2812" s="811" t="n">
        <v>550</v>
      </c>
      <c r="K2812" s="810" t="n"/>
      <c r="L2812" s="810" t="n">
        <v>543.5</v>
      </c>
      <c r="M2812" s="811" t="n">
        <v>484</v>
      </c>
      <c r="N2812" s="1172" t="n"/>
      <c r="O2812" s="810" t="n">
        <v>459</v>
      </c>
      <c r="P2812" s="811" t="n">
        <v>560</v>
      </c>
    </row>
    <row r="2813" ht="15.75" customHeight="1" s="2" thickBot="1">
      <c r="A2813" s="481" t="inlineStr">
        <is>
          <t>Kitchen</t>
        </is>
      </c>
      <c r="B2813" s="1173" t="n"/>
      <c r="C2813" s="813" t="n">
        <v>576</v>
      </c>
      <c r="D2813" s="814" t="n">
        <v>491</v>
      </c>
      <c r="E2813" s="1173" t="n"/>
      <c r="F2813" s="840" t="n">
        <v>489.5</v>
      </c>
      <c r="G2813" s="814" t="n">
        <v>491</v>
      </c>
      <c r="H2813" s="813" t="n"/>
      <c r="I2813" s="840" t="n">
        <v>485.5</v>
      </c>
      <c r="J2813" s="814" t="n">
        <v>491</v>
      </c>
      <c r="K2813" s="813" t="n"/>
      <c r="L2813" s="840" t="n">
        <v>469</v>
      </c>
      <c r="M2813" s="814" t="n">
        <v>491</v>
      </c>
      <c r="N2813" s="1173" t="n"/>
      <c r="O2813" s="813" t="n">
        <v>491</v>
      </c>
      <c r="P2813" s="814" t="n">
        <v>468.5</v>
      </c>
    </row>
    <row r="2814" ht="15.75" customHeight="1" s="2" thickBot="1">
      <c r="A2814" s="834" t="n"/>
      <c r="B2814" s="836" t="n"/>
      <c r="C2814" s="1220" t="n"/>
      <c r="D2814" s="1220" t="n"/>
      <c r="E2814" s="839" t="n"/>
      <c r="F2814" s="1220" t="n"/>
      <c r="G2814" s="1220" t="n"/>
      <c r="H2814" s="839" t="n"/>
      <c r="I2814" s="1220" t="n"/>
      <c r="J2814" s="1220" t="n"/>
      <c r="K2814" s="839" t="n"/>
      <c r="L2814" s="1220" t="n"/>
      <c r="M2814" s="1220" t="n"/>
      <c r="N2814" s="839" t="n"/>
      <c r="O2814" s="835" t="n"/>
      <c r="P2814" s="835" t="n"/>
    </row>
    <row r="2815" ht="15.75" customHeight="1" s="2">
      <c r="A2815" s="506" t="inlineStr">
        <is>
          <t>Training explanation</t>
        </is>
      </c>
      <c r="B2815" s="837" t="n"/>
      <c r="C2815" s="1220" t="n"/>
      <c r="D2815" s="1220" t="n"/>
      <c r="E2815" s="837" t="n"/>
      <c r="F2815" s="1220" t="n"/>
      <c r="G2815" s="1220" t="n"/>
      <c r="H2815" s="837" t="n"/>
      <c r="I2815" s="1220" t="n"/>
      <c r="J2815" s="1220" t="n"/>
      <c r="K2815" s="837" t="n"/>
      <c r="L2815" s="1220" t="n"/>
      <c r="M2815" s="1220" t="n"/>
      <c r="N2815" s="837" t="n"/>
      <c r="O2815" s="835" t="n"/>
      <c r="P2815" s="835" t="n"/>
    </row>
    <row r="2816" ht="15.75" customHeight="1" s="2" thickBot="1">
      <c r="A2816" s="506" t="inlineStr">
        <is>
          <t>Who is being Trained</t>
        </is>
      </c>
      <c r="B2816" s="838" t="n"/>
      <c r="C2816" s="1221" t="n"/>
      <c r="D2816" s="1221" t="n"/>
      <c r="E2816" s="838" t="n"/>
      <c r="F2816" s="1221" t="n"/>
      <c r="G2816" s="1221" t="n"/>
      <c r="H2816" s="838" t="n"/>
      <c r="I2816" s="1221" t="n"/>
      <c r="J2816" s="1221" t="n"/>
      <c r="K2816" s="838" t="n"/>
      <c r="L2816" s="1221" t="n"/>
      <c r="M2816" s="1221" t="n"/>
      <c r="N2816" s="838" t="n"/>
    </row>
    <row r="2817" ht="15.75" customHeight="1" s="2" thickBot="1">
      <c r="A2817" s="506" t="n"/>
      <c r="C2817" s="523" t="inlineStr">
        <is>
          <t>floor</t>
        </is>
      </c>
      <c r="D2817" s="524" t="inlineStr">
        <is>
          <t>kitchen</t>
        </is>
      </c>
      <c r="E2817" s="509" t="n"/>
      <c r="F2817" s="507" t="inlineStr">
        <is>
          <t>floor</t>
        </is>
      </c>
      <c r="G2817" s="508" t="inlineStr">
        <is>
          <t>kitchen</t>
        </is>
      </c>
      <c r="H2817" s="510" t="n"/>
      <c r="I2817" s="535" t="inlineStr">
        <is>
          <t>floor</t>
        </is>
      </c>
      <c r="J2817" s="511" t="inlineStr">
        <is>
          <t>kitchen</t>
        </is>
      </c>
      <c r="K2817" s="512" t="n"/>
      <c r="L2817" s="535" t="inlineStr">
        <is>
          <t>floor</t>
        </is>
      </c>
      <c r="M2817" s="513" t="inlineStr">
        <is>
          <t>kitchen</t>
        </is>
      </c>
      <c r="N2817" s="512" t="n"/>
      <c r="O2817" s="535" t="inlineStr">
        <is>
          <t>floor</t>
        </is>
      </c>
      <c r="P2817" s="513" t="inlineStr">
        <is>
          <t>kitchen</t>
        </is>
      </c>
    </row>
    <row r="2818" ht="15.75" customHeight="1" s="2">
      <c r="A2818" s="506" t="n"/>
      <c r="C2818" s="525" t="n"/>
      <c r="D2818" s="527" t="n"/>
      <c r="E2818" s="514" t="n"/>
      <c r="F2818" s="525" t="inlineStr">
        <is>
          <t>Sarah- new starter</t>
        </is>
      </c>
      <c r="G2818" s="527" t="n"/>
      <c r="H2818" s="515" t="n"/>
      <c r="I2818" s="531" t="n"/>
      <c r="J2818" s="824" t="n"/>
      <c r="K2818" s="515" t="n"/>
      <c r="L2818" s="536" t="n"/>
      <c r="M2818" s="532" t="n"/>
      <c r="N2818" s="515" t="n"/>
      <c r="O2818" s="536" t="n"/>
      <c r="P2818" s="532" t="n"/>
    </row>
    <row r="2819" ht="15.75" customHeight="1" s="2">
      <c r="C2819" s="891" t="n"/>
      <c r="D2819" s="526" t="n"/>
      <c r="E2819" s="514" t="n"/>
      <c r="F2819" s="891" t="n"/>
      <c r="G2819" s="526" t="n"/>
      <c r="H2819" s="516" t="n"/>
      <c r="I2819" s="1656" t="n"/>
      <c r="J2819" s="530" t="n"/>
      <c r="K2819" s="516" t="n"/>
      <c r="L2819" s="542" t="n"/>
      <c r="M2819" s="530" t="n"/>
      <c r="N2819" s="516" t="n"/>
      <c r="O2819" s="542" t="n"/>
      <c r="P2819" s="530" t="n"/>
    </row>
    <row r="2820" ht="15.75" customHeight="1" s="2">
      <c r="C2820" s="550" t="n"/>
      <c r="D2820" s="527" t="n"/>
      <c r="E2820" s="514" t="n"/>
      <c r="F2820" s="531" t="n"/>
      <c r="G2820" s="530" t="n"/>
      <c r="H2820" s="516" t="n"/>
      <c r="I2820" s="537" t="n"/>
      <c r="J2820" s="530" t="n"/>
      <c r="K2820" s="516" t="n"/>
      <c r="L2820" s="1657" t="n"/>
      <c r="M2820" s="539" t="n"/>
      <c r="N2820" s="516" t="n"/>
      <c r="O2820" s="542" t="n"/>
      <c r="P2820" s="539" t="n"/>
    </row>
    <row r="2821" ht="15.75" customHeight="1" s="2">
      <c r="C2821" s="561" t="n"/>
      <c r="D2821" s="561" t="n"/>
      <c r="E2821" s="519" t="n"/>
      <c r="F2821" s="517" t="n"/>
      <c r="G2821" s="1659" t="n"/>
      <c r="H2821" s="516" t="n"/>
      <c r="I2821" s="537" t="n"/>
      <c r="J2821" s="530" t="n"/>
      <c r="K2821" s="516" t="n"/>
      <c r="L2821" s="537" t="n"/>
      <c r="M2821" s="539" t="n"/>
      <c r="N2821" s="516" t="n"/>
      <c r="O2821" s="537" t="n"/>
      <c r="P2821" s="539" t="n"/>
    </row>
    <row r="2822" ht="15.75" customHeight="1" s="2">
      <c r="C2822" s="551" t="n"/>
      <c r="D2822" s="528" t="n"/>
      <c r="E2822" s="519" t="n"/>
      <c r="F2822" s="517" t="n"/>
      <c r="G2822" s="518" t="n"/>
      <c r="H2822" s="516" t="n"/>
      <c r="I2822" s="537" t="n"/>
      <c r="J2822" s="533" t="n"/>
      <c r="K2822" s="516" t="n"/>
      <c r="L2822" s="537" t="n"/>
      <c r="M2822" s="540" t="n"/>
      <c r="N2822" s="516" t="n"/>
      <c r="O2822" s="537" t="n"/>
      <c r="P2822" s="540" t="n"/>
    </row>
    <row r="2827" ht="15.75" customHeight="1" s="2" thickBot="1"/>
    <row r="2828" ht="15.75" customHeight="1" s="2" thickBot="1">
      <c r="B2828" s="1482" t="n"/>
      <c r="C2828" s="1483" t="inlineStr">
        <is>
          <t>18.11.2024</t>
        </is>
      </c>
      <c r="D2828" s="1484" t="n"/>
      <c r="E2828" s="1485" t="n"/>
      <c r="F2828" s="1486" t="inlineStr">
        <is>
          <t>25.11.2024</t>
        </is>
      </c>
      <c r="G2828" s="1487" t="n"/>
      <c r="H2828" s="1485" t="n"/>
      <c r="I2828" s="1486" t="inlineStr">
        <is>
          <t>02.12.2024</t>
        </is>
      </c>
      <c r="J2828" s="1487" t="n"/>
      <c r="K2828" s="1485" t="n"/>
      <c r="L2828" s="1486" t="inlineStr">
        <is>
          <t>09.11.2024</t>
        </is>
      </c>
      <c r="M2828" s="1487" t="n"/>
      <c r="N2828" s="1488" t="n"/>
      <c r="O2828" s="1489" t="inlineStr">
        <is>
          <t>16.11.2024</t>
        </is>
      </c>
      <c r="P2828" s="1490" t="n"/>
    </row>
    <row r="2829" ht="15.75" customHeight="1" s="2" thickBot="1">
      <c r="A2829" s="455" t="n"/>
      <c r="B2829" s="1217" t="inlineStr">
        <is>
          <t>LAST YEAR</t>
        </is>
      </c>
      <c r="C2829" s="1219" t="inlineStr">
        <is>
          <t>Projected</t>
        </is>
      </c>
      <c r="D2829" s="1218" t="inlineStr">
        <is>
          <t>Actual</t>
        </is>
      </c>
      <c r="E2829" s="1217" t="inlineStr">
        <is>
          <t>LAST YEAR</t>
        </is>
      </c>
      <c r="F2829" s="1219" t="inlineStr">
        <is>
          <t>Projected</t>
        </is>
      </c>
      <c r="G2829" s="1218" t="inlineStr">
        <is>
          <t>Actual</t>
        </is>
      </c>
      <c r="H2829" s="1217" t="inlineStr">
        <is>
          <t>LAST YEAR</t>
        </is>
      </c>
      <c r="I2829" s="1219" t="inlineStr">
        <is>
          <t>Projected</t>
        </is>
      </c>
      <c r="J2829" s="1218" t="inlineStr">
        <is>
          <t>Actual</t>
        </is>
      </c>
      <c r="K2829" s="1217" t="inlineStr">
        <is>
          <t>LAST YEAR</t>
        </is>
      </c>
      <c r="L2829" s="1219" t="inlineStr">
        <is>
          <t>Projected</t>
        </is>
      </c>
      <c r="M2829" s="1218" t="inlineStr">
        <is>
          <t>Actual</t>
        </is>
      </c>
      <c r="N2829" s="1217" t="inlineStr">
        <is>
          <t>LAST YEAR</t>
        </is>
      </c>
      <c r="O2829" s="1219" t="inlineStr">
        <is>
          <t>Projected</t>
        </is>
      </c>
      <c r="P2829" s="1218" t="inlineStr">
        <is>
          <t>Actual</t>
        </is>
      </c>
    </row>
    <row r="2830" ht="15.75" customHeight="1" s="2">
      <c r="A2830" s="459" t="inlineStr">
        <is>
          <t>Total Receipts</t>
        </is>
      </c>
      <c r="B2830" s="1672" t="n">
        <v>136876.02</v>
      </c>
      <c r="C2830" s="1672" t="n">
        <v>136431</v>
      </c>
      <c r="D2830" s="1622" t="n">
        <v>133755</v>
      </c>
      <c r="E2830" s="1672" t="n">
        <v>142940.07</v>
      </c>
      <c r="F2830" s="1672" t="n">
        <v>144517</v>
      </c>
      <c r="G2830" s="1645" t="n">
        <v>141865.07</v>
      </c>
      <c r="H2830" s="1672" t="n">
        <v>136271.79</v>
      </c>
      <c r="I2830" s="1688" t="n">
        <v>143808</v>
      </c>
      <c r="J2830" s="1645" t="n">
        <v>138218.38</v>
      </c>
      <c r="K2830" s="1672" t="n">
        <v>135141.64</v>
      </c>
      <c r="L2830" s="1672" t="n">
        <v>141478</v>
      </c>
      <c r="M2830" s="1645" t="n">
        <v>139139.5</v>
      </c>
      <c r="N2830" s="1672" t="n">
        <v>155556.16</v>
      </c>
      <c r="O2830" s="1688" t="n">
        <v>160313</v>
      </c>
      <c r="P2830" s="1622" t="n">
        <v>143204.68</v>
      </c>
    </row>
    <row r="2831" ht="15.75" customHeight="1" s="2">
      <c r="A2831" s="462" t="inlineStr">
        <is>
          <t>Nett Sales</t>
        </is>
      </c>
      <c r="B2831" s="1677" t="n">
        <v>124311.42</v>
      </c>
      <c r="C2831" s="1677" t="n">
        <v>124027.9</v>
      </c>
      <c r="D2831" s="1625" t="n">
        <v>121596.24</v>
      </c>
      <c r="E2831" s="1677" t="n">
        <v>129945.52</v>
      </c>
      <c r="F2831" s="1677" t="n">
        <v>131378.9</v>
      </c>
      <c r="G2831" s="1637" t="n">
        <v>128968.25</v>
      </c>
      <c r="H2831" s="1677" t="n">
        <v>123883.45</v>
      </c>
      <c r="I2831" s="1677" t="n">
        <v>130734</v>
      </c>
      <c r="J2831" s="1625" t="n">
        <v>125653.07</v>
      </c>
      <c r="K2831" s="1677" t="n">
        <v>122856.04</v>
      </c>
      <c r="L2831" s="1677" t="n">
        <v>128615.9</v>
      </c>
      <c r="M2831" s="1625" t="n">
        <v>126490.45</v>
      </c>
      <c r="N2831" s="1677" t="n">
        <v>141414.69</v>
      </c>
      <c r="O2831" s="1677" t="n">
        <v>145738.6</v>
      </c>
      <c r="P2831" s="1625" t="n">
        <v>130186.19</v>
      </c>
    </row>
    <row r="2832" ht="15.75" customHeight="1" s="2">
      <c r="A2832" s="462" t="inlineStr">
        <is>
          <t>Customers</t>
        </is>
      </c>
      <c r="B2832" s="1270" t="n">
        <v>5827</v>
      </c>
      <c r="C2832" s="1270" t="n">
        <v>5504</v>
      </c>
      <c r="D2832" s="466" t="n">
        <v>4989</v>
      </c>
      <c r="E2832" s="1270" t="n">
        <v>5817</v>
      </c>
      <c r="F2832" s="1270" t="n">
        <v>5569</v>
      </c>
      <c r="G2832" s="466" t="n">
        <v>5557</v>
      </c>
      <c r="H2832" s="1270" t="n">
        <v>5609</v>
      </c>
      <c r="I2832" s="1270" t="n">
        <v>5535</v>
      </c>
      <c r="J2832" s="466" t="n">
        <v>5259</v>
      </c>
      <c r="K2832" s="1270" t="n">
        <v>5658</v>
      </c>
      <c r="L2832" s="1270" t="n">
        <v>5445</v>
      </c>
      <c r="M2832" s="466" t="n">
        <v>5245</v>
      </c>
      <c r="N2832" s="1270" t="n">
        <v>6473</v>
      </c>
      <c r="O2832" s="1270" t="n">
        <v>6165</v>
      </c>
      <c r="P2832" s="1655" t="n">
        <v>5304</v>
      </c>
    </row>
    <row r="2833" ht="15.75" customHeight="1" s="2">
      <c r="A2833" s="462" t="inlineStr">
        <is>
          <t>Average Customer Spend</t>
        </is>
      </c>
      <c r="B2833" s="1682" t="n">
        <v>23.48</v>
      </c>
      <c r="C2833" s="1682" t="n">
        <v>24.79</v>
      </c>
      <c r="D2833" s="1628" t="n">
        <v>26.82</v>
      </c>
      <c r="E2833" s="1682" t="n">
        <v>24.57</v>
      </c>
      <c r="F2833" s="1682" t="n">
        <v>25.95</v>
      </c>
      <c r="G2833" s="1649" t="n">
        <v>25.52</v>
      </c>
      <c r="H2833" s="1682" t="n">
        <v>24.29</v>
      </c>
      <c r="I2833" s="1689" t="n">
        <v>25.98</v>
      </c>
      <c r="J2833" s="1649" t="n">
        <v>26.28</v>
      </c>
      <c r="K2833" s="1682" t="n">
        <v>23.88</v>
      </c>
      <c r="L2833" s="1682" t="n">
        <v>25.98</v>
      </c>
      <c r="M2833" s="1649" t="n">
        <v>26.52</v>
      </c>
      <c r="N2833" s="1682" t="n">
        <v>24.03</v>
      </c>
      <c r="O2833" s="1689" t="n">
        <v>26</v>
      </c>
      <c r="P2833" s="1628" t="n">
        <v>26.99</v>
      </c>
    </row>
    <row r="2834" ht="15.75" customHeight="1" s="2">
      <c r="A2834" s="462" t="inlineStr">
        <is>
          <t>Wage % to Total Receipts</t>
        </is>
      </c>
      <c r="B2834" s="1272" t="n">
        <v>0.3194</v>
      </c>
      <c r="C2834" s="1272" t="n">
        <v>0.2988</v>
      </c>
      <c r="D2834" s="470" t="n">
        <v>0.3082</v>
      </c>
      <c r="E2834" s="1272" t="n">
        <v>0.3258</v>
      </c>
      <c r="F2834" s="1272" t="n">
        <v>0.2981</v>
      </c>
      <c r="G2834" s="863" t="n">
        <v>0.3134</v>
      </c>
      <c r="H2834" s="1272" t="n">
        <v>0.3366</v>
      </c>
      <c r="I2834" s="1301" t="n">
        <v>0.2851</v>
      </c>
      <c r="J2834" s="863" t="n">
        <v>0.2994</v>
      </c>
      <c r="K2834" s="1272" t="n">
        <v>0.3547</v>
      </c>
      <c r="L2834" s="1272" t="n">
        <v>0.2851</v>
      </c>
      <c r="M2834" s="863" t="n">
        <v>0.3032</v>
      </c>
      <c r="N2834" s="1272" t="n">
        <v>0.3359</v>
      </c>
      <c r="O2834" s="1301" t="n">
        <v>0.2849</v>
      </c>
      <c r="P2834" s="470" t="n">
        <v>0.3312</v>
      </c>
    </row>
    <row r="2835" ht="15.75" customHeight="1" s="2">
      <c r="A2835" s="462" t="inlineStr">
        <is>
          <t>Wage % to Nett Sales</t>
        </is>
      </c>
      <c r="B2835" s="1272" t="n">
        <v>0.3513</v>
      </c>
      <c r="C2835" s="1272" t="n">
        <v>0.3297</v>
      </c>
      <c r="D2835" s="470" t="n">
        <v>0.339</v>
      </c>
      <c r="E2835" s="1272" t="n">
        <v>0.3584</v>
      </c>
      <c r="F2835" s="1272" t="n">
        <v>0.3279</v>
      </c>
      <c r="G2835" s="863" t="n">
        <v>0.3448</v>
      </c>
      <c r="H2835" s="1272" t="n">
        <v>0.3703</v>
      </c>
      <c r="I2835" s="1301" t="n">
        <v>0.3136</v>
      </c>
      <c r="J2835" s="863" t="n">
        <v>0.3294</v>
      </c>
      <c r="K2835" s="1272" t="n">
        <v>0.3902</v>
      </c>
      <c r="L2835" s="1272" t="n">
        <v>0.3136</v>
      </c>
      <c r="M2835" s="863" t="n">
        <v>0.3336</v>
      </c>
      <c r="N2835" s="1272" t="n">
        <v>0.3695</v>
      </c>
      <c r="O2835" s="1301" t="n">
        <v>0.3133</v>
      </c>
      <c r="P2835" s="470" t="n">
        <v>0.3643</v>
      </c>
    </row>
    <row r="2836" ht="15.75" customHeight="1" s="2">
      <c r="A2836" s="462" t="inlineStr">
        <is>
          <t>Productivity</t>
        </is>
      </c>
      <c r="B2836" s="1273" t="n">
        <v>5.34</v>
      </c>
      <c r="C2836" s="1273" t="n">
        <v>5.4</v>
      </c>
      <c r="D2836" s="472" t="n">
        <v>4.81</v>
      </c>
      <c r="E2836" s="1273" t="n">
        <v>5.11</v>
      </c>
      <c r="F2836" s="1273" t="n">
        <v>5.4</v>
      </c>
      <c r="G2836" s="472" t="n">
        <v>5.09</v>
      </c>
      <c r="H2836" s="1273" t="n">
        <v>4.83</v>
      </c>
      <c r="I2836" s="1273" t="n">
        <v>5.4</v>
      </c>
      <c r="J2836" s="472" t="n">
        <v>4.98</v>
      </c>
      <c r="K2836" s="1273" t="n">
        <v>4.52</v>
      </c>
      <c r="L2836" s="1273" t="n">
        <v>5.4</v>
      </c>
      <c r="M2836" s="472" t="n">
        <v>4.82</v>
      </c>
      <c r="N2836" s="1273" t="n">
        <v>4.92</v>
      </c>
      <c r="O2836" s="1273" t="n">
        <v>5.4</v>
      </c>
      <c r="P2836" s="472" t="n">
        <v>4.64</v>
      </c>
    </row>
    <row r="2837" ht="15.75" customHeight="1" s="2">
      <c r="A2837" s="462" t="inlineStr">
        <is>
          <t>Average Hourly Rate</t>
        </is>
      </c>
      <c r="B2837" s="1273" t="n">
        <v>40.06</v>
      </c>
      <c r="C2837" s="1273" t="n">
        <v>40</v>
      </c>
      <c r="D2837" s="1628" t="n">
        <v>39.78</v>
      </c>
      <c r="E2837" s="1273" t="n">
        <v>40.89</v>
      </c>
      <c r="F2837" s="1273" t="n">
        <v>40</v>
      </c>
      <c r="G2837" s="1649" t="n">
        <v>40.75</v>
      </c>
      <c r="H2837" s="1273" t="n">
        <v>39.47</v>
      </c>
      <c r="I2837" s="1273" t="n">
        <v>40</v>
      </c>
      <c r="J2837" s="1649" t="n">
        <v>39.18</v>
      </c>
      <c r="K2837" s="1273" t="n">
        <v>38.31</v>
      </c>
      <c r="L2837" s="1273" t="n">
        <v>40</v>
      </c>
      <c r="M2837" s="1649" t="n">
        <v>38.76</v>
      </c>
      <c r="N2837" s="1273" t="n">
        <v>39.7</v>
      </c>
      <c r="O2837" s="1273" t="n">
        <v>40</v>
      </c>
      <c r="P2837" s="1628" t="n">
        <v>41.53</v>
      </c>
    </row>
    <row r="2838" ht="15.75" customHeight="1" s="2">
      <c r="A2838" s="462" t="inlineStr">
        <is>
          <t>Total hours for productivity</t>
        </is>
      </c>
      <c r="B2838" s="1273" t="n">
        <v>1090.25</v>
      </c>
      <c r="C2838" s="1273" t="n">
        <v>1058.5</v>
      </c>
      <c r="D2838" s="466" t="n">
        <v>1036.25</v>
      </c>
      <c r="E2838" s="1273" t="n">
        <v>1139</v>
      </c>
      <c r="F2838" s="1273" t="n">
        <v>1091.5</v>
      </c>
      <c r="G2838" s="466" t="n">
        <v>1091.25</v>
      </c>
      <c r="H2838" s="1273" t="n">
        <v>1162.25</v>
      </c>
      <c r="I2838" s="1273" t="n">
        <v>1095.5</v>
      </c>
      <c r="J2838" s="472" t="n">
        <v>1056.5</v>
      </c>
      <c r="K2838" s="1273" t="n">
        <v>1251.5</v>
      </c>
      <c r="L2838" s="1273" t="n">
        <v>1092.5</v>
      </c>
      <c r="M2838" s="466" t="n">
        <v>1088.5</v>
      </c>
      <c r="N2838" s="1273" t="n">
        <v>1316.25</v>
      </c>
      <c r="O2838" s="1273" t="n">
        <v>1190</v>
      </c>
      <c r="P2838" s="466" t="n">
        <v>1142</v>
      </c>
    </row>
    <row r="2839" ht="15.75" customHeight="1" s="2">
      <c r="A2839" s="462" t="inlineStr">
        <is>
          <t>Training Hours used</t>
        </is>
      </c>
      <c r="B2839" s="1274" t="n"/>
      <c r="C2839" s="1274" t="n"/>
      <c r="D2839" s="466" t="n"/>
      <c r="E2839" s="1274" t="n">
        <v>65</v>
      </c>
      <c r="F2839" s="1274" t="n"/>
      <c r="G2839" s="466" t="n"/>
      <c r="H2839" s="1274" t="n"/>
      <c r="I2839" s="1274" t="n"/>
      <c r="J2839" s="466" t="n"/>
      <c r="K2839" s="1274" t="n"/>
      <c r="L2839" s="1274" t="n"/>
      <c r="M2839" s="466" t="n"/>
      <c r="N2839" s="1274" t="n"/>
      <c r="O2839" s="1274" t="n"/>
      <c r="P2839" s="466" t="n"/>
    </row>
    <row r="2840" ht="15.75" customHeight="1" s="2" thickBot="1">
      <c r="A2840" s="474" t="inlineStr">
        <is>
          <t>Number of hours used to cover sick leave</t>
        </is>
      </c>
      <c r="B2840" s="1282" t="n"/>
      <c r="C2840" s="1282" t="n"/>
      <c r="D2840" s="476" t="n"/>
      <c r="E2840" s="1282" t="n"/>
      <c r="F2840" s="1282" t="n"/>
      <c r="G2840" s="476" t="n"/>
      <c r="H2840" s="1282" t="n"/>
      <c r="I2840" s="1282" t="n"/>
      <c r="J2840" s="476" t="n">
        <v>8</v>
      </c>
      <c r="K2840" s="1282" t="n"/>
      <c r="L2840" s="1282" t="n"/>
      <c r="M2840" s="476" t="n"/>
      <c r="N2840" s="1229" t="n"/>
      <c r="O2840" s="1229" t="n"/>
      <c r="P2840" s="476" t="n">
        <v>41</v>
      </c>
    </row>
    <row r="2841" ht="15.75" customHeight="1" s="2" thickBot="1">
      <c r="A2841" s="477" t="inlineStr">
        <is>
          <t xml:space="preserve">Minimum Hours </t>
        </is>
      </c>
      <c r="B2841" s="1171" t="n"/>
      <c r="C2841" s="816" t="inlineStr">
        <is>
          <t>Projected</t>
        </is>
      </c>
      <c r="D2841" s="935" t="inlineStr">
        <is>
          <t>Min Hrs</t>
        </is>
      </c>
      <c r="E2841" s="1171" t="n"/>
      <c r="F2841" s="816" t="inlineStr">
        <is>
          <t>Projected</t>
        </is>
      </c>
      <c r="G2841" s="935" t="inlineStr">
        <is>
          <t>Min Hrs</t>
        </is>
      </c>
      <c r="H2841" s="935" t="n"/>
      <c r="I2841" s="816" t="inlineStr">
        <is>
          <t>Projected</t>
        </is>
      </c>
      <c r="J2841" s="935" t="inlineStr">
        <is>
          <t>Min Hrs</t>
        </is>
      </c>
      <c r="K2841" s="935" t="n"/>
      <c r="L2841" s="816" t="inlineStr">
        <is>
          <t>Projected</t>
        </is>
      </c>
      <c r="M2841" s="935" t="inlineStr">
        <is>
          <t>Min Hrs</t>
        </is>
      </c>
      <c r="N2841" s="1171" t="n"/>
      <c r="O2841" s="816" t="inlineStr">
        <is>
          <t>Projected</t>
        </is>
      </c>
      <c r="P2841" s="935" t="inlineStr">
        <is>
          <t>Min Hrs</t>
        </is>
      </c>
    </row>
    <row r="2842" ht="15.75" customHeight="1" s="2">
      <c r="A2842" s="479" t="inlineStr">
        <is>
          <t>Floor</t>
        </is>
      </c>
      <c r="B2842" s="1172" t="n"/>
      <c r="C2842" s="810" t="n">
        <v>562.5</v>
      </c>
      <c r="D2842" s="811" t="n">
        <v>459</v>
      </c>
      <c r="E2842" s="1172" t="n"/>
      <c r="F2842" s="810" t="n">
        <v>574</v>
      </c>
      <c r="G2842" s="811" t="n">
        <v>459</v>
      </c>
      <c r="H2842" s="810" t="n"/>
      <c r="I2842" s="810" t="n">
        <v>577.5</v>
      </c>
      <c r="J2842" s="811" t="n">
        <v>459</v>
      </c>
      <c r="K2842" s="810" t="n"/>
      <c r="L2842" s="810" t="n">
        <v>577.5</v>
      </c>
      <c r="M2842" s="811" t="n">
        <v>459</v>
      </c>
      <c r="N2842" s="1172" t="n"/>
      <c r="O2842" s="810" t="n">
        <v>624.5</v>
      </c>
      <c r="P2842" s="811" t="n">
        <v>459</v>
      </c>
    </row>
    <row r="2843" ht="15.75" customHeight="1" s="2" thickBot="1">
      <c r="A2843" s="481" t="inlineStr">
        <is>
          <t>Kitchen</t>
        </is>
      </c>
      <c r="B2843" s="1173" t="n"/>
      <c r="C2843" s="813" t="n">
        <v>496</v>
      </c>
      <c r="D2843" s="814" t="n">
        <v>491</v>
      </c>
      <c r="E2843" s="1173" t="n"/>
      <c r="F2843" s="840" t="n">
        <v>517.5</v>
      </c>
      <c r="G2843" s="814" t="n">
        <v>491</v>
      </c>
      <c r="H2843" s="813" t="n"/>
      <c r="I2843" s="840" t="n">
        <v>518</v>
      </c>
      <c r="J2843" s="814" t="n">
        <v>491</v>
      </c>
      <c r="K2843" s="813" t="n"/>
      <c r="L2843" s="840" t="n">
        <v>515</v>
      </c>
      <c r="M2843" s="814" t="n">
        <v>491</v>
      </c>
      <c r="N2843" s="1173" t="n"/>
      <c r="O2843" s="813" t="n">
        <v>565.5</v>
      </c>
      <c r="P2843" s="814" t="n">
        <v>491</v>
      </c>
    </row>
    <row r="2844" ht="15.75" customHeight="1" s="2" thickBot="1">
      <c r="A2844" s="834" t="n"/>
      <c r="B2844" s="836" t="n"/>
      <c r="C2844" s="1220" t="n"/>
      <c r="D2844" s="1220" t="n"/>
      <c r="E2844" s="839" t="n"/>
      <c r="F2844" s="1220" t="n"/>
      <c r="G2844" s="1220" t="n"/>
      <c r="H2844" s="839" t="n"/>
      <c r="I2844" s="1220" t="n"/>
      <c r="J2844" s="1220" t="n"/>
      <c r="K2844" s="839" t="n"/>
      <c r="L2844" s="1220" t="n"/>
      <c r="M2844" s="1220" t="n"/>
      <c r="N2844" s="839" t="n"/>
      <c r="O2844" s="835" t="n"/>
      <c r="P2844" s="835" t="n"/>
    </row>
    <row r="2845" ht="15.75" customHeight="1" s="2">
      <c r="A2845" s="506" t="inlineStr">
        <is>
          <t>Training explanation</t>
        </is>
      </c>
      <c r="B2845" s="837" t="n"/>
      <c r="C2845" s="1220" t="n"/>
      <c r="D2845" s="1220" t="n"/>
      <c r="E2845" s="837" t="n"/>
      <c r="F2845" s="1220" t="n"/>
      <c r="G2845" s="1220" t="n"/>
      <c r="H2845" s="837" t="n"/>
      <c r="I2845" s="1220" t="n"/>
      <c r="J2845" s="1220" t="n"/>
      <c r="K2845" s="837" t="n"/>
      <c r="L2845" s="1220" t="n"/>
      <c r="M2845" s="1220" t="n"/>
      <c r="N2845" s="837" t="n"/>
      <c r="O2845" s="835" t="n"/>
      <c r="P2845" s="835" t="n"/>
    </row>
    <row r="2846" ht="15.75" customHeight="1" s="2" thickBot="1">
      <c r="A2846" s="506" t="inlineStr">
        <is>
          <t>Who is being Trained</t>
        </is>
      </c>
      <c r="B2846" s="838" t="n"/>
      <c r="C2846" s="1221" t="n"/>
      <c r="D2846" s="1221" t="n"/>
      <c r="E2846" s="838" t="n"/>
      <c r="F2846" s="1221" t="n"/>
      <c r="G2846" s="1221" t="n"/>
      <c r="H2846" s="838" t="n"/>
      <c r="I2846" s="1221" t="n"/>
      <c r="J2846" s="1221" t="n"/>
      <c r="K2846" s="838" t="n"/>
      <c r="L2846" s="1221" t="n"/>
      <c r="M2846" s="1221" t="n"/>
      <c r="N2846" s="838" t="n"/>
    </row>
    <row r="2847" ht="15.75" customHeight="1" s="2" thickBot="1">
      <c r="A2847" s="506" t="n"/>
      <c r="C2847" s="523" t="inlineStr">
        <is>
          <t>floor</t>
        </is>
      </c>
      <c r="D2847" s="524" t="inlineStr">
        <is>
          <t>kitchen</t>
        </is>
      </c>
      <c r="E2847" s="509" t="n"/>
      <c r="F2847" s="507" t="inlineStr">
        <is>
          <t>floor</t>
        </is>
      </c>
      <c r="G2847" s="508" t="inlineStr">
        <is>
          <t>kitchen</t>
        </is>
      </c>
      <c r="H2847" s="510" t="n"/>
      <c r="I2847" s="535" t="inlineStr">
        <is>
          <t>floor</t>
        </is>
      </c>
      <c r="J2847" s="511" t="inlineStr">
        <is>
          <t>kitchen</t>
        </is>
      </c>
      <c r="K2847" s="512" t="n"/>
      <c r="L2847" s="535" t="inlineStr">
        <is>
          <t>floor</t>
        </is>
      </c>
      <c r="M2847" s="513" t="inlineStr">
        <is>
          <t>kitchen</t>
        </is>
      </c>
      <c r="N2847" s="512" t="n"/>
      <c r="O2847" s="535" t="inlineStr">
        <is>
          <t>floor</t>
        </is>
      </c>
      <c r="P2847" s="513" t="inlineStr">
        <is>
          <t>kitchen</t>
        </is>
      </c>
    </row>
    <row r="2848" ht="15.75" customHeight="1" s="2">
      <c r="A2848" s="506" t="n"/>
      <c r="C2848" s="525" t="n"/>
      <c r="D2848" s="527" t="n"/>
      <c r="E2848" s="514" t="n"/>
      <c r="F2848" s="525" t="n"/>
      <c r="G2848" s="527" t="n"/>
      <c r="H2848" s="515" t="n"/>
      <c r="I2848" s="531" t="n"/>
      <c r="J2848" s="824" t="n"/>
      <c r="K2848" s="515" t="n"/>
      <c r="L2848" s="536" t="n"/>
      <c r="M2848" s="532" t="n"/>
      <c r="N2848" s="515" t="n"/>
      <c r="O2848" s="536" t="n"/>
      <c r="P2848" s="532" t="n"/>
    </row>
    <row r="2849" ht="15.75" customHeight="1" s="2">
      <c r="C2849" s="891" t="n"/>
      <c r="D2849" s="526" t="n"/>
      <c r="E2849" s="514" t="n"/>
      <c r="F2849" s="891" t="n"/>
      <c r="G2849" s="526" t="n"/>
      <c r="H2849" s="516" t="n"/>
      <c r="I2849" s="1656" t="n"/>
      <c r="J2849" s="530" t="n"/>
      <c r="K2849" s="516" t="n"/>
      <c r="L2849" s="542" t="n"/>
      <c r="M2849" s="530" t="n"/>
      <c r="N2849" s="516" t="n"/>
      <c r="O2849" s="542" t="n"/>
      <c r="P2849" s="530" t="n"/>
    </row>
    <row r="2850" ht="15.75" customHeight="1" s="2">
      <c r="C2850" s="550" t="n"/>
      <c r="D2850" s="527" t="n"/>
      <c r="E2850" s="514" t="n"/>
      <c r="F2850" s="531" t="n"/>
      <c r="G2850" s="530" t="n"/>
      <c r="H2850" s="516" t="n"/>
      <c r="I2850" s="537" t="n"/>
      <c r="J2850" s="530" t="n"/>
      <c r="K2850" s="516" t="n"/>
      <c r="L2850" s="1657" t="n"/>
      <c r="M2850" s="539" t="n"/>
      <c r="N2850" s="516" t="n"/>
      <c r="O2850" s="542" t="n"/>
      <c r="P2850" s="539" t="n"/>
    </row>
    <row r="2851" ht="15.75" customHeight="1" s="2">
      <c r="C2851" s="561" t="n"/>
      <c r="D2851" s="561" t="n"/>
      <c r="E2851" s="519" t="n"/>
      <c r="F2851" s="517" t="n"/>
      <c r="G2851" s="1659" t="n"/>
      <c r="H2851" s="516" t="n"/>
      <c r="I2851" s="537" t="n"/>
      <c r="J2851" s="530" t="n"/>
      <c r="K2851" s="516" t="n"/>
      <c r="L2851" s="537" t="n"/>
      <c r="M2851" s="539" t="n"/>
      <c r="N2851" s="516" t="n"/>
      <c r="O2851" s="537" t="n"/>
      <c r="P2851" s="539" t="n"/>
    </row>
    <row r="2852" ht="15.75" customHeight="1" s="2">
      <c r="C2852" s="551" t="n"/>
      <c r="D2852" s="528" t="n"/>
      <c r="E2852" s="519" t="n"/>
      <c r="F2852" s="517" t="n"/>
      <c r="G2852" s="518" t="n"/>
      <c r="H2852" s="516" t="n"/>
      <c r="I2852" s="537" t="n"/>
      <c r="J2852" s="533" t="n"/>
      <c r="K2852" s="516" t="n"/>
      <c r="L2852" s="537" t="n"/>
      <c r="M2852" s="540" t="n"/>
      <c r="N2852" s="516" t="n"/>
      <c r="O2852" s="537" t="n"/>
      <c r="P2852" s="540" t="n"/>
    </row>
    <row r="2856" ht="15.75" customHeight="1" s="2" thickBot="1"/>
    <row r="2857" ht="15.75" customHeight="1" s="2" thickBot="1">
      <c r="B2857" s="1482" t="inlineStr">
        <is>
          <t>23.12.2024</t>
        </is>
      </c>
      <c r="C2857" s="1483" t="n"/>
      <c r="D2857" s="1484" t="n"/>
      <c r="E2857" s="1485" t="inlineStr">
        <is>
          <t>30.12.2024</t>
        </is>
      </c>
      <c r="F2857" s="1486" t="n"/>
      <c r="G2857" s="1487" t="n"/>
      <c r="H2857" s="1485" t="n"/>
      <c r="I2857" s="1486" t="n"/>
      <c r="J2857" s="1487" t="n"/>
      <c r="K2857" s="1485" t="n"/>
      <c r="L2857" s="1486" t="n"/>
      <c r="M2857" s="1487" t="n"/>
      <c r="N2857" s="1488" t="n"/>
      <c r="O2857" s="1489" t="n"/>
      <c r="P2857" s="1490" t="n"/>
    </row>
    <row r="2858" ht="15.75" customHeight="1" s="2" thickBot="1">
      <c r="A2858" s="455" t="n"/>
      <c r="B2858" s="1217" t="inlineStr">
        <is>
          <t>LAST YEAR</t>
        </is>
      </c>
      <c r="C2858" s="1219" t="inlineStr">
        <is>
          <t>Projected</t>
        </is>
      </c>
      <c r="D2858" s="1218" t="inlineStr">
        <is>
          <t>Actual</t>
        </is>
      </c>
      <c r="E2858" s="1217" t="inlineStr">
        <is>
          <t>LAST YEAR</t>
        </is>
      </c>
      <c r="F2858" s="1219" t="inlineStr">
        <is>
          <t>Projected</t>
        </is>
      </c>
      <c r="G2858" s="1218" t="inlineStr">
        <is>
          <t>Actual</t>
        </is>
      </c>
      <c r="H2858" s="1217" t="inlineStr">
        <is>
          <t>LAST YEAR</t>
        </is>
      </c>
      <c r="I2858" s="1219" t="inlineStr">
        <is>
          <t>Projected</t>
        </is>
      </c>
      <c r="J2858" s="1218" t="inlineStr">
        <is>
          <t>Actual</t>
        </is>
      </c>
      <c r="K2858" s="1217" t="inlineStr">
        <is>
          <t>LAST YEAR</t>
        </is>
      </c>
      <c r="L2858" s="1219" t="inlineStr">
        <is>
          <t>Projected</t>
        </is>
      </c>
      <c r="M2858" s="1218" t="inlineStr">
        <is>
          <t>Actual</t>
        </is>
      </c>
      <c r="N2858" s="1217" t="inlineStr">
        <is>
          <t>LAST YEAR</t>
        </is>
      </c>
      <c r="O2858" s="1219" t="inlineStr">
        <is>
          <t>Projected</t>
        </is>
      </c>
      <c r="P2858" s="1218" t="inlineStr">
        <is>
          <t>Actual</t>
        </is>
      </c>
    </row>
    <row r="2859" ht="15.75" customHeight="1" s="2">
      <c r="A2859" s="459" t="inlineStr">
        <is>
          <t>Total Receipts</t>
        </is>
      </c>
      <c r="B2859" s="1672" t="n">
        <v>216295.59</v>
      </c>
      <c r="C2859" s="1672" t="n">
        <v>194228</v>
      </c>
      <c r="D2859" s="1622" t="n">
        <v>192772.2</v>
      </c>
      <c r="E2859" s="1688" t="n">
        <v>262830.86</v>
      </c>
      <c r="F2859" s="1672" t="n">
        <v>241970</v>
      </c>
      <c r="G2859" s="1645" t="n">
        <v>271579.38</v>
      </c>
      <c r="H2859" s="1643" t="n"/>
      <c r="I2859" s="1676" t="n"/>
      <c r="J2859" s="1645" t="n"/>
      <c r="K2859" s="1643" t="n"/>
      <c r="L2859" s="1673" t="n"/>
      <c r="M2859" s="1645" t="n"/>
      <c r="N2859" s="1643" t="n"/>
      <c r="O2859" s="1676" t="n"/>
      <c r="P2859" s="1622" t="n"/>
    </row>
    <row r="2860" ht="15.75" customHeight="1" s="2">
      <c r="A2860" s="462" t="inlineStr">
        <is>
          <t>Nett Sales</t>
        </is>
      </c>
      <c r="B2860" s="1677" t="n">
        <v>199632.35</v>
      </c>
      <c r="C2860" s="1677" t="n">
        <v>176570.9</v>
      </c>
      <c r="D2860" s="1625" t="n">
        <v>175247.45</v>
      </c>
      <c r="E2860" s="1677" t="n">
        <v>238937.15</v>
      </c>
      <c r="F2860" s="1677" t="n">
        <v>219972.7</v>
      </c>
      <c r="G2860" s="1637" t="n">
        <v>246890.35</v>
      </c>
      <c r="H2860" s="1632" t="n"/>
      <c r="I2860" s="1678" t="n"/>
      <c r="J2860" s="1625" t="n"/>
      <c r="K2860" s="1632" t="n"/>
      <c r="L2860" s="1678" t="n"/>
      <c r="M2860" s="1625" t="n"/>
      <c r="N2860" s="1632" t="n"/>
      <c r="O2860" s="1678" t="n"/>
      <c r="P2860" s="1625" t="n"/>
    </row>
    <row r="2861" ht="15.75" customHeight="1" s="2">
      <c r="A2861" s="462" t="inlineStr">
        <is>
          <t>Customers</t>
        </is>
      </c>
      <c r="B2861" s="1270" t="n">
        <v>8917</v>
      </c>
      <c r="C2861" s="1270" t="n">
        <v>7495</v>
      </c>
      <c r="D2861" s="466" t="n">
        <v>7503</v>
      </c>
      <c r="E2861" s="1270" t="n">
        <v>10456</v>
      </c>
      <c r="F2861" s="1270" t="n">
        <v>9340</v>
      </c>
      <c r="G2861" s="466" t="n">
        <v>10011</v>
      </c>
      <c r="H2861" s="565" t="n"/>
      <c r="I2861" s="1224" t="n"/>
      <c r="J2861" s="466" t="n"/>
      <c r="K2861" s="565" t="n"/>
      <c r="L2861" s="1224" t="n"/>
      <c r="M2861" s="466" t="n"/>
      <c r="N2861" s="565" t="n"/>
      <c r="O2861" s="1224" t="n"/>
      <c r="P2861" s="1655" t="n"/>
    </row>
    <row r="2862" ht="15.75" customHeight="1" s="2">
      <c r="A2862" s="462" t="inlineStr">
        <is>
          <t>Average Customer Spend</t>
        </is>
      </c>
      <c r="B2862" s="1682" t="n">
        <v>24.25</v>
      </c>
      <c r="C2862" s="1682" t="n">
        <v>25.91</v>
      </c>
      <c r="D2862" s="1628" t="n">
        <v>25.69</v>
      </c>
      <c r="E2862" s="1689" t="n">
        <v>25.13</v>
      </c>
      <c r="F2862" s="1682" t="n">
        <v>25.91</v>
      </c>
      <c r="G2862" s="1649" t="n">
        <v>27.12</v>
      </c>
      <c r="H2862" s="1647" t="n"/>
      <c r="I2862" s="1686" t="n"/>
      <c r="J2862" s="1649" t="n"/>
      <c r="K2862" s="1647" t="n"/>
      <c r="L2862" s="1683" t="n"/>
      <c r="M2862" s="1649" t="n"/>
      <c r="N2862" s="1647" t="n"/>
      <c r="O2862" s="1686" t="n"/>
      <c r="P2862" s="1628" t="n"/>
    </row>
    <row r="2863" ht="15.75" customHeight="1" s="2">
      <c r="A2863" s="462" t="inlineStr">
        <is>
          <t>Wage % to Total Receipts</t>
        </is>
      </c>
      <c r="B2863" s="1272" t="n">
        <v>0.3284</v>
      </c>
      <c r="C2863" s="1272" t="n">
        <v>0.2858</v>
      </c>
      <c r="D2863" s="470" t="n">
        <v>0.2809</v>
      </c>
      <c r="E2863" s="1301" t="n">
        <v>0.3326</v>
      </c>
      <c r="F2863" s="1272" t="n">
        <v>0.3503</v>
      </c>
      <c r="G2863" s="863" t="n">
        <v>0.3243</v>
      </c>
      <c r="H2863" s="860" t="n"/>
      <c r="I2863" s="1232" t="n"/>
      <c r="J2863" s="863" t="n"/>
      <c r="K2863" s="860" t="n"/>
      <c r="L2863" s="1226" t="n"/>
      <c r="M2863" s="863" t="n"/>
      <c r="N2863" s="860" t="n"/>
      <c r="O2863" s="1232" t="n"/>
      <c r="P2863" s="470" t="n"/>
    </row>
    <row r="2864" ht="15.75" customHeight="1" s="2">
      <c r="A2864" s="462" t="inlineStr">
        <is>
          <t>Wage % to Nett Sales</t>
        </is>
      </c>
      <c r="B2864" s="1272" t="n">
        <v>0.3613</v>
      </c>
      <c r="C2864" s="1272" t="n">
        <v>0.3144</v>
      </c>
      <c r="D2864" s="470" t="n">
        <v>0.309</v>
      </c>
      <c r="E2864" s="1301" t="n">
        <v>0.3659</v>
      </c>
      <c r="F2864" s="1272" t="n">
        <v>0.3853</v>
      </c>
      <c r="G2864" s="863" t="n">
        <v>0.3567</v>
      </c>
      <c r="H2864" s="860" t="n"/>
      <c r="I2864" s="1232" t="n"/>
      <c r="J2864" s="863" t="n"/>
      <c r="K2864" s="860" t="n"/>
      <c r="L2864" s="1226" t="n"/>
      <c r="M2864" s="863" t="n"/>
      <c r="N2864" s="860" t="n"/>
      <c r="O2864" s="1232" t="n"/>
      <c r="P2864" s="470" t="n"/>
    </row>
    <row r="2865" ht="15.75" customHeight="1" s="2">
      <c r="A2865" s="462" t="inlineStr">
        <is>
          <t>Productivity</t>
        </is>
      </c>
      <c r="B2865" s="1273" t="n">
        <v>5.48</v>
      </c>
      <c r="C2865" s="1273" t="n">
        <v>5.4</v>
      </c>
      <c r="D2865" s="472" t="n">
        <v>5.37</v>
      </c>
      <c r="E2865" s="1273" t="n">
        <v>5.73</v>
      </c>
      <c r="F2865" s="1273" t="n">
        <v>5.4</v>
      </c>
      <c r="G2865" s="472" t="n">
        <v>5.91</v>
      </c>
      <c r="H2865" s="568" t="n"/>
      <c r="I2865" s="1227" t="n"/>
      <c r="J2865" s="472" t="n"/>
      <c r="K2865" s="568" t="n"/>
      <c r="L2865" s="1227" t="n"/>
      <c r="M2865" s="472" t="n"/>
      <c r="N2865" s="568" t="n"/>
      <c r="O2865" s="1227" t="n"/>
      <c r="P2865" s="472" t="n"/>
    </row>
    <row r="2866" ht="15.75" customHeight="1" s="2">
      <c r="A2866" s="462" t="inlineStr">
        <is>
          <t>Average Hourly Rate</t>
        </is>
      </c>
      <c r="B2866" s="1273" t="n">
        <v>43.65</v>
      </c>
      <c r="C2866" s="1273" t="n">
        <v>40</v>
      </c>
      <c r="D2866" s="1628" t="n">
        <v>38.77</v>
      </c>
      <c r="E2866" s="1273" t="n">
        <v>47.89</v>
      </c>
      <c r="F2866" s="1273" t="n">
        <v>49</v>
      </c>
      <c r="G2866" s="1649" t="n">
        <v>51.96</v>
      </c>
      <c r="H2866" s="568" t="n"/>
      <c r="I2866" s="1227" t="n"/>
      <c r="J2866" s="1649" t="n"/>
      <c r="K2866" s="568" t="n"/>
      <c r="L2866" s="1227" t="n"/>
      <c r="M2866" s="1649" t="n"/>
      <c r="N2866" s="568" t="n"/>
      <c r="O2866" s="1227" t="n"/>
      <c r="P2866" s="1628" t="n"/>
    </row>
    <row r="2867" ht="15.75" customHeight="1" s="2">
      <c r="A2867" s="462" t="inlineStr">
        <is>
          <t>Total hours for productivity</t>
        </is>
      </c>
      <c r="B2867" s="1273" t="n">
        <v>1626.5</v>
      </c>
      <c r="C2867" s="1273" t="n">
        <v>1321</v>
      </c>
      <c r="D2867" s="466" t="n">
        <v>1396.75</v>
      </c>
      <c r="E2867" s="1273" t="n">
        <v>1825.5</v>
      </c>
      <c r="F2867" s="1273" t="n">
        <v>1598</v>
      </c>
      <c r="G2867" s="466" t="n">
        <v>1694.75</v>
      </c>
      <c r="H2867" s="568" t="n"/>
      <c r="I2867" s="1227" t="n"/>
      <c r="J2867" s="472" t="n"/>
      <c r="K2867" s="568" t="n"/>
      <c r="L2867" s="1227" t="n"/>
      <c r="M2867" s="466" t="n"/>
      <c r="N2867" s="568" t="n"/>
      <c r="O2867" s="1227" t="n"/>
      <c r="P2867" s="466" t="n"/>
    </row>
    <row r="2868" ht="15.75" customHeight="1" s="2">
      <c r="A2868" s="462" t="inlineStr">
        <is>
          <t>Training Hours used</t>
        </is>
      </c>
      <c r="B2868" s="1274" t="n"/>
      <c r="C2868" s="1274" t="n"/>
      <c r="D2868" s="466" t="n">
        <v>91.5</v>
      </c>
      <c r="E2868" s="1274" t="n"/>
      <c r="F2868" s="1274" t="n"/>
      <c r="G2868" s="466" t="n">
        <v>8.5</v>
      </c>
      <c r="H2868" s="569" t="n"/>
      <c r="I2868" s="1228" t="n"/>
      <c r="J2868" s="466" t="n"/>
      <c r="K2868" s="569" t="n"/>
      <c r="L2868" s="1228" t="n"/>
      <c r="M2868" s="466" t="n"/>
      <c r="N2868" s="569" t="n"/>
      <c r="O2868" s="1228" t="n"/>
      <c r="P2868" s="466" t="n"/>
    </row>
    <row r="2869" ht="15.75" customHeight="1" s="2" thickBot="1">
      <c r="A2869" s="474" t="inlineStr">
        <is>
          <t>Number of hours used to cover sick leave</t>
        </is>
      </c>
      <c r="B2869" s="1282" t="n"/>
      <c r="C2869" s="1282" t="n"/>
      <c r="D2869" s="476" t="n"/>
      <c r="E2869" s="1282" t="n"/>
      <c r="F2869" s="1282" t="n"/>
      <c r="G2869" s="476" t="n">
        <v>16.5</v>
      </c>
      <c r="H2869" s="1229" t="n"/>
      <c r="I2869" s="1229" t="n"/>
      <c r="J2869" s="476" t="n"/>
      <c r="K2869" s="1229" t="n"/>
      <c r="L2869" s="1229" t="n"/>
      <c r="M2869" s="476" t="n"/>
      <c r="N2869" s="1229" t="n"/>
      <c r="O2869" s="1229" t="n"/>
      <c r="P2869" s="476" t="n"/>
    </row>
    <row r="2870" ht="15.75" customHeight="1" s="2" thickBot="1">
      <c r="A2870" s="477" t="inlineStr">
        <is>
          <t xml:space="preserve">Minimum Hours </t>
        </is>
      </c>
      <c r="B2870" s="1171" t="n"/>
      <c r="C2870" s="816" t="inlineStr">
        <is>
          <t>Projected</t>
        </is>
      </c>
      <c r="D2870" s="935" t="inlineStr">
        <is>
          <t>Min Hrs</t>
        </is>
      </c>
      <c r="E2870" s="1171" t="n"/>
      <c r="F2870" s="816" t="inlineStr">
        <is>
          <t>Projected</t>
        </is>
      </c>
      <c r="G2870" s="935" t="inlineStr">
        <is>
          <t>Min Hrs</t>
        </is>
      </c>
      <c r="H2870" s="935" t="n"/>
      <c r="I2870" s="816" t="inlineStr">
        <is>
          <t>Projected</t>
        </is>
      </c>
      <c r="J2870" s="935" t="inlineStr">
        <is>
          <t>Min Hrs</t>
        </is>
      </c>
      <c r="K2870" s="935" t="n"/>
      <c r="L2870" s="816" t="inlineStr">
        <is>
          <t>Projected</t>
        </is>
      </c>
      <c r="M2870" s="935" t="inlineStr">
        <is>
          <t>Min Hrs</t>
        </is>
      </c>
      <c r="N2870" s="1171" t="n"/>
      <c r="O2870" s="816" t="inlineStr">
        <is>
          <t>Projected</t>
        </is>
      </c>
      <c r="P2870" s="935" t="inlineStr">
        <is>
          <t>Min Hrs</t>
        </is>
      </c>
    </row>
    <row r="2871" ht="15.75" customHeight="1" s="2">
      <c r="A2871" s="479" t="inlineStr">
        <is>
          <t>Floor</t>
        </is>
      </c>
      <c r="B2871" s="1172" t="n"/>
      <c r="C2871" s="810" t="n">
        <v>695</v>
      </c>
      <c r="D2871" s="811" t="n">
        <v>459</v>
      </c>
      <c r="E2871" s="1172" t="n"/>
      <c r="F2871" s="810" t="n">
        <v>820</v>
      </c>
      <c r="G2871" s="811" t="n">
        <v>459</v>
      </c>
      <c r="H2871" s="810" t="n"/>
      <c r="I2871" s="810" t="n"/>
      <c r="J2871" s="811" t="n"/>
      <c r="K2871" s="810" t="n"/>
      <c r="L2871" s="810" t="n"/>
      <c r="M2871" s="811" t="n"/>
      <c r="N2871" s="1172" t="n"/>
      <c r="O2871" s="810" t="n"/>
      <c r="P2871" s="811" t="n"/>
    </row>
    <row r="2872" ht="15.75" customHeight="1" s="2" thickBot="1">
      <c r="A2872" s="481" t="inlineStr">
        <is>
          <t>Kitchen</t>
        </is>
      </c>
      <c r="B2872" s="1173" t="n"/>
      <c r="C2872" s="813" t="n">
        <v>626</v>
      </c>
      <c r="D2872" s="814" t="n">
        <v>491</v>
      </c>
      <c r="E2872" s="1173" t="n"/>
      <c r="F2872" s="840" t="n">
        <v>778</v>
      </c>
      <c r="G2872" s="814" t="n">
        <v>491</v>
      </c>
      <c r="H2872" s="813" t="n"/>
      <c r="I2872" s="840" t="n"/>
      <c r="J2872" s="814" t="n"/>
      <c r="K2872" s="813" t="n"/>
      <c r="L2872" s="840" t="n"/>
      <c r="M2872" s="814" t="n"/>
      <c r="N2872" s="1173" t="n"/>
      <c r="O2872" s="813" t="n"/>
      <c r="P2872" s="814" t="n"/>
    </row>
    <row r="2873" ht="15.75" customHeight="1" s="2" thickBot="1">
      <c r="A2873" s="834" t="n"/>
      <c r="B2873" s="836" t="n"/>
      <c r="C2873" s="1220" t="n"/>
      <c r="D2873" s="1220" t="n"/>
      <c r="E2873" s="839" t="n"/>
      <c r="F2873" s="1220" t="n"/>
      <c r="G2873" s="1220" t="n"/>
      <c r="H2873" s="839" t="n"/>
      <c r="I2873" s="1220" t="n"/>
      <c r="J2873" s="1220" t="n"/>
      <c r="K2873" s="839" t="n"/>
      <c r="L2873" s="1220" t="n"/>
      <c r="M2873" s="1220" t="n"/>
      <c r="N2873" s="839" t="n"/>
      <c r="O2873" s="835" t="n"/>
      <c r="P2873" s="835" t="n"/>
    </row>
    <row r="2874" ht="15.75" customHeight="1" s="2">
      <c r="A2874" s="506" t="inlineStr">
        <is>
          <t>Training explanation</t>
        </is>
      </c>
      <c r="B2874" s="837" t="n"/>
      <c r="C2874" s="1220" t="n"/>
      <c r="D2874" s="1220" t="n"/>
      <c r="E2874" s="837" t="n"/>
      <c r="F2874" s="1220" t="n"/>
      <c r="G2874" s="1220" t="n"/>
      <c r="H2874" s="837" t="n"/>
      <c r="I2874" s="1220" t="n"/>
      <c r="J2874" s="1220" t="n"/>
      <c r="K2874" s="837" t="n"/>
      <c r="L2874" s="1220" t="n"/>
      <c r="M2874" s="1220" t="n"/>
      <c r="N2874" s="837" t="n"/>
      <c r="O2874" s="835" t="n"/>
      <c r="P2874" s="835" t="n"/>
    </row>
    <row r="2875" ht="15.75" customHeight="1" s="2" thickBot="1">
      <c r="A2875" s="506" t="inlineStr">
        <is>
          <t>Who is being Trained</t>
        </is>
      </c>
      <c r="B2875" s="838" t="n"/>
      <c r="C2875" s="1221" t="n"/>
      <c r="D2875" s="1221" t="n"/>
      <c r="E2875" s="838" t="n"/>
      <c r="F2875" s="1221" t="n"/>
      <c r="G2875" s="1221" t="n"/>
      <c r="H2875" s="838" t="n"/>
      <c r="I2875" s="1221" t="n"/>
      <c r="J2875" s="1221" t="n"/>
      <c r="K2875" s="838" t="n"/>
      <c r="L2875" s="1221" t="n"/>
      <c r="M2875" s="1221" t="n"/>
      <c r="N2875" s="838" t="n"/>
    </row>
    <row r="2876" ht="15.75" customHeight="1" s="2" thickBot="1">
      <c r="A2876" s="506" t="n"/>
      <c r="C2876" s="523" t="inlineStr">
        <is>
          <t>floor</t>
        </is>
      </c>
      <c r="D2876" s="524" t="inlineStr">
        <is>
          <t>kitchen</t>
        </is>
      </c>
      <c r="E2876" s="509" t="n"/>
      <c r="F2876" s="507" t="inlineStr">
        <is>
          <t>floor</t>
        </is>
      </c>
      <c r="G2876" s="508" t="inlineStr">
        <is>
          <t>kitchen</t>
        </is>
      </c>
      <c r="H2876" s="510" t="n"/>
      <c r="I2876" s="535" t="inlineStr">
        <is>
          <t>floor</t>
        </is>
      </c>
      <c r="J2876" s="511" t="inlineStr">
        <is>
          <t>kitchen</t>
        </is>
      </c>
      <c r="K2876" s="512" t="n"/>
      <c r="L2876" s="535" t="inlineStr">
        <is>
          <t>floor</t>
        </is>
      </c>
      <c r="M2876" s="513" t="inlineStr">
        <is>
          <t>kitchen</t>
        </is>
      </c>
      <c r="N2876" s="512" t="n"/>
      <c r="O2876" s="535" t="inlineStr">
        <is>
          <t>floor</t>
        </is>
      </c>
      <c r="P2876" s="513" t="inlineStr">
        <is>
          <t>kitchen</t>
        </is>
      </c>
    </row>
    <row r="2877" ht="15.75" customHeight="1" s="2">
      <c r="A2877" s="506" t="n"/>
      <c r="C2877" s="525" t="n"/>
      <c r="D2877" s="527" t="n"/>
      <c r="E2877" s="514" t="n"/>
      <c r="F2877" s="525" t="n"/>
      <c r="G2877" s="527" t="n"/>
      <c r="H2877" s="515" t="n"/>
      <c r="I2877" s="531" t="n"/>
      <c r="J2877" s="824" t="n"/>
      <c r="K2877" s="515" t="n"/>
      <c r="L2877" s="536" t="n"/>
      <c r="M2877" s="532" t="n"/>
      <c r="N2877" s="515" t="n"/>
      <c r="O2877" s="536" t="n"/>
      <c r="P2877" s="532" t="n"/>
    </row>
    <row r="2878" ht="15.75" customHeight="1" s="2">
      <c r="C2878" s="891" t="n"/>
      <c r="D2878" s="526" t="n"/>
      <c r="E2878" s="514" t="n"/>
      <c r="F2878" s="891" t="n"/>
      <c r="G2878" s="526" t="n"/>
      <c r="H2878" s="516" t="n"/>
      <c r="I2878" s="1656" t="n"/>
      <c r="J2878" s="530" t="n"/>
      <c r="K2878" s="516" t="n"/>
      <c r="L2878" s="542" t="n"/>
      <c r="M2878" s="530" t="n"/>
      <c r="N2878" s="516" t="n"/>
      <c r="O2878" s="542" t="n"/>
      <c r="P2878" s="530" t="n"/>
    </row>
    <row r="2879" ht="15.75" customHeight="1" s="2">
      <c r="C2879" s="550" t="n"/>
      <c r="D2879" s="527" t="n"/>
      <c r="E2879" s="514" t="n"/>
      <c r="F2879" s="531" t="n"/>
      <c r="G2879" s="530" t="n"/>
      <c r="H2879" s="516" t="n"/>
      <c r="I2879" s="537" t="n"/>
      <c r="J2879" s="530" t="n"/>
      <c r="K2879" s="516" t="n"/>
      <c r="L2879" s="1657" t="n"/>
      <c r="M2879" s="539" t="n"/>
      <c r="N2879" s="516" t="n"/>
      <c r="O2879" s="542" t="n"/>
      <c r="P2879" s="539" t="n"/>
    </row>
    <row r="2880" ht="15.75" customHeight="1" s="2">
      <c r="C2880" s="561" t="n"/>
      <c r="D2880" s="561" t="n"/>
      <c r="E2880" s="519" t="n"/>
      <c r="F2880" s="517" t="n"/>
      <c r="G2880" s="1659" t="n"/>
      <c r="H2880" s="516" t="n"/>
      <c r="I2880" s="537" t="n"/>
      <c r="J2880" s="530" t="n"/>
      <c r="K2880" s="516" t="n"/>
      <c r="L2880" s="537" t="n"/>
      <c r="M2880" s="539" t="n"/>
      <c r="N2880" s="516" t="n"/>
      <c r="O2880" s="537" t="n"/>
      <c r="P2880" s="539" t="n"/>
    </row>
    <row r="2881" ht="15.75" customHeight="1" s="2">
      <c r="C2881" s="551" t="n"/>
      <c r="D2881" s="528" t="n"/>
      <c r="E2881" s="519" t="n"/>
      <c r="F2881" s="517" t="n"/>
      <c r="G2881" s="518" t="n"/>
      <c r="H2881" s="516" t="n"/>
      <c r="I2881" s="537" t="n"/>
      <c r="J2881" s="533" t="n"/>
      <c r="K2881" s="516" t="n"/>
      <c r="L2881" s="537" t="n"/>
      <c r="M2881" s="540" t="n"/>
      <c r="N2881" s="516" t="n"/>
      <c r="O2881" s="537" t="n"/>
      <c r="P2881" s="540" t="n"/>
    </row>
    <row r="2885" ht="15.75" customHeight="1" s="2" thickBot="1"/>
    <row r="2886" ht="15.75" customHeight="1" s="2" thickBot="1">
      <c r="B2886" s="1319" t="n"/>
      <c r="C2886" s="1320" t="inlineStr">
        <is>
          <t>06.01.2025</t>
        </is>
      </c>
      <c r="D2886" s="1321" t="n"/>
      <c r="E2886" s="1319" t="n"/>
      <c r="F2886" s="1320" t="inlineStr">
        <is>
          <t>13.01.2025</t>
        </is>
      </c>
      <c r="G2886" s="1321" t="n"/>
      <c r="H2886" s="1319" t="n"/>
      <c r="I2886" s="1320" t="inlineStr">
        <is>
          <t>20.01.2025</t>
        </is>
      </c>
      <c r="J2886" s="1321" t="n"/>
      <c r="K2886" s="1319" t="n"/>
      <c r="L2886" s="1320" t="inlineStr">
        <is>
          <t>27.01.2025</t>
        </is>
      </c>
      <c r="M2886" s="1321" t="n"/>
      <c r="N2886" s="1322" t="n"/>
      <c r="O2886" s="1323" t="inlineStr">
        <is>
          <t>03.02.2025</t>
        </is>
      </c>
      <c r="P2886" s="1324" t="n"/>
    </row>
    <row r="2887" ht="15.75" customHeight="1" s="2" thickBot="1">
      <c r="A2887" s="455" t="n"/>
      <c r="B2887" s="1217" t="inlineStr">
        <is>
          <t>LAST YEAR</t>
        </is>
      </c>
      <c r="C2887" s="1219" t="inlineStr">
        <is>
          <t>Projected</t>
        </is>
      </c>
      <c r="D2887" s="1218" t="inlineStr">
        <is>
          <t>Actual</t>
        </is>
      </c>
      <c r="E2887" s="1217" t="inlineStr">
        <is>
          <t>LAST YEAR</t>
        </is>
      </c>
      <c r="F2887" s="1219" t="inlineStr">
        <is>
          <t>Projected</t>
        </is>
      </c>
      <c r="G2887" s="1218" t="inlineStr">
        <is>
          <t>Actual</t>
        </is>
      </c>
      <c r="H2887" s="1217" t="inlineStr">
        <is>
          <t>LAST YEAR</t>
        </is>
      </c>
      <c r="I2887" s="1219" t="inlineStr">
        <is>
          <t>Projected</t>
        </is>
      </c>
      <c r="J2887" s="1218" t="inlineStr">
        <is>
          <t>Actual</t>
        </is>
      </c>
      <c r="K2887" s="1217" t="inlineStr">
        <is>
          <t>LAST YEAR</t>
        </is>
      </c>
      <c r="L2887" s="1219" t="inlineStr">
        <is>
          <t>Projected</t>
        </is>
      </c>
      <c r="M2887" s="1218" t="inlineStr">
        <is>
          <t>Actual</t>
        </is>
      </c>
      <c r="N2887" s="1217" t="inlineStr">
        <is>
          <t>LAST YEAR</t>
        </is>
      </c>
      <c r="O2887" s="1219" t="inlineStr">
        <is>
          <t>Projected</t>
        </is>
      </c>
      <c r="P2887" s="1218" t="inlineStr">
        <is>
          <t>Actual</t>
        </is>
      </c>
    </row>
    <row r="2888" ht="15.75" customHeight="1" s="2">
      <c r="A2888" s="459" t="inlineStr">
        <is>
          <t>Total Receipts</t>
        </is>
      </c>
      <c r="B2888" s="1690" t="n">
        <v>165833.63</v>
      </c>
      <c r="C2888" s="1691" t="n">
        <v>228480</v>
      </c>
      <c r="D2888" s="1622" t="n">
        <v>235289.59</v>
      </c>
      <c r="E2888" s="1690" t="n">
        <v>179839.74</v>
      </c>
      <c r="F2888" s="1691" t="n">
        <v>177846</v>
      </c>
      <c r="G2888" s="1645" t="n">
        <v>164059.65</v>
      </c>
      <c r="H2888" s="1690" t="n">
        <v>162194.93</v>
      </c>
      <c r="I2888" s="1692" t="n">
        <v>163178</v>
      </c>
      <c r="J2888" s="1645" t="n">
        <v>162986.93</v>
      </c>
      <c r="K2888" s="1690" t="n">
        <v>132258.05</v>
      </c>
      <c r="L2888" s="1691" t="n">
        <v>207870</v>
      </c>
      <c r="M2888" s="1645" t="n">
        <v>194784.66</v>
      </c>
      <c r="N2888" s="1690" t="n">
        <v>143819.65</v>
      </c>
      <c r="O2888" s="1692" t="n">
        <v>192650</v>
      </c>
      <c r="P2888" s="1622" t="n">
        <v>180232.02</v>
      </c>
    </row>
    <row r="2889" ht="15.75" customHeight="1" s="2">
      <c r="A2889" s="462" t="inlineStr">
        <is>
          <t>Nett Sales</t>
        </is>
      </c>
      <c r="B2889" s="1693" t="n">
        <v>150757.85</v>
      </c>
      <c r="C2889" s="1694" t="n">
        <v>207709.1</v>
      </c>
      <c r="D2889" s="1625" t="n">
        <v>213899.4</v>
      </c>
      <c r="E2889" s="1695" t="n">
        <v>163490.67</v>
      </c>
      <c r="F2889" s="1694" t="n">
        <v>161678</v>
      </c>
      <c r="G2889" s="1637" t="n">
        <v>149145.14</v>
      </c>
      <c r="H2889" s="1695" t="n">
        <v>147449.94</v>
      </c>
      <c r="I2889" s="1694" t="n">
        <v>148343</v>
      </c>
      <c r="J2889" s="1625" t="n">
        <v>148169.94</v>
      </c>
      <c r="K2889" s="1695" t="n">
        <v>120234.59</v>
      </c>
      <c r="L2889" s="1694" t="n">
        <v>188978.7</v>
      </c>
      <c r="M2889" s="1625" t="n">
        <v>177076.96</v>
      </c>
      <c r="N2889" s="1695" t="n">
        <v>130745.14</v>
      </c>
      <c r="O2889" s="1694" t="n">
        <v>175136.4</v>
      </c>
      <c r="P2889" s="1625" t="n">
        <v>163847.29</v>
      </c>
    </row>
    <row r="2890" ht="15.75" customHeight="1" s="2">
      <c r="A2890" s="462" t="inlineStr">
        <is>
          <t>Customers</t>
        </is>
      </c>
      <c r="B2890" s="1332" t="n">
        <v>7048</v>
      </c>
      <c r="C2890" s="1333" t="n">
        <v>8925</v>
      </c>
      <c r="D2890" s="466" t="n">
        <v>8777</v>
      </c>
      <c r="E2890" s="1332" t="n">
        <v>7703</v>
      </c>
      <c r="F2890" s="1333" t="n">
        <v>7056</v>
      </c>
      <c r="G2890" s="466" t="n">
        <v>6512</v>
      </c>
      <c r="H2890" s="1332" t="n">
        <v>6626</v>
      </c>
      <c r="I2890" s="1333" t="n">
        <v>6465</v>
      </c>
      <c r="J2890" s="466" t="n">
        <v>6314</v>
      </c>
      <c r="K2890" s="1696" t="n">
        <v>5582</v>
      </c>
      <c r="L2890" s="1333" t="n">
        <v>8115</v>
      </c>
      <c r="M2890" s="466" t="n">
        <v>7315</v>
      </c>
      <c r="N2890" s="1332" t="n">
        <v>5915</v>
      </c>
      <c r="O2890" s="1333" t="n">
        <v>7630</v>
      </c>
      <c r="P2890" s="1655" t="n">
        <v>6651</v>
      </c>
    </row>
    <row r="2891" ht="15.75" customHeight="1" s="2">
      <c r="A2891" s="462" t="inlineStr">
        <is>
          <t>Average Customer Spend</t>
        </is>
      </c>
      <c r="B2891" s="1697" t="n">
        <v>23.52</v>
      </c>
      <c r="C2891" s="1698" t="n">
        <v>25.6</v>
      </c>
      <c r="D2891" s="1628" t="n">
        <v>26.8</v>
      </c>
      <c r="E2891" s="1697" t="n">
        <v>23.34</v>
      </c>
      <c r="F2891" s="1698" t="n">
        <v>25.19</v>
      </c>
      <c r="G2891" s="1649" t="n">
        <v>25.19</v>
      </c>
      <c r="H2891" s="1697" t="n">
        <v>24.47</v>
      </c>
      <c r="I2891" s="1699" t="n">
        <v>25.24</v>
      </c>
      <c r="J2891" s="1649" t="n">
        <v>25.81</v>
      </c>
      <c r="K2891" s="1697" t="n">
        <v>23.69</v>
      </c>
      <c r="L2891" s="1698" t="n">
        <v>25.62</v>
      </c>
      <c r="M2891" s="1649" t="n">
        <v>26.62</v>
      </c>
      <c r="N2891" s="1697" t="n">
        <v>24.31</v>
      </c>
      <c r="O2891" s="1699" t="n">
        <v>25.25</v>
      </c>
      <c r="P2891" s="1628" t="n">
        <v>27.09</v>
      </c>
    </row>
    <row r="2892" ht="15.75" customHeight="1" s="2">
      <c r="A2892" s="462" t="inlineStr">
        <is>
          <t>Wage % to Total Receipts</t>
        </is>
      </c>
      <c r="B2892" s="1336" t="n">
        <v>0.2907</v>
      </c>
      <c r="C2892" s="1337" t="n">
        <v>0.3255</v>
      </c>
      <c r="D2892" s="470" t="n">
        <v>0.3156</v>
      </c>
      <c r="E2892" s="1336" t="n">
        <v>0.2862</v>
      </c>
      <c r="F2892" s="1337" t="n">
        <v>0.3012</v>
      </c>
      <c r="G2892" s="863" t="n">
        <v>0.3026</v>
      </c>
      <c r="H2892" s="1336" t="n">
        <v>0.2998</v>
      </c>
      <c r="I2892" s="1346" t="n">
        <v>0.3302</v>
      </c>
      <c r="J2892" s="863" t="n">
        <v>0.306</v>
      </c>
      <c r="K2892" s="1336" t="n">
        <v>0.3218</v>
      </c>
      <c r="L2892" s="1337" t="n">
        <v>0.3207</v>
      </c>
      <c r="M2892" s="863" t="n">
        <v>0.317</v>
      </c>
      <c r="N2892" s="1336" t="n">
        <v>0.3032</v>
      </c>
      <c r="O2892" s="1346" t="n">
        <v>0.297</v>
      </c>
      <c r="P2892" s="470" t="n">
        <v>0.2825</v>
      </c>
    </row>
    <row r="2893" ht="15.75" customHeight="1" s="2">
      <c r="A2893" s="462" t="inlineStr">
        <is>
          <t>Wage % to Nett Sales</t>
        </is>
      </c>
      <c r="B2893" s="1336" t="n">
        <v>0.3198</v>
      </c>
      <c r="C2893" s="1337" t="n">
        <v>0.3581</v>
      </c>
      <c r="D2893" s="470" t="n">
        <v>0.3472</v>
      </c>
      <c r="E2893" s="1336" t="n">
        <v>0.3148</v>
      </c>
      <c r="F2893" s="1337" t="n">
        <v>0.3314</v>
      </c>
      <c r="G2893" s="863" t="n">
        <v>0.3326</v>
      </c>
      <c r="H2893" s="1336" t="n">
        <v>0.3298</v>
      </c>
      <c r="I2893" s="1346" t="n">
        <v>0.3632</v>
      </c>
      <c r="J2893" s="863" t="n">
        <v>0.3366</v>
      </c>
      <c r="K2893" s="1336" t="n">
        <v>0.3539</v>
      </c>
      <c r="L2893" s="1337" t="n">
        <v>0.3527</v>
      </c>
      <c r="M2893" s="863" t="n">
        <v>0.3486</v>
      </c>
      <c r="N2893" s="1336" t="n">
        <v>0.3335</v>
      </c>
      <c r="O2893" s="1346" t="n">
        <v>0.3267</v>
      </c>
      <c r="P2893" s="470" t="n">
        <v>0.3107</v>
      </c>
    </row>
    <row r="2894" ht="15.75" customHeight="1" s="2">
      <c r="A2894" s="462" t="inlineStr">
        <is>
          <t>Productivity</t>
        </is>
      </c>
      <c r="B2894" s="1338" t="n">
        <v>5.9</v>
      </c>
      <c r="C2894" s="1339" t="n">
        <v>5.4</v>
      </c>
      <c r="D2894" s="472" t="n">
        <v>5.47</v>
      </c>
      <c r="E2894" s="1338" t="n">
        <v>6.08</v>
      </c>
      <c r="F2894" s="1339" t="n">
        <v>5.4</v>
      </c>
      <c r="G2894" s="472" t="n">
        <v>5.19</v>
      </c>
      <c r="H2894" s="1338" t="n">
        <v>5.39</v>
      </c>
      <c r="I2894" s="1339" t="n">
        <v>5.4</v>
      </c>
      <c r="J2894" s="472" t="n">
        <v>5.32</v>
      </c>
      <c r="K2894" s="1338" t="n">
        <v>5.36</v>
      </c>
      <c r="L2894" s="1339" t="n">
        <v>5.6</v>
      </c>
      <c r="M2894" s="472" t="n">
        <v>5.4</v>
      </c>
      <c r="N2894" s="1338" t="n">
        <v>5.66</v>
      </c>
      <c r="O2894" s="1339" t="n">
        <v>5.6</v>
      </c>
      <c r="P2894" s="472" t="n">
        <v>5.27</v>
      </c>
    </row>
    <row r="2895" ht="15.75" customHeight="1" s="2">
      <c r="A2895" s="462" t="inlineStr">
        <is>
          <t>Average Hourly Rate</t>
        </is>
      </c>
      <c r="B2895" s="1697" t="n">
        <v>40.37</v>
      </c>
      <c r="C2895" s="1339" t="n">
        <v>45</v>
      </c>
      <c r="D2895" s="1628" t="n">
        <v>46.25</v>
      </c>
      <c r="E2895" s="1697" t="n">
        <v>40.64</v>
      </c>
      <c r="F2895" s="1339" t="n">
        <v>41</v>
      </c>
      <c r="G2895" s="1649" t="n">
        <v>39.59</v>
      </c>
      <c r="H2895" s="1697" t="n">
        <v>39.59</v>
      </c>
      <c r="I2895" s="1339" t="n">
        <v>45</v>
      </c>
      <c r="J2895" s="1649" t="n">
        <v>42.06</v>
      </c>
      <c r="K2895" s="1697" t="n">
        <v>40.84</v>
      </c>
      <c r="L2895" s="1339" t="n">
        <v>46</v>
      </c>
      <c r="M2895" s="1649" t="n">
        <v>45.6</v>
      </c>
      <c r="N2895" s="1697" t="n">
        <v>41.74</v>
      </c>
      <c r="O2895" s="1339" t="n">
        <v>42</v>
      </c>
      <c r="P2895" s="1628" t="n">
        <v>40.36</v>
      </c>
    </row>
    <row r="2896" ht="15.75" customHeight="1" s="2">
      <c r="A2896" s="462" t="inlineStr">
        <is>
          <t>Total hours for productivity</t>
        </is>
      </c>
      <c r="B2896" s="1332" t="n">
        <v>1194</v>
      </c>
      <c r="C2896" s="1339" t="n">
        <v>1601</v>
      </c>
      <c r="D2896" s="466" t="n">
        <v>1605.75</v>
      </c>
      <c r="E2896" s="1338" t="n">
        <v>1266.5</v>
      </c>
      <c r="F2896" s="1339" t="n">
        <v>1290</v>
      </c>
      <c r="G2896" s="466" t="n">
        <v>1253.75</v>
      </c>
      <c r="H2896" s="1332" t="n">
        <v>1228.25</v>
      </c>
      <c r="I2896" s="1339" t="n">
        <v>1240</v>
      </c>
      <c r="J2896" s="472" t="n">
        <v>1185.75</v>
      </c>
      <c r="K2896" s="1332" t="n">
        <v>1042</v>
      </c>
      <c r="L2896" s="1339" t="n">
        <v>1368.5</v>
      </c>
      <c r="M2896" s="466" t="n">
        <v>1353.75</v>
      </c>
      <c r="N2896" s="1332" t="n">
        <v>1044.5</v>
      </c>
      <c r="O2896" s="1339" t="n">
        <v>1284</v>
      </c>
      <c r="P2896" s="466" t="n">
        <v>1261.25</v>
      </c>
    </row>
    <row r="2897" ht="15.75" customHeight="1" s="2">
      <c r="A2897" s="462" t="inlineStr">
        <is>
          <t>Training Hours used</t>
        </is>
      </c>
      <c r="B2897" s="1332" t="n"/>
      <c r="C2897" s="1340" t="n"/>
      <c r="D2897" s="466" t="n">
        <v>17.5</v>
      </c>
      <c r="E2897" s="1332" t="n">
        <v>0</v>
      </c>
      <c r="F2897" s="1340" t="n"/>
      <c r="G2897" s="466" t="n"/>
      <c r="H2897" s="1332" t="n"/>
      <c r="I2897" s="1340" t="n"/>
      <c r="J2897" s="466" t="n"/>
      <c r="K2897" s="1332" t="n"/>
      <c r="L2897" s="1340" t="n"/>
      <c r="M2897" s="466" t="n">
        <v>17.5</v>
      </c>
      <c r="N2897" s="1332" t="n">
        <v>0</v>
      </c>
      <c r="O2897" s="1340" t="n"/>
      <c r="P2897" s="466" t="n"/>
    </row>
    <row r="2898" ht="15.75" customHeight="1" s="2" thickBot="1">
      <c r="A2898" s="474" t="inlineStr">
        <is>
          <t>Number of hours used to cover sick leave</t>
        </is>
      </c>
      <c r="B2898" s="1341" t="n">
        <v>24.5</v>
      </c>
      <c r="C2898" s="1342" t="n"/>
      <c r="D2898" s="476" t="n"/>
      <c r="E2898" s="476" t="n">
        <v>20</v>
      </c>
      <c r="F2898" s="1229" t="n"/>
      <c r="G2898" s="476" t="n">
        <v>18</v>
      </c>
      <c r="H2898" s="1341" t="n">
        <v>16.5</v>
      </c>
      <c r="I2898" s="1342" t="n"/>
      <c r="J2898" s="476" t="n">
        <v>57</v>
      </c>
      <c r="K2898" s="1341" t="n">
        <v>25.5</v>
      </c>
      <c r="L2898" s="1342" t="n"/>
      <c r="M2898" s="476" t="n">
        <v>44.75</v>
      </c>
      <c r="N2898" s="1341" t="n">
        <v>37</v>
      </c>
      <c r="O2898" s="1342" t="n"/>
      <c r="P2898" s="476" t="n">
        <v>35.5</v>
      </c>
    </row>
    <row r="2899" ht="15.75" customHeight="1" s="2" thickBot="1">
      <c r="A2899" s="477" t="inlineStr">
        <is>
          <t xml:space="preserve">Minimum Hours </t>
        </is>
      </c>
      <c r="B2899" s="1171" t="n"/>
      <c r="C2899" s="816" t="inlineStr">
        <is>
          <t>Projected</t>
        </is>
      </c>
      <c r="D2899" s="935" t="inlineStr">
        <is>
          <t>Min Hrs</t>
        </is>
      </c>
      <c r="E2899" s="1171" t="n"/>
      <c r="F2899" s="816" t="inlineStr">
        <is>
          <t>Projected</t>
        </is>
      </c>
      <c r="G2899" s="935" t="inlineStr">
        <is>
          <t>Min Hrs</t>
        </is>
      </c>
      <c r="H2899" s="935" t="n"/>
      <c r="I2899" s="816" t="inlineStr">
        <is>
          <t>Projected</t>
        </is>
      </c>
      <c r="J2899" s="935" t="inlineStr">
        <is>
          <t>Min Hrs</t>
        </is>
      </c>
      <c r="K2899" s="935" t="n"/>
      <c r="L2899" s="816" t="inlineStr">
        <is>
          <t>Projected</t>
        </is>
      </c>
      <c r="M2899" s="935" t="inlineStr">
        <is>
          <t>Min Hrs</t>
        </is>
      </c>
      <c r="N2899" s="1171" t="n"/>
      <c r="O2899" s="816" t="inlineStr">
        <is>
          <t>Projected</t>
        </is>
      </c>
      <c r="P2899" s="935" t="inlineStr">
        <is>
          <t>Min Hrs</t>
        </is>
      </c>
    </row>
    <row r="2900" ht="15.75" customHeight="1" s="2">
      <c r="A2900" s="479" t="inlineStr">
        <is>
          <t>Floor</t>
        </is>
      </c>
      <c r="B2900" s="1172" t="n"/>
      <c r="C2900" s="810" t="n">
        <v>837</v>
      </c>
      <c r="D2900" s="811" t="n">
        <v>515</v>
      </c>
      <c r="E2900" s="1172" t="n"/>
      <c r="F2900" s="810" t="n">
        <v>669</v>
      </c>
      <c r="G2900" s="811" t="n">
        <v>515</v>
      </c>
      <c r="H2900" s="810" t="n"/>
      <c r="I2900" s="810" t="n">
        <v>636</v>
      </c>
      <c r="J2900" s="811" t="n">
        <v>485</v>
      </c>
      <c r="K2900" s="810" t="n"/>
      <c r="L2900" s="810" t="n">
        <v>722.5</v>
      </c>
      <c r="M2900" s="811" t="n">
        <v>474</v>
      </c>
      <c r="N2900" s="1172" t="n"/>
      <c r="O2900" s="810" t="n">
        <v>672.5</v>
      </c>
      <c r="P2900" s="811" t="n">
        <v>474</v>
      </c>
    </row>
    <row r="2901" ht="15.75" customHeight="1" s="2" thickBot="1">
      <c r="A2901" s="481" t="inlineStr">
        <is>
          <t>Kitchen</t>
        </is>
      </c>
      <c r="B2901" s="1173" t="n"/>
      <c r="C2901" s="813" t="n">
        <v>764</v>
      </c>
      <c r="D2901" s="814" t="n">
        <v>515</v>
      </c>
      <c r="E2901" s="1173" t="n"/>
      <c r="F2901" s="840" t="n">
        <v>621</v>
      </c>
      <c r="G2901" s="814" t="n">
        <v>515</v>
      </c>
      <c r="H2901" s="813" t="n"/>
      <c r="I2901" s="840" t="n">
        <v>604</v>
      </c>
      <c r="J2901" s="814" t="n">
        <v>515</v>
      </c>
      <c r="K2901" s="813" t="n"/>
      <c r="L2901" s="840" t="n">
        <v>646</v>
      </c>
      <c r="M2901" s="814" t="n">
        <v>515</v>
      </c>
      <c r="N2901" s="1173" t="n"/>
      <c r="O2901" s="813" t="n">
        <v>611.5</v>
      </c>
      <c r="P2901" s="814" t="n">
        <v>515</v>
      </c>
    </row>
    <row r="2902" ht="15.75" customHeight="1" s="2" thickBot="1">
      <c r="A2902" s="834" t="n"/>
      <c r="B2902" s="836" t="n"/>
      <c r="C2902" s="1220" t="n"/>
      <c r="D2902" s="1220" t="n"/>
      <c r="E2902" s="839" t="n"/>
      <c r="F2902" s="1220" t="n"/>
      <c r="G2902" s="1220" t="n"/>
      <c r="H2902" s="839" t="n"/>
      <c r="I2902" s="1220" t="n"/>
      <c r="J2902" s="1220" t="n"/>
      <c r="K2902" s="839" t="n"/>
      <c r="L2902" s="1220" t="n"/>
      <c r="M2902" s="1220" t="n"/>
      <c r="N2902" s="839" t="n"/>
      <c r="O2902" s="835" t="n"/>
      <c r="P2902" s="835" t="n"/>
    </row>
    <row r="2903" ht="15.75" customHeight="1" s="2">
      <c r="A2903" s="506" t="inlineStr">
        <is>
          <t>Training explanation</t>
        </is>
      </c>
      <c r="B2903" s="837" t="n"/>
      <c r="C2903" s="1220" t="n"/>
      <c r="D2903" s="1220" t="n"/>
      <c r="E2903" s="837" t="n"/>
      <c r="F2903" s="1220" t="n"/>
      <c r="G2903" s="1220" t="n"/>
      <c r="H2903" s="837" t="n"/>
      <c r="I2903" s="1220" t="n"/>
      <c r="J2903" s="1220" t="n"/>
      <c r="K2903" s="837" t="n"/>
      <c r="L2903" s="1220" t="n"/>
      <c r="M2903" s="1220" t="n"/>
      <c r="N2903" s="837" t="n"/>
      <c r="O2903" s="835" t="n"/>
      <c r="P2903" s="835" t="n"/>
    </row>
    <row r="2904" ht="15.75" customHeight="1" s="2" thickBot="1">
      <c r="A2904" s="506" t="inlineStr">
        <is>
          <t>Who is being Trained</t>
        </is>
      </c>
      <c r="B2904" s="838" t="n"/>
      <c r="C2904" s="1221" t="n"/>
      <c r="D2904" s="1221" t="n"/>
      <c r="E2904" s="838" t="n"/>
      <c r="F2904" s="1221" t="n"/>
      <c r="G2904" s="1221" t="n"/>
      <c r="H2904" s="838" t="n"/>
      <c r="I2904" s="1221" t="n"/>
      <c r="J2904" s="1221" t="n"/>
      <c r="K2904" s="838" t="n"/>
      <c r="L2904" s="1221" t="n"/>
      <c r="M2904" s="1221" t="n"/>
      <c r="N2904" s="838" t="n"/>
    </row>
    <row r="2905" ht="15.75" customHeight="1" s="2" thickBot="1">
      <c r="A2905" s="506" t="n"/>
      <c r="C2905" s="523" t="inlineStr">
        <is>
          <t>floor</t>
        </is>
      </c>
      <c r="D2905" s="524" t="inlineStr">
        <is>
          <t>kitchen</t>
        </is>
      </c>
      <c r="E2905" s="509" t="n"/>
      <c r="F2905" s="507" t="inlineStr">
        <is>
          <t>floor</t>
        </is>
      </c>
      <c r="G2905" s="508" t="inlineStr">
        <is>
          <t>kitchen</t>
        </is>
      </c>
      <c r="H2905" s="510" t="n"/>
      <c r="I2905" s="535" t="inlineStr">
        <is>
          <t>floor</t>
        </is>
      </c>
      <c r="J2905" s="511" t="inlineStr">
        <is>
          <t>kitchen</t>
        </is>
      </c>
      <c r="K2905" s="512" t="n"/>
      <c r="L2905" s="535" t="inlineStr">
        <is>
          <t>floor</t>
        </is>
      </c>
      <c r="M2905" s="513" t="inlineStr">
        <is>
          <t>kitchen</t>
        </is>
      </c>
      <c r="N2905" s="512" t="n"/>
      <c r="O2905" s="535" t="inlineStr">
        <is>
          <t>floor</t>
        </is>
      </c>
      <c r="P2905" s="513" t="inlineStr">
        <is>
          <t>kitchen</t>
        </is>
      </c>
    </row>
    <row r="2906" ht="15.75" customHeight="1" s="2">
      <c r="A2906" s="506" t="n"/>
      <c r="C2906" s="525" t="n"/>
      <c r="D2906" s="527" t="n"/>
      <c r="E2906" s="514" t="n"/>
      <c r="F2906" s="525" t="n"/>
      <c r="G2906" s="527" t="n"/>
      <c r="H2906" s="515" t="n"/>
      <c r="I2906" s="531" t="n"/>
      <c r="J2906" s="824" t="n"/>
      <c r="K2906" s="515" t="n"/>
      <c r="L2906" s="536" t="n"/>
      <c r="M2906" s="532" t="n"/>
      <c r="N2906" s="515" t="n"/>
      <c r="O2906" s="536" t="n"/>
      <c r="P2906" s="532" t="n"/>
    </row>
    <row r="2907" ht="15.75" customHeight="1" s="2">
      <c r="C2907" s="891" t="n"/>
      <c r="D2907" s="526" t="n"/>
      <c r="E2907" s="514" t="n"/>
      <c r="F2907" s="891" t="n"/>
      <c r="G2907" s="526" t="n"/>
      <c r="H2907" s="516" t="n"/>
      <c r="I2907" s="1656" t="n"/>
      <c r="J2907" s="530" t="n"/>
      <c r="K2907" s="516" t="n"/>
      <c r="L2907" s="542" t="n"/>
      <c r="M2907" s="530" t="n"/>
      <c r="N2907" s="516" t="n"/>
      <c r="O2907" s="542" t="n"/>
      <c r="P2907" s="530" t="n"/>
    </row>
    <row r="2908" ht="15.75" customHeight="1" s="2">
      <c r="C2908" s="550" t="n"/>
      <c r="D2908" s="527" t="n"/>
      <c r="E2908" s="514" t="n"/>
      <c r="F2908" s="531" t="n"/>
      <c r="G2908" s="530" t="n"/>
      <c r="H2908" s="516" t="n"/>
      <c r="I2908" s="537" t="n"/>
      <c r="J2908" s="530" t="n"/>
      <c r="K2908" s="516" t="n"/>
      <c r="L2908" s="1657" t="n"/>
      <c r="M2908" s="539" t="n"/>
      <c r="N2908" s="516" t="n"/>
      <c r="O2908" s="542" t="n"/>
      <c r="P2908" s="539" t="n"/>
    </row>
    <row r="2909" ht="15.75" customHeight="1" s="2">
      <c r="C2909" s="561" t="n"/>
      <c r="D2909" s="561" t="n"/>
      <c r="E2909" s="519" t="n"/>
      <c r="F2909" s="517" t="n"/>
      <c r="G2909" s="1659" t="n"/>
      <c r="H2909" s="516" t="n"/>
      <c r="I2909" s="537" t="n"/>
      <c r="J2909" s="530" t="n"/>
      <c r="K2909" s="516" t="n"/>
      <c r="L2909" s="537" t="n"/>
      <c r="M2909" s="539" t="n"/>
      <c r="N2909" s="516" t="n"/>
      <c r="O2909" s="537" t="n"/>
      <c r="P2909" s="539" t="n"/>
    </row>
    <row r="2910" ht="15.75" customHeight="1" s="2">
      <c r="C2910" s="551" t="n"/>
      <c r="D2910" s="528" t="n"/>
      <c r="E2910" s="519" t="n"/>
      <c r="F2910" s="517" t="n"/>
      <c r="G2910" s="518" t="n"/>
      <c r="H2910" s="516" t="n"/>
      <c r="I2910" s="537" t="n"/>
      <c r="J2910" s="533" t="n"/>
      <c r="K2910" s="516" t="n"/>
      <c r="L2910" s="537" t="n"/>
      <c r="M2910" s="540" t="n"/>
      <c r="N2910" s="516" t="n"/>
      <c r="O2910" s="537" t="n"/>
      <c r="P2910" s="540" t="n"/>
    </row>
    <row r="2914" ht="15.75" customHeight="1" s="2" thickBot="1"/>
    <row r="2915" ht="15.75" customHeight="1" s="2" thickBot="1">
      <c r="B2915" s="1319" t="n"/>
      <c r="C2915" s="1320" t="inlineStr">
        <is>
          <t>10.02.2025</t>
        </is>
      </c>
      <c r="D2915" s="1352" t="n"/>
      <c r="E2915" s="1353" t="n"/>
      <c r="F2915" s="1354" t="inlineStr">
        <is>
          <t>17.02.2025</t>
        </is>
      </c>
      <c r="G2915" s="1355" t="n"/>
      <c r="H2915" s="1353" t="n"/>
      <c r="I2915" s="1354" t="inlineStr">
        <is>
          <t>24.02.2024</t>
        </is>
      </c>
      <c r="J2915" s="1355" t="n"/>
      <c r="K2915" s="1353" t="n"/>
      <c r="L2915" s="1354" t="inlineStr">
        <is>
          <t>03.03.2025</t>
        </is>
      </c>
      <c r="M2915" s="1355" t="n"/>
      <c r="N2915" s="1356" t="n"/>
      <c r="O2915" s="1357" t="inlineStr">
        <is>
          <t>10.03.2025</t>
        </is>
      </c>
      <c r="P2915" s="1358" t="n"/>
    </row>
    <row r="2916" ht="15.75" customHeight="1" s="2" thickBot="1">
      <c r="A2916" s="455" t="n"/>
      <c r="B2916" s="1217" t="inlineStr">
        <is>
          <t>LAST YEAR</t>
        </is>
      </c>
      <c r="C2916" s="1219" t="inlineStr">
        <is>
          <t>Projected</t>
        </is>
      </c>
      <c r="D2916" s="1218" t="inlineStr">
        <is>
          <t>Actual</t>
        </is>
      </c>
      <c r="E2916" s="1217" t="inlineStr">
        <is>
          <t>LAST YEAR</t>
        </is>
      </c>
      <c r="F2916" s="1219" t="inlineStr">
        <is>
          <t>Projected</t>
        </is>
      </c>
      <c r="G2916" s="1218" t="inlineStr">
        <is>
          <t>Actual</t>
        </is>
      </c>
      <c r="H2916" s="1217" t="inlineStr">
        <is>
          <t>LAST YEAR</t>
        </is>
      </c>
      <c r="I2916" s="1219" t="inlineStr">
        <is>
          <t>Projected</t>
        </is>
      </c>
      <c r="J2916" s="1218" t="inlineStr">
        <is>
          <t>Actual</t>
        </is>
      </c>
      <c r="K2916" s="1217" t="inlineStr">
        <is>
          <t>LAST YEAR</t>
        </is>
      </c>
      <c r="L2916" s="1219" t="inlineStr">
        <is>
          <t>Projected</t>
        </is>
      </c>
      <c r="M2916" s="1218" t="inlineStr">
        <is>
          <t>Actual</t>
        </is>
      </c>
      <c r="N2916" s="1217" t="inlineStr">
        <is>
          <t>LAST YEAR</t>
        </is>
      </c>
      <c r="O2916" s="1219" t="inlineStr">
        <is>
          <t>Projected</t>
        </is>
      </c>
      <c r="P2916" s="1218" t="inlineStr">
        <is>
          <t>Actual</t>
        </is>
      </c>
    </row>
    <row r="2917" ht="15.75" customHeight="1" s="2">
      <c r="A2917" s="459" t="inlineStr">
        <is>
          <t>Total Receipts</t>
        </is>
      </c>
      <c r="B2917" s="1690" t="n">
        <v>159663.28</v>
      </c>
      <c r="C2917" s="1691" t="n">
        <v>139943</v>
      </c>
      <c r="D2917" s="1622" t="n">
        <v>128952.4</v>
      </c>
      <c r="E2917" s="1690" t="n">
        <v>162121.3</v>
      </c>
      <c r="F2917" s="1691" t="n">
        <v>144240</v>
      </c>
      <c r="G2917" s="1645" t="n">
        <v>139235.52</v>
      </c>
      <c r="H2917" s="1690" t="n">
        <v>144849.68</v>
      </c>
      <c r="I2917" s="1692" t="n">
        <v>136085</v>
      </c>
      <c r="J2917" s="1645" t="n">
        <v>132388.79</v>
      </c>
      <c r="K2917" s="1690" t="n">
        <v>129132.35</v>
      </c>
      <c r="L2917" s="1691" t="n">
        <v>131343</v>
      </c>
      <c r="M2917" s="1645" t="n">
        <v>118639.07</v>
      </c>
      <c r="N2917" s="1690" t="n">
        <v>119813.51</v>
      </c>
      <c r="O2917" s="1691" t="n">
        <v>131258</v>
      </c>
      <c r="P2917" s="1645" t="n">
        <v>141092.29</v>
      </c>
    </row>
    <row r="2918" ht="15.75" customHeight="1" s="2">
      <c r="A2918" s="462" t="inlineStr">
        <is>
          <t>Nett Sales</t>
        </is>
      </c>
      <c r="B2918" s="1693" t="n">
        <v>145148.44</v>
      </c>
      <c r="C2918" s="1694" t="n">
        <v>127220.5</v>
      </c>
      <c r="D2918" s="1625" t="n">
        <v>117229.45</v>
      </c>
      <c r="E2918" s="1695" t="n">
        <v>147383</v>
      </c>
      <c r="F2918" s="1694" t="n">
        <v>13127.3</v>
      </c>
      <c r="G2918" s="1637" t="n">
        <v>126577.75</v>
      </c>
      <c r="H2918" s="1695" t="n">
        <v>131682</v>
      </c>
      <c r="I2918" s="1694" t="n">
        <v>123713.6</v>
      </c>
      <c r="J2918" s="1625" t="n">
        <v>120353.45</v>
      </c>
      <c r="K2918" s="1695" t="n">
        <v>117393.05</v>
      </c>
      <c r="L2918" s="1694" t="n">
        <v>119402</v>
      </c>
      <c r="M2918" s="1625" t="n">
        <v>107853.7</v>
      </c>
      <c r="N2918" s="1695" t="n">
        <v>100821.37</v>
      </c>
      <c r="O2918" s="1694" t="n">
        <v>119325</v>
      </c>
      <c r="P2918" s="1625" t="n">
        <v>128265.72</v>
      </c>
    </row>
    <row r="2919" ht="15.75" customHeight="1" s="2">
      <c r="A2919" s="462" t="inlineStr">
        <is>
          <t>Customers</t>
        </is>
      </c>
      <c r="B2919" s="1332" t="n">
        <v>6666</v>
      </c>
      <c r="C2919" s="1333" t="n">
        <v>5550</v>
      </c>
      <c r="D2919" s="466" t="n">
        <v>4949</v>
      </c>
      <c r="E2919" s="1332" t="n">
        <v>6408</v>
      </c>
      <c r="F2919" s="1333" t="n">
        <v>5715</v>
      </c>
      <c r="G2919" s="466" t="n">
        <v>5166</v>
      </c>
      <c r="H2919" s="1332" t="n">
        <v>5875</v>
      </c>
      <c r="I2919" s="1333" t="n">
        <v>5395</v>
      </c>
      <c r="J2919" s="466" t="n">
        <v>4915</v>
      </c>
      <c r="K2919" s="1696" t="n">
        <v>5062</v>
      </c>
      <c r="L2919" s="1333" t="n">
        <v>5210</v>
      </c>
      <c r="M2919" s="466" t="n">
        <v>4449</v>
      </c>
      <c r="N2919" s="1332" t="n">
        <v>4891</v>
      </c>
      <c r="O2919" s="1333" t="n">
        <v>5205</v>
      </c>
      <c r="P2919" s="1655" t="n">
        <v>5235</v>
      </c>
    </row>
    <row r="2920" ht="15.75" customHeight="1" s="2">
      <c r="A2920" s="462" t="inlineStr">
        <is>
          <t>Average Customer Spend</t>
        </is>
      </c>
      <c r="B2920" s="1697" t="n">
        <v>23.95</v>
      </c>
      <c r="C2920" s="1698" t="n">
        <v>25.21</v>
      </c>
      <c r="D2920" s="1628" t="n">
        <v>26.05</v>
      </c>
      <c r="E2920" s="1697" t="n">
        <v>25.29</v>
      </c>
      <c r="F2920" s="1698" t="n">
        <v>25.24</v>
      </c>
      <c r="G2920" s="1649" t="n">
        <v>26.95</v>
      </c>
      <c r="H2920" s="1697" t="n">
        <v>24.65</v>
      </c>
      <c r="I2920" s="1699" t="n">
        <v>25.22</v>
      </c>
      <c r="J2920" s="1649" t="n">
        <v>26.93</v>
      </c>
      <c r="K2920" s="1697" t="n">
        <v>25.51</v>
      </c>
      <c r="L2920" s="1698" t="n">
        <v>25.21</v>
      </c>
      <c r="M2920" s="1649" t="n">
        <v>26.66</v>
      </c>
      <c r="N2920" s="1697" t="n">
        <v>24.49</v>
      </c>
      <c r="O2920" s="1698" t="n">
        <v>25.22</v>
      </c>
      <c r="P2920" s="1649" t="n">
        <v>26.95</v>
      </c>
    </row>
    <row r="2921" ht="15.75" customHeight="1" s="2">
      <c r="A2921" s="462" t="inlineStr">
        <is>
          <t>Wage % to Total Receipts</t>
        </is>
      </c>
      <c r="B2921" s="1336" t="n">
        <v>0.2797</v>
      </c>
      <c r="C2921" s="1337" t="n">
        <v>0.2904</v>
      </c>
      <c r="D2921" s="470" t="n">
        <v>0.3472</v>
      </c>
      <c r="E2921" s="1336" t="n">
        <v>0.2911</v>
      </c>
      <c r="F2921" s="1337" t="n">
        <v>0.2901</v>
      </c>
      <c r="G2921" s="863" t="n">
        <v>0.3045</v>
      </c>
      <c r="H2921" s="1336" t="n">
        <v>0.3064</v>
      </c>
      <c r="I2921" s="1346" t="n">
        <v>0.2903</v>
      </c>
      <c r="J2921" s="863" t="n">
        <v>0.3182</v>
      </c>
      <c r="K2921" s="1336" t="n">
        <v>0.3303</v>
      </c>
      <c r="L2921" s="1337" t="n">
        <v>0.2904</v>
      </c>
      <c r="M2921" s="863" t="n">
        <v>0.3425</v>
      </c>
      <c r="N2921" s="1336" t="n">
        <v>0.3508</v>
      </c>
      <c r="O2921" s="1337" t="n">
        <v>0.2903</v>
      </c>
      <c r="P2921" s="863" t="n">
        <v>0.3087</v>
      </c>
    </row>
    <row r="2922" ht="15.75" customHeight="1" s="2">
      <c r="A2922" s="462" t="inlineStr">
        <is>
          <t>Wage % to Nett Sales</t>
        </is>
      </c>
      <c r="B2922" s="1336" t="n">
        <v>0.3077</v>
      </c>
      <c r="C2922" s="1337" t="n">
        <v>0.3194</v>
      </c>
      <c r="D2922" s="470" t="n">
        <v>0.382</v>
      </c>
      <c r="E2922" s="1336" t="n">
        <v>0.3202</v>
      </c>
      <c r="F2922" s="1337" t="n">
        <v>0.3191</v>
      </c>
      <c r="G2922" s="863" t="n">
        <v>0.335</v>
      </c>
      <c r="H2922" s="1336" t="n">
        <v>0.3371</v>
      </c>
      <c r="I2922" s="1346" t="n">
        <v>0.3193</v>
      </c>
      <c r="J2922" s="863" t="n">
        <v>0.35</v>
      </c>
      <c r="K2922" s="1336" t="n">
        <v>0.3634</v>
      </c>
      <c r="L2922" s="1337" t="n">
        <v>0.3195</v>
      </c>
      <c r="M2922" s="863" t="n">
        <v>0.3767</v>
      </c>
      <c r="N2922" s="1336" t="n">
        <v>0.3858</v>
      </c>
      <c r="O2922" s="1337" t="n">
        <v>0.3194</v>
      </c>
      <c r="P2922" s="863" t="n">
        <v>0.3396</v>
      </c>
    </row>
    <row r="2923" ht="15.75" customHeight="1" s="2">
      <c r="A2923" s="462" t="inlineStr">
        <is>
          <t>Productivity</t>
        </is>
      </c>
      <c r="B2923" s="1338" t="n">
        <v>6.1</v>
      </c>
      <c r="C2923" s="1339" t="n">
        <v>5.6</v>
      </c>
      <c r="D2923" s="472" t="n">
        <v>4.51</v>
      </c>
      <c r="E2923" s="1338" t="n">
        <v>5.57</v>
      </c>
      <c r="F2923" s="1339" t="n">
        <v>5.6</v>
      </c>
      <c r="G2923" s="472" t="n">
        <v>5.01</v>
      </c>
      <c r="H2923" s="1338" t="n">
        <v>5.54</v>
      </c>
      <c r="I2923" s="1339" t="n">
        <v>5.6</v>
      </c>
      <c r="J2923" s="472" t="n">
        <v>4.97</v>
      </c>
      <c r="K2923" s="1338" t="n">
        <v>4.8</v>
      </c>
      <c r="L2923" s="1339" t="n">
        <v>5.6</v>
      </c>
      <c r="M2923" s="472" t="n">
        <v>4.49</v>
      </c>
      <c r="N2923" s="1338" t="n">
        <v>4.59</v>
      </c>
      <c r="O2923" s="1339" t="n">
        <v>5.6</v>
      </c>
      <c r="P2923" s="472" t="n">
        <v>4.96</v>
      </c>
    </row>
    <row r="2924" ht="15.75" customHeight="1" s="2">
      <c r="A2924" s="462" t="inlineStr">
        <is>
          <t>Average Hourly Rate</t>
        </is>
      </c>
      <c r="B2924" s="1697" t="n">
        <v>40.9</v>
      </c>
      <c r="C2924" s="1339" t="n">
        <v>41</v>
      </c>
      <c r="D2924" s="1628" t="n">
        <v>40.85</v>
      </c>
      <c r="E2924" s="1697" t="n">
        <v>41</v>
      </c>
      <c r="F2924" s="1339" t="n">
        <v>41</v>
      </c>
      <c r="G2924" s="1649" t="n">
        <v>41.14</v>
      </c>
      <c r="H2924" s="1697" t="n">
        <v>41.82</v>
      </c>
      <c r="I2924" s="1339" t="n">
        <v>41</v>
      </c>
      <c r="J2924" s="1649" t="n">
        <v>42.6</v>
      </c>
      <c r="K2924" s="1697" t="n">
        <v>40.41</v>
      </c>
      <c r="L2924" s="1339" t="n">
        <v>41</v>
      </c>
      <c r="M2924" s="1649" t="n">
        <v>40.99</v>
      </c>
      <c r="N2924" s="1697" t="n">
        <v>39.42</v>
      </c>
      <c r="O2924" s="1339" t="n">
        <v>41</v>
      </c>
      <c r="P2924" s="1649" t="n">
        <v>41.25</v>
      </c>
    </row>
    <row r="2925" ht="15.75" customHeight="1" s="2">
      <c r="A2925" s="462" t="inlineStr">
        <is>
          <t>Total hours for productivity</t>
        </is>
      </c>
      <c r="B2925" s="1332" t="n">
        <v>1092</v>
      </c>
      <c r="C2925" s="1339" t="n">
        <v>1078</v>
      </c>
      <c r="D2925" s="466" t="n">
        <v>1096.25</v>
      </c>
      <c r="E2925" s="1338" t="n">
        <v>1118.5</v>
      </c>
      <c r="F2925" s="1339" t="n">
        <v>1061</v>
      </c>
      <c r="G2925" s="466" t="n">
        <v>1030.5</v>
      </c>
      <c r="H2925" s="1332" t="n">
        <v>1061.25</v>
      </c>
      <c r="I2925" s="1339" t="n">
        <v>1029</v>
      </c>
      <c r="J2925" s="472" t="n">
        <v>989</v>
      </c>
      <c r="K2925" s="1332" t="n">
        <v>1055.5</v>
      </c>
      <c r="L2925" s="1339" t="n">
        <v>1019</v>
      </c>
      <c r="M2925" s="466" t="n">
        <v>991.25</v>
      </c>
      <c r="N2925" s="1332" t="n">
        <v>1066.25</v>
      </c>
      <c r="O2925" s="1339" t="n">
        <v>1033</v>
      </c>
      <c r="P2925" s="466" t="n">
        <v>1056</v>
      </c>
    </row>
    <row r="2926" ht="15.75" customHeight="1" s="2">
      <c r="A2926" s="462" t="inlineStr">
        <is>
          <t>Training Hours used</t>
        </is>
      </c>
      <c r="B2926" s="1332" t="n"/>
      <c r="C2926" s="1340" t="n"/>
      <c r="D2926" s="466" t="n">
        <v>50</v>
      </c>
      <c r="E2926" s="1332" t="n"/>
      <c r="F2926" s="1340" t="n"/>
      <c r="G2926" s="466" t="n"/>
      <c r="H2926" s="1332" t="n"/>
      <c r="I2926" s="1340" t="n"/>
      <c r="J2926" s="466" t="n"/>
      <c r="K2926" s="1332" t="n"/>
      <c r="L2926" s="1340" t="n"/>
      <c r="M2926" s="466" t="n"/>
      <c r="N2926" s="1332" t="n">
        <v>44</v>
      </c>
      <c r="O2926" s="1340" t="n"/>
      <c r="P2926" s="466" t="n">
        <v>21.5</v>
      </c>
    </row>
    <row r="2927" ht="15.75" customHeight="1" s="2" thickBot="1">
      <c r="A2927" s="474" t="inlineStr">
        <is>
          <t>Number of hours used to cover sick leave</t>
        </is>
      </c>
      <c r="B2927" s="1341" t="n">
        <v>35.5</v>
      </c>
      <c r="C2927" s="1342" t="n"/>
      <c r="D2927" s="476" t="n">
        <v>22.5</v>
      </c>
      <c r="E2927" s="1341" t="n">
        <v>20.75</v>
      </c>
      <c r="F2927" s="1342" t="n"/>
      <c r="G2927" s="476" t="n">
        <v>32.5</v>
      </c>
      <c r="H2927" s="1341" t="n"/>
      <c r="I2927" s="1342" t="n"/>
      <c r="J2927" s="476" t="n">
        <v>49.25</v>
      </c>
      <c r="K2927" s="1341" t="n"/>
      <c r="L2927" s="1342" t="n"/>
      <c r="M2927" s="476" t="n">
        <v>19</v>
      </c>
      <c r="N2927" s="1341" t="n">
        <v>5.5</v>
      </c>
      <c r="O2927" s="1342" t="n"/>
      <c r="P2927" s="476" t="n">
        <v>25.5</v>
      </c>
    </row>
    <row r="2928" ht="15.75" customHeight="1" s="2" thickBot="1">
      <c r="A2928" s="477" t="inlineStr">
        <is>
          <t xml:space="preserve">Minimum Hours </t>
        </is>
      </c>
      <c r="B2928" s="1171" t="n"/>
      <c r="C2928" s="816" t="inlineStr">
        <is>
          <t>Projected</t>
        </is>
      </c>
      <c r="D2928" s="935" t="inlineStr">
        <is>
          <t>Min Hrs</t>
        </is>
      </c>
      <c r="E2928" s="1171" t="n"/>
      <c r="F2928" s="816" t="inlineStr">
        <is>
          <t>Projected</t>
        </is>
      </c>
      <c r="G2928" s="935" t="inlineStr">
        <is>
          <t>Min Hrs</t>
        </is>
      </c>
      <c r="H2928" s="935" t="n"/>
      <c r="I2928" s="816" t="inlineStr">
        <is>
          <t>Projected</t>
        </is>
      </c>
      <c r="J2928" s="935" t="inlineStr">
        <is>
          <t>Min Hrs</t>
        </is>
      </c>
      <c r="K2928" s="935" t="n"/>
      <c r="L2928" s="816" t="inlineStr">
        <is>
          <t>Projected</t>
        </is>
      </c>
      <c r="M2928" s="935" t="inlineStr">
        <is>
          <t>Min Hrs</t>
        </is>
      </c>
      <c r="N2928" s="1171" t="n"/>
      <c r="O2928" s="816" t="inlineStr">
        <is>
          <t>Projected</t>
        </is>
      </c>
      <c r="P2928" s="935" t="inlineStr">
        <is>
          <t>Min Hrs</t>
        </is>
      </c>
    </row>
    <row r="2929" ht="15.75" customHeight="1" s="2">
      <c r="A2929" s="479" t="inlineStr">
        <is>
          <t>Floor</t>
        </is>
      </c>
      <c r="B2929" s="1172" t="n"/>
      <c r="C2929" s="810" t="n">
        <v>571.5</v>
      </c>
      <c r="D2929" s="811" t="n">
        <v>545</v>
      </c>
      <c r="E2929" s="1172" t="n"/>
      <c r="F2929" s="810" t="n">
        <v>570.5</v>
      </c>
      <c r="G2929" s="811" t="n">
        <v>515</v>
      </c>
      <c r="H2929" s="810" t="n"/>
      <c r="I2929" s="810" t="n">
        <v>562</v>
      </c>
      <c r="J2929" s="811" t="n">
        <v>552</v>
      </c>
      <c r="K2929" s="810" t="n"/>
      <c r="L2929" s="810" t="n">
        <v>544.5</v>
      </c>
      <c r="M2929" s="811" t="n">
        <v>515</v>
      </c>
      <c r="N2929" s="1172" t="n"/>
      <c r="O2929" s="810" t="n">
        <v>552.5</v>
      </c>
      <c r="P2929" s="811" t="n">
        <v>552</v>
      </c>
    </row>
    <row r="2930" ht="15.75" customHeight="1" s="2" thickBot="1">
      <c r="A2930" s="481" t="inlineStr">
        <is>
          <t>Kitchen</t>
        </is>
      </c>
      <c r="B2930" s="1173" t="n"/>
      <c r="C2930" s="813" t="n">
        <v>506.5</v>
      </c>
      <c r="D2930" s="814" t="n">
        <v>446</v>
      </c>
      <c r="E2930" s="1173" t="n"/>
      <c r="F2930" s="840" t="n">
        <v>490.5</v>
      </c>
      <c r="G2930" s="814" t="n">
        <v>498</v>
      </c>
      <c r="H2930" s="813" t="n"/>
      <c r="I2930" s="840" t="n">
        <v>467</v>
      </c>
      <c r="J2930" s="814" t="n">
        <v>515</v>
      </c>
      <c r="K2930" s="813" t="n"/>
      <c r="L2930" s="840" t="n">
        <v>474.5</v>
      </c>
      <c r="M2930" s="814" t="n">
        <v>522</v>
      </c>
      <c r="N2930" s="1173" t="n"/>
      <c r="O2930" s="813" t="n">
        <v>480.5</v>
      </c>
      <c r="P2930" s="814" t="n">
        <v>515</v>
      </c>
    </row>
    <row r="2931" ht="15.75" customHeight="1" s="2" thickBot="1">
      <c r="A2931" s="834" t="n"/>
      <c r="B2931" s="836" t="n"/>
      <c r="C2931" s="1220" t="n"/>
      <c r="D2931" s="1220" t="n"/>
      <c r="E2931" s="839" t="n"/>
      <c r="F2931" s="1220" t="n"/>
      <c r="G2931" s="1220" t="n"/>
      <c r="H2931" s="839" t="n"/>
      <c r="I2931" s="1220" t="n"/>
      <c r="J2931" s="1220" t="n"/>
      <c r="K2931" s="839" t="n"/>
      <c r="L2931" s="1220" t="n"/>
      <c r="M2931" s="1220" t="n"/>
      <c r="N2931" s="839" t="n"/>
      <c r="O2931" s="835" t="n"/>
      <c r="P2931" s="835" t="n"/>
    </row>
    <row r="2932" ht="15.75" customHeight="1" s="2">
      <c r="A2932" s="506" t="inlineStr">
        <is>
          <t>Training explanation</t>
        </is>
      </c>
      <c r="B2932" s="837" t="n"/>
      <c r="C2932" s="1220" t="n"/>
      <c r="D2932" s="1220" t="n"/>
      <c r="E2932" s="837" t="n"/>
      <c r="F2932" s="1220" t="n"/>
      <c r="G2932" s="1220" t="n"/>
      <c r="H2932" s="837" t="n"/>
      <c r="I2932" s="1220" t="n"/>
      <c r="J2932" s="1220" t="n"/>
      <c r="K2932" s="837" t="n"/>
      <c r="L2932" s="1220" t="n"/>
      <c r="M2932" s="1220" t="n"/>
      <c r="N2932" s="837" t="n"/>
      <c r="O2932" s="835" t="n"/>
      <c r="P2932" s="835" t="n"/>
    </row>
    <row r="2933" ht="15.75" customHeight="1" s="2" thickBot="1">
      <c r="A2933" s="506" t="inlineStr">
        <is>
          <t>Who is being Trained</t>
        </is>
      </c>
      <c r="B2933" s="838" t="n"/>
      <c r="C2933" s="1221" t="n"/>
      <c r="D2933" s="1221" t="n"/>
      <c r="E2933" s="838" t="n"/>
      <c r="F2933" s="1221" t="n"/>
      <c r="G2933" s="1221" t="n"/>
      <c r="H2933" s="838" t="n"/>
      <c r="I2933" s="1221" t="n"/>
      <c r="J2933" s="1221" t="n"/>
      <c r="K2933" s="838" t="n"/>
      <c r="L2933" s="1221" t="n"/>
      <c r="M2933" s="1221" t="n"/>
      <c r="N2933" s="838" t="n"/>
    </row>
    <row r="2934" ht="15.75" customHeight="1" s="2" thickBot="1">
      <c r="A2934" s="506" t="n"/>
      <c r="C2934" s="523" t="inlineStr">
        <is>
          <t>floor</t>
        </is>
      </c>
      <c r="D2934" s="524" t="inlineStr">
        <is>
          <t>kitchen</t>
        </is>
      </c>
      <c r="E2934" s="509" t="n"/>
      <c r="F2934" s="507" t="inlineStr">
        <is>
          <t>floor</t>
        </is>
      </c>
      <c r="G2934" s="508" t="inlineStr">
        <is>
          <t>kitchen</t>
        </is>
      </c>
      <c r="H2934" s="510" t="n"/>
      <c r="I2934" s="535" t="inlineStr">
        <is>
          <t>floor</t>
        </is>
      </c>
      <c r="J2934" s="511" t="inlineStr">
        <is>
          <t>kitchen</t>
        </is>
      </c>
      <c r="K2934" s="512" t="n"/>
      <c r="L2934" s="535" t="inlineStr">
        <is>
          <t>floor</t>
        </is>
      </c>
      <c r="M2934" s="513" t="inlineStr">
        <is>
          <t>kitchen</t>
        </is>
      </c>
      <c r="N2934" s="512" t="n"/>
      <c r="O2934" s="535" t="inlineStr">
        <is>
          <t>floor</t>
        </is>
      </c>
      <c r="P2934" s="513" t="inlineStr">
        <is>
          <t>kitchen</t>
        </is>
      </c>
    </row>
    <row r="2935" ht="15.75" customHeight="1" s="2">
      <c r="A2935" s="506" t="n"/>
      <c r="C2935" s="525" t="n"/>
      <c r="D2935" s="527" t="n"/>
      <c r="E2935" s="514" t="n"/>
      <c r="F2935" s="525" t="n"/>
      <c r="G2935" s="527" t="n"/>
      <c r="H2935" s="515" t="n"/>
      <c r="I2935" s="531" t="n"/>
      <c r="J2935" s="824" t="n"/>
      <c r="K2935" s="515" t="n"/>
      <c r="L2935" s="536" t="n"/>
      <c r="M2935" s="532" t="n"/>
      <c r="N2935" s="515" t="n"/>
      <c r="O2935" s="536" t="n"/>
      <c r="P2935" s="532" t="n"/>
    </row>
    <row r="2936" ht="15.75" customHeight="1" s="2">
      <c r="C2936" s="891" t="n"/>
      <c r="D2936" s="526" t="n"/>
      <c r="E2936" s="514" t="n"/>
      <c r="F2936" s="891" t="n"/>
      <c r="G2936" s="526" t="n"/>
      <c r="H2936" s="516" t="n"/>
      <c r="I2936" s="1656" t="n"/>
      <c r="J2936" s="530" t="n"/>
      <c r="K2936" s="516" t="n"/>
      <c r="L2936" s="542" t="n"/>
      <c r="M2936" s="530" t="n"/>
      <c r="N2936" s="516" t="n"/>
      <c r="O2936" s="542" t="n"/>
      <c r="P2936" s="530" t="n"/>
    </row>
    <row r="2937" ht="15.75" customHeight="1" s="2">
      <c r="C2937" s="550" t="n"/>
      <c r="D2937" s="527" t="n"/>
      <c r="E2937" s="514" t="n"/>
      <c r="F2937" s="531" t="n"/>
      <c r="G2937" s="530" t="n"/>
      <c r="H2937" s="516" t="n"/>
      <c r="I2937" s="537" t="n"/>
      <c r="J2937" s="530" t="n"/>
      <c r="K2937" s="516" t="n"/>
      <c r="L2937" s="1657" t="n"/>
      <c r="M2937" s="539" t="n"/>
      <c r="N2937" s="516" t="n"/>
      <c r="O2937" s="542" t="n"/>
      <c r="P2937" s="539" t="n"/>
    </row>
    <row r="2938" ht="15.75" customHeight="1" s="2">
      <c r="C2938" s="561" t="n"/>
      <c r="D2938" s="561" t="n"/>
      <c r="E2938" s="519" t="n"/>
      <c r="F2938" s="517" t="n"/>
      <c r="G2938" s="1659" t="n"/>
      <c r="H2938" s="516" t="n"/>
      <c r="I2938" s="537" t="n"/>
      <c r="J2938" s="530" t="n"/>
      <c r="K2938" s="516" t="n"/>
      <c r="L2938" s="537" t="n"/>
      <c r="M2938" s="539" t="n"/>
      <c r="N2938" s="516" t="n"/>
      <c r="O2938" s="537" t="n"/>
      <c r="P2938" s="539" t="n"/>
    </row>
    <row r="2939" ht="15.75" customHeight="1" s="2">
      <c r="C2939" s="551" t="n"/>
      <c r="D2939" s="528" t="n"/>
      <c r="E2939" s="519" t="n"/>
      <c r="F2939" s="517" t="n"/>
      <c r="G2939" s="518" t="n"/>
      <c r="H2939" s="516" t="n"/>
      <c r="I2939" s="537" t="n"/>
      <c r="J2939" s="533" t="n"/>
      <c r="K2939" s="516" t="n"/>
      <c r="L2939" s="537" t="n"/>
      <c r="M2939" s="540" t="n"/>
      <c r="N2939" s="516" t="n"/>
      <c r="O2939" s="537" t="n"/>
      <c r="P2939" s="540" t="n"/>
    </row>
    <row r="2944" ht="15.75" customHeight="1" s="2" thickBot="1"/>
    <row r="2945" ht="15.75" customHeight="1" s="2" thickBot="1">
      <c r="B2945" s="1482" t="n"/>
      <c r="C2945" s="1360" t="inlineStr">
        <is>
          <t>17.03.2025</t>
        </is>
      </c>
      <c r="D2945" s="1352" t="n"/>
      <c r="E2945" s="1353" t="n"/>
      <c r="F2945" s="1354" t="inlineStr">
        <is>
          <t>24.03.2025</t>
        </is>
      </c>
      <c r="G2945" s="1355" t="n"/>
      <c r="H2945" s="1353" t="n"/>
      <c r="I2945" s="1354" t="inlineStr">
        <is>
          <t>31.03.2025</t>
        </is>
      </c>
      <c r="J2945" s="1355" t="n"/>
      <c r="K2945" s="1353" t="n"/>
      <c r="L2945" s="1354" t="inlineStr">
        <is>
          <t>07.04.2025</t>
        </is>
      </c>
      <c r="M2945" s="1355" t="n"/>
      <c r="N2945" s="1356" t="n"/>
      <c r="O2945" s="1357" t="inlineStr">
        <is>
          <t>14.04.2025</t>
        </is>
      </c>
      <c r="P2945" s="1358" t="n"/>
    </row>
    <row r="2946" ht="15.75" customHeight="1" s="2" thickBot="1">
      <c r="A2946" s="455" t="n"/>
      <c r="B2946" s="1217" t="inlineStr">
        <is>
          <t>LAST YEAR</t>
        </is>
      </c>
      <c r="C2946" s="1219" t="inlineStr">
        <is>
          <t>Projected</t>
        </is>
      </c>
      <c r="D2946" s="1218" t="inlineStr">
        <is>
          <t>Actual</t>
        </is>
      </c>
      <c r="E2946" s="1217" t="inlineStr">
        <is>
          <t>LAST YEAR</t>
        </is>
      </c>
      <c r="F2946" s="1219" t="inlineStr">
        <is>
          <t>Projected</t>
        </is>
      </c>
      <c r="G2946" s="1218" t="inlineStr">
        <is>
          <t>Actual</t>
        </is>
      </c>
      <c r="H2946" s="1217" t="inlineStr">
        <is>
          <t>LAST YEAR</t>
        </is>
      </c>
      <c r="I2946" s="1219" t="inlineStr">
        <is>
          <t>Projected</t>
        </is>
      </c>
      <c r="J2946" s="1218" t="inlineStr">
        <is>
          <t>Actual</t>
        </is>
      </c>
      <c r="K2946" s="1217" t="inlineStr">
        <is>
          <t>LAST YEAR</t>
        </is>
      </c>
      <c r="L2946" s="1219" t="inlineStr">
        <is>
          <t>Projected</t>
        </is>
      </c>
      <c r="M2946" s="1218" t="inlineStr">
        <is>
          <t>Actual</t>
        </is>
      </c>
      <c r="N2946" s="1217" t="inlineStr">
        <is>
          <t>LAST YEAR</t>
        </is>
      </c>
      <c r="O2946" s="1219" t="inlineStr">
        <is>
          <t>Projected</t>
        </is>
      </c>
      <c r="P2946" s="1218" t="inlineStr">
        <is>
          <t>Actual</t>
        </is>
      </c>
    </row>
    <row r="2947" ht="15.75" customHeight="1" s="2">
      <c r="A2947" s="459" t="inlineStr">
        <is>
          <t>Total Receipts</t>
        </is>
      </c>
      <c r="B2947" s="1690" t="n">
        <v>133660.93</v>
      </c>
      <c r="C2947" s="1691" t="n">
        <v>125368</v>
      </c>
      <c r="D2947" s="1645" t="n">
        <v>133107.01</v>
      </c>
      <c r="E2947" s="1690" t="n">
        <v>135593.02</v>
      </c>
      <c r="F2947" s="1691" t="n">
        <v>118423</v>
      </c>
      <c r="G2947" s="1645" t="n">
        <v>134525.26</v>
      </c>
      <c r="H2947" s="1690" t="n">
        <v>146950.21</v>
      </c>
      <c r="I2947" s="1691" t="n">
        <v>120398</v>
      </c>
      <c r="J2947" s="1645" t="n">
        <v>126998.95</v>
      </c>
      <c r="K2947" s="1690" t="n">
        <v>182913.56</v>
      </c>
      <c r="L2947" s="1691" t="n">
        <v>128688</v>
      </c>
      <c r="M2947" s="1645" t="n">
        <v>139344.81</v>
      </c>
      <c r="N2947" s="1690" t="n">
        <v>138575.98</v>
      </c>
      <c r="O2947" s="1692" t="n">
        <v>143300</v>
      </c>
      <c r="P2947" s="1622" t="n">
        <v>138740.22</v>
      </c>
    </row>
    <row r="2948" ht="15.75" customHeight="1" s="2">
      <c r="A2948" s="462" t="inlineStr">
        <is>
          <t>Nett Sales</t>
        </is>
      </c>
      <c r="B2948" s="1693" t="n">
        <v>121509.94</v>
      </c>
      <c r="C2948" s="1694" t="n">
        <v>113970.5</v>
      </c>
      <c r="D2948" s="1625" t="n">
        <v>121006.37</v>
      </c>
      <c r="E2948" s="1695" t="n">
        <v>123266.38</v>
      </c>
      <c r="F2948" s="1694" t="n">
        <v>107656.8</v>
      </c>
      <c r="G2948" s="1637" t="n">
        <v>122295.69</v>
      </c>
      <c r="H2948" s="1695" t="n">
        <v>133591.1</v>
      </c>
      <c r="I2948" s="1694" t="n">
        <v>109452.7</v>
      </c>
      <c r="J2948" s="1625" t="n">
        <v>115453.59</v>
      </c>
      <c r="K2948" s="1695" t="n">
        <v>166285</v>
      </c>
      <c r="L2948" s="1694" t="n">
        <v>116988.6</v>
      </c>
      <c r="M2948" s="1625" t="n">
        <v>126677.1</v>
      </c>
      <c r="N2948" s="1695" t="n">
        <v>125978.16</v>
      </c>
      <c r="O2948" s="1694" t="n">
        <v>130272.7</v>
      </c>
      <c r="P2948" s="1625" t="n">
        <v>126127.47</v>
      </c>
    </row>
    <row r="2949" ht="15.75" customHeight="1" s="2">
      <c r="A2949" s="462" t="inlineStr">
        <is>
          <t>Customers</t>
        </is>
      </c>
      <c r="B2949" s="1332" t="n">
        <v>5438</v>
      </c>
      <c r="C2949" s="1333" t="n">
        <v>4975</v>
      </c>
      <c r="D2949" s="466" t="n">
        <v>5234</v>
      </c>
      <c r="E2949" s="1332" t="n">
        <v>5533</v>
      </c>
      <c r="F2949" s="1333" t="n">
        <v>4610</v>
      </c>
      <c r="G2949" s="466" t="n">
        <v>5315</v>
      </c>
      <c r="H2949" s="1332" t="n">
        <v>5983</v>
      </c>
      <c r="I2949" s="1333" t="n">
        <v>4688</v>
      </c>
      <c r="J2949" s="466" t="n">
        <v>5069</v>
      </c>
      <c r="K2949" s="1696" t="n">
        <v>7090</v>
      </c>
      <c r="L2949" s="1333" t="n">
        <v>5005</v>
      </c>
      <c r="M2949" s="466" t="n">
        <v>5598</v>
      </c>
      <c r="N2949" s="1332" t="n">
        <v>5782</v>
      </c>
      <c r="O2949" s="1333" t="n">
        <v>5570</v>
      </c>
      <c r="P2949" s="1655" t="n">
        <v>5461</v>
      </c>
    </row>
    <row r="2950" ht="15.75" customHeight="1" s="2">
      <c r="A2950" s="462" t="inlineStr">
        <is>
          <t>Average Customer Spend</t>
        </is>
      </c>
      <c r="B2950" s="1697" t="n">
        <v>24.57</v>
      </c>
      <c r="C2950" s="1698" t="n">
        <v>25.2</v>
      </c>
      <c r="D2950" s="1649" t="n">
        <v>25.43</v>
      </c>
      <c r="E2950" s="1697" t="n">
        <v>24.5</v>
      </c>
      <c r="F2950" s="1698" t="n">
        <v>25.69</v>
      </c>
      <c r="G2950" s="1649" t="n">
        <v>25.31</v>
      </c>
      <c r="H2950" s="1697" t="n">
        <v>24.56</v>
      </c>
      <c r="I2950" s="1698" t="n">
        <v>25.68</v>
      </c>
      <c r="J2950" s="1649" t="n">
        <v>25.05</v>
      </c>
      <c r="K2950" s="1697" t="n">
        <v>25.79</v>
      </c>
      <c r="L2950" s="1698" t="n">
        <v>25.71</v>
      </c>
      <c r="M2950" s="1649" t="n">
        <v>24.89</v>
      </c>
      <c r="N2950" s="1697" t="n">
        <v>23.96</v>
      </c>
      <c r="O2950" s="1699" t="n">
        <v>25.73</v>
      </c>
      <c r="P2950" s="1628" t="n">
        <v>25.4</v>
      </c>
    </row>
    <row r="2951" ht="15.75" customHeight="1" s="2">
      <c r="A2951" s="462" t="inlineStr">
        <is>
          <t>Wage % to Total Receipts</t>
        </is>
      </c>
      <c r="B2951" s="1336" t="n">
        <v>0.3199</v>
      </c>
      <c r="C2951" s="1337" t="n">
        <v>0.2905</v>
      </c>
      <c r="D2951" s="863" t="n">
        <v>0.3135</v>
      </c>
      <c r="E2951" s="1336" t="n">
        <v>0.3145</v>
      </c>
      <c r="F2951" s="1337" t="n">
        <v>0.285</v>
      </c>
      <c r="G2951" s="863" t="n">
        <v>0.3106</v>
      </c>
      <c r="H2951" s="1336" t="n">
        <v>0.3152</v>
      </c>
      <c r="I2951" s="1337" t="n">
        <v>0.2851</v>
      </c>
      <c r="J2951" s="863" t="n">
        <v>0.3266</v>
      </c>
      <c r="K2951" s="1336" t="n">
        <v>0.3363</v>
      </c>
      <c r="L2951" s="1337" t="n">
        <v>0.2847</v>
      </c>
      <c r="M2951" s="863" t="n">
        <v>0.3203</v>
      </c>
      <c r="N2951" s="1336" t="n">
        <v>0.3306</v>
      </c>
      <c r="O2951" s="1346" t="n">
        <v>0.2846</v>
      </c>
      <c r="P2951" s="470" t="n">
        <v>0.3152</v>
      </c>
    </row>
    <row r="2952" ht="15.75" customHeight="1" s="2">
      <c r="A2952" s="462" t="inlineStr">
        <is>
          <t>Wage % to Nett Sales</t>
        </is>
      </c>
      <c r="B2952" s="1336" t="n">
        <v>0.3518</v>
      </c>
      <c r="C2952" s="1337" t="n">
        <v>0.3196</v>
      </c>
      <c r="D2952" s="863" t="n">
        <v>0.3448</v>
      </c>
      <c r="E2952" s="1336" t="n">
        <v>0.3459</v>
      </c>
      <c r="F2952" s="1337" t="n">
        <v>0.3135</v>
      </c>
      <c r="G2952" s="863" t="n">
        <v>0.3417</v>
      </c>
      <c r="H2952" s="1336" t="n">
        <v>0.3467</v>
      </c>
      <c r="I2952" s="1337" t="n">
        <v>0.3136</v>
      </c>
      <c r="J2952" s="863" t="n">
        <v>0.3593</v>
      </c>
      <c r="K2952" s="1336" t="n">
        <v>0.3699</v>
      </c>
      <c r="L2952" s="1337" t="n">
        <v>0.3132</v>
      </c>
      <c r="M2952" s="863" t="n">
        <v>0.3524</v>
      </c>
      <c r="N2952" s="1336" t="n">
        <v>0.3636</v>
      </c>
      <c r="O2952" s="1346" t="n">
        <v>0.313</v>
      </c>
      <c r="P2952" s="470" t="n">
        <v>0.3468</v>
      </c>
    </row>
    <row r="2953" ht="15.75" customHeight="1" s="2">
      <c r="A2953" s="462" t="inlineStr">
        <is>
          <t>Productivity</t>
        </is>
      </c>
      <c r="B2953" s="1338" t="n">
        <v>5.05</v>
      </c>
      <c r="C2953" s="1339" t="n">
        <v>5.6</v>
      </c>
      <c r="D2953" s="472" t="n">
        <v>5.25</v>
      </c>
      <c r="E2953" s="1338" t="n">
        <v>5.1</v>
      </c>
      <c r="F2953" s="1339" t="n">
        <v>5.6</v>
      </c>
      <c r="G2953" s="472" t="n">
        <v>5.19</v>
      </c>
      <c r="H2953" s="1338" t="n">
        <v>5.14</v>
      </c>
      <c r="I2953" s="1339" t="n">
        <v>5.6</v>
      </c>
      <c r="J2953" s="472" t="n">
        <v>4.99</v>
      </c>
      <c r="K2953" s="1338" t="n">
        <v>5.16</v>
      </c>
      <c r="L2953" s="1339" t="n">
        <v>5.6</v>
      </c>
      <c r="M2953" s="472" t="n">
        <v>5.26</v>
      </c>
      <c r="N2953" s="1338" t="n">
        <v>5.06</v>
      </c>
      <c r="O2953" s="1339" t="n">
        <v>5.6</v>
      </c>
      <c r="P2953" s="472" t="n">
        <v>5.01</v>
      </c>
    </row>
    <row r="2954" ht="15.75" customHeight="1" s="2">
      <c r="A2954" s="462" t="inlineStr">
        <is>
          <t>Average Hourly Rate</t>
        </is>
      </c>
      <c r="B2954" s="1697" t="n">
        <v>39.7</v>
      </c>
      <c r="C2954" s="1339" t="n">
        <v>41</v>
      </c>
      <c r="D2954" s="1649" t="n">
        <v>41.87</v>
      </c>
      <c r="E2954" s="1697" t="n">
        <v>39.27</v>
      </c>
      <c r="F2954" s="1339" t="n">
        <v>41</v>
      </c>
      <c r="G2954" s="1649" t="n">
        <v>40.79</v>
      </c>
      <c r="H2954" s="1697" t="n">
        <v>39.8</v>
      </c>
      <c r="I2954" s="1339" t="n">
        <v>41</v>
      </c>
      <c r="J2954" s="1649" t="n">
        <v>40.81</v>
      </c>
      <c r="K2954" s="1697" t="n">
        <v>44.74</v>
      </c>
      <c r="L2954" s="1339" t="n">
        <v>41</v>
      </c>
      <c r="M2954" s="1649" t="n">
        <v>41.95</v>
      </c>
      <c r="N2954" s="1697" t="n">
        <v>40.11</v>
      </c>
      <c r="O2954" s="1339" t="n">
        <v>41</v>
      </c>
      <c r="P2954" s="1628" t="n">
        <v>40.11</v>
      </c>
    </row>
    <row r="2955" ht="15.75" customHeight="1" s="2">
      <c r="A2955" s="462" t="inlineStr">
        <is>
          <t>Total hours for productivity</t>
        </is>
      </c>
      <c r="B2955" s="1332" t="n">
        <v>1077</v>
      </c>
      <c r="C2955" s="1339" t="n"/>
      <c r="D2955" s="466" t="n">
        <v>996.5</v>
      </c>
      <c r="E2955" s="1338" t="n">
        <v>1085.75</v>
      </c>
      <c r="F2955" s="1339" t="n">
        <v>1028</v>
      </c>
      <c r="G2955" s="466" t="n">
        <v>1024.25</v>
      </c>
      <c r="H2955" s="1332" t="n">
        <v>1163.75</v>
      </c>
      <c r="I2955" s="1339" t="n">
        <v>1027</v>
      </c>
      <c r="J2955" s="472" t="n">
        <v>1016.25</v>
      </c>
      <c r="K2955" s="1332" t="n">
        <v>1374.75</v>
      </c>
      <c r="L2955" s="1339" t="n">
        <v>1039</v>
      </c>
      <c r="M2955" s="466" t="n">
        <v>1064</v>
      </c>
      <c r="N2955" s="1332" t="n">
        <v>1142</v>
      </c>
      <c r="O2955" s="1339" t="n">
        <v>1056.5</v>
      </c>
      <c r="P2955" s="466" t="n">
        <v>1090.5</v>
      </c>
    </row>
    <row r="2956" ht="15.75" customHeight="1" s="2">
      <c r="A2956" s="462" t="inlineStr">
        <is>
          <t>Training Hours used</t>
        </is>
      </c>
      <c r="B2956" s="1332" t="n">
        <v>52</v>
      </c>
      <c r="C2956" s="1340" t="n"/>
      <c r="D2956" s="466" t="n"/>
      <c r="E2956" s="1332" t="n"/>
      <c r="F2956" s="1340" t="n"/>
      <c r="G2956" s="466" t="n"/>
      <c r="H2956" s="1332" t="n">
        <v>10</v>
      </c>
      <c r="I2956" s="1340" t="n"/>
      <c r="J2956" s="466" t="n">
        <v>4</v>
      </c>
      <c r="K2956" s="1332" t="n"/>
      <c r="L2956" s="1340" t="n"/>
      <c r="M2956" s="466" t="n">
        <v>93.5</v>
      </c>
      <c r="N2956" s="1332" t="n">
        <v>15</v>
      </c>
      <c r="O2956" s="1340" t="n"/>
      <c r="P2956" s="466" t="n">
        <v>54</v>
      </c>
    </row>
    <row r="2957" ht="15.75" customHeight="1" s="2" thickBot="1">
      <c r="A2957" s="474" t="inlineStr">
        <is>
          <t>Number of hours used to cover sick leave</t>
        </is>
      </c>
      <c r="B2957" s="1341" t="n">
        <v>4.5</v>
      </c>
      <c r="C2957" s="1342" t="n"/>
      <c r="D2957" s="476" t="n">
        <v>13</v>
      </c>
      <c r="E2957" s="1341" t="n">
        <v>8</v>
      </c>
      <c r="F2957" s="1342" t="n"/>
      <c r="G2957" s="476" t="n">
        <v>15</v>
      </c>
      <c r="H2957" s="1341" t="n">
        <v>18</v>
      </c>
      <c r="I2957" s="1342" t="n"/>
      <c r="J2957" s="476" t="n">
        <v>3</v>
      </c>
      <c r="K2957" s="1341" t="n"/>
      <c r="L2957" s="1342" t="n"/>
      <c r="M2957" s="476" t="n">
        <v>32.75</v>
      </c>
      <c r="N2957" s="1341" t="n"/>
      <c r="O2957" s="1342" t="n"/>
      <c r="P2957" s="476" t="n">
        <v>16.25</v>
      </c>
    </row>
    <row r="2958" ht="15.75" customHeight="1" s="2" thickBot="1">
      <c r="A2958" s="477" t="inlineStr">
        <is>
          <t xml:space="preserve">Minimum Hours </t>
        </is>
      </c>
      <c r="B2958" s="1171" t="n"/>
      <c r="C2958" s="816" t="inlineStr">
        <is>
          <t>Projected</t>
        </is>
      </c>
      <c r="D2958" s="935" t="inlineStr">
        <is>
          <t>Min Hrs</t>
        </is>
      </c>
      <c r="E2958" s="1171" t="n"/>
      <c r="F2958" s="816" t="inlineStr">
        <is>
          <t>Projected</t>
        </is>
      </c>
      <c r="G2958" s="935" t="inlineStr">
        <is>
          <t>Min Hrs</t>
        </is>
      </c>
      <c r="H2958" s="935" t="n"/>
      <c r="I2958" s="816" t="inlineStr">
        <is>
          <t>Projected</t>
        </is>
      </c>
      <c r="J2958" s="935" t="inlineStr">
        <is>
          <t>Min Hrs</t>
        </is>
      </c>
      <c r="K2958" s="935" t="n"/>
      <c r="L2958" s="816" t="inlineStr">
        <is>
          <t>Projected</t>
        </is>
      </c>
      <c r="M2958" s="935" t="inlineStr">
        <is>
          <t>Min Hrs</t>
        </is>
      </c>
      <c r="N2958" s="1171" t="n"/>
      <c r="O2958" s="816" t="inlineStr">
        <is>
          <t>Projected</t>
        </is>
      </c>
      <c r="P2958" s="935" t="inlineStr">
        <is>
          <t>Min Hrs</t>
        </is>
      </c>
    </row>
    <row r="2959" ht="15.75" customHeight="1" s="2">
      <c r="A2959" s="479" t="inlineStr">
        <is>
          <t>Floor</t>
        </is>
      </c>
      <c r="B2959" s="1172" t="n"/>
      <c r="C2959" s="810" t="n">
        <v>537.75</v>
      </c>
      <c r="D2959" s="811" t="n">
        <v>532</v>
      </c>
      <c r="E2959" s="1172" t="n"/>
      <c r="F2959" s="810" t="n">
        <v>535</v>
      </c>
      <c r="G2959" s="811" t="n">
        <v>532</v>
      </c>
      <c r="H2959" s="810" t="n"/>
      <c r="I2959" s="810" t="n">
        <v>544</v>
      </c>
      <c r="J2959" s="811" t="n">
        <v>532</v>
      </c>
      <c r="K2959" s="810" t="n"/>
      <c r="L2959" s="810" t="n">
        <v>534</v>
      </c>
      <c r="M2959" s="811" t="n">
        <v>526</v>
      </c>
      <c r="N2959" s="1172" t="n"/>
      <c r="O2959" s="810" t="n">
        <v>574.5</v>
      </c>
      <c r="P2959" s="811" t="n">
        <v>526</v>
      </c>
    </row>
    <row r="2960" ht="15.75" customHeight="1" s="2" thickBot="1">
      <c r="A2960" s="481" t="inlineStr">
        <is>
          <t>Kitchen</t>
        </is>
      </c>
      <c r="B2960" s="1173" t="n"/>
      <c r="C2960" s="813" t="n">
        <v>479.5</v>
      </c>
      <c r="D2960" s="814" t="n">
        <v>515</v>
      </c>
      <c r="E2960" s="1173" t="n"/>
      <c r="F2960" s="840" t="n">
        <v>493.5</v>
      </c>
      <c r="G2960" s="814" t="n">
        <v>515</v>
      </c>
      <c r="H2960" s="813" t="n"/>
      <c r="I2960" s="840" t="n">
        <v>483</v>
      </c>
      <c r="J2960" s="814" t="n">
        <v>515</v>
      </c>
      <c r="K2960" s="813" t="n"/>
      <c r="L2960" s="840" t="n">
        <v>505</v>
      </c>
      <c r="M2960" s="814" t="n">
        <v>515</v>
      </c>
      <c r="N2960" s="1173" t="n"/>
      <c r="O2960" s="813" t="n">
        <v>482</v>
      </c>
      <c r="P2960" s="814" t="n">
        <v>491</v>
      </c>
    </row>
    <row r="2961" ht="15.75" customHeight="1" s="2" thickBot="1">
      <c r="A2961" s="834" t="n"/>
      <c r="B2961" s="836" t="n"/>
      <c r="C2961" s="1220" t="n"/>
      <c r="D2961" s="1220" t="n"/>
      <c r="E2961" s="839" t="n"/>
      <c r="F2961" s="1220" t="n"/>
      <c r="G2961" s="1220" t="n"/>
      <c r="H2961" s="839" t="n"/>
      <c r="I2961" s="1220" t="n"/>
      <c r="J2961" s="1220" t="n"/>
      <c r="K2961" s="839" t="n"/>
      <c r="L2961" s="1220" t="n"/>
      <c r="M2961" s="1220" t="n"/>
      <c r="N2961" s="839" t="n"/>
      <c r="O2961" s="835" t="n"/>
      <c r="P2961" s="835" t="n"/>
    </row>
    <row r="2962" ht="15.75" customHeight="1" s="2">
      <c r="A2962" s="506" t="inlineStr">
        <is>
          <t>Training explanation</t>
        </is>
      </c>
      <c r="B2962" s="837" t="n"/>
      <c r="C2962" s="1220" t="n"/>
      <c r="D2962" s="1220" t="n"/>
      <c r="E2962" s="837" t="n"/>
      <c r="F2962" s="1220" t="n"/>
      <c r="G2962" s="1220" t="n"/>
      <c r="H2962" s="837" t="n"/>
      <c r="I2962" s="1220" t="n"/>
      <c r="J2962" s="1220" t="n"/>
      <c r="K2962" s="837" t="n"/>
      <c r="L2962" s="1220" t="n"/>
      <c r="M2962" s="1220" t="n"/>
      <c r="N2962" s="837" t="n"/>
      <c r="O2962" s="835" t="n"/>
      <c r="P2962" s="835" t="n"/>
    </row>
    <row r="2963" ht="15.75" customHeight="1" s="2" thickBot="1">
      <c r="A2963" s="506" t="inlineStr">
        <is>
          <t>Who is being Trained</t>
        </is>
      </c>
      <c r="B2963" s="838" t="n"/>
      <c r="C2963" s="1221" t="n"/>
      <c r="D2963" s="1221" t="n"/>
      <c r="E2963" s="838" t="n"/>
      <c r="F2963" s="1221" t="n"/>
      <c r="G2963" s="1221" t="n"/>
      <c r="H2963" s="838" t="n"/>
      <c r="I2963" s="1221" t="n"/>
      <c r="J2963" s="1221" t="n"/>
      <c r="K2963" s="838" t="n"/>
      <c r="L2963" s="1221" t="n"/>
      <c r="M2963" s="1221" t="n"/>
      <c r="N2963" s="838" t="n"/>
    </row>
    <row r="2964" ht="15.75" customHeight="1" s="2" thickBot="1">
      <c r="A2964" s="506" t="n"/>
      <c r="C2964" s="523" t="inlineStr">
        <is>
          <t>floor</t>
        </is>
      </c>
      <c r="D2964" s="524" t="inlineStr">
        <is>
          <t>kitchen</t>
        </is>
      </c>
      <c r="E2964" s="509" t="n"/>
      <c r="F2964" s="507" t="inlineStr">
        <is>
          <t>floor</t>
        </is>
      </c>
      <c r="G2964" s="508" t="inlineStr">
        <is>
          <t>kitchen</t>
        </is>
      </c>
      <c r="H2964" s="510" t="n"/>
      <c r="I2964" s="535" t="inlineStr">
        <is>
          <t>floor</t>
        </is>
      </c>
      <c r="J2964" s="511" t="inlineStr">
        <is>
          <t>kitchen</t>
        </is>
      </c>
      <c r="K2964" s="512" t="n"/>
      <c r="L2964" s="535" t="inlineStr">
        <is>
          <t>floor</t>
        </is>
      </c>
      <c r="M2964" s="513" t="inlineStr">
        <is>
          <t>kitchen</t>
        </is>
      </c>
      <c r="N2964" s="512" t="n"/>
      <c r="O2964" s="535" t="inlineStr">
        <is>
          <t>floor</t>
        </is>
      </c>
      <c r="P2964" s="513" t="inlineStr">
        <is>
          <t>kitchen</t>
        </is>
      </c>
    </row>
    <row r="2965" ht="15.75" customHeight="1" s="2">
      <c r="A2965" s="506" t="n"/>
      <c r="C2965" s="525" t="n"/>
      <c r="D2965" s="527" t="n"/>
      <c r="E2965" s="514" t="n"/>
      <c r="F2965" s="525" t="n"/>
      <c r="G2965" s="527" t="n"/>
      <c r="H2965" s="515" t="n"/>
      <c r="I2965" s="531" t="n"/>
      <c r="J2965" s="824" t="n"/>
      <c r="K2965" s="515" t="n"/>
      <c r="L2965" s="536" t="n"/>
      <c r="M2965" s="532" t="n"/>
      <c r="N2965" s="515" t="n"/>
      <c r="O2965" s="536" t="n"/>
      <c r="P2965" s="532" t="n"/>
    </row>
    <row r="2966" ht="15.75" customHeight="1" s="2">
      <c r="C2966" s="891" t="n"/>
      <c r="D2966" s="526" t="n"/>
      <c r="E2966" s="514" t="n"/>
      <c r="F2966" s="891" t="n"/>
      <c r="G2966" s="526" t="n"/>
      <c r="H2966" s="516" t="n"/>
      <c r="I2966" s="1656" t="n"/>
      <c r="J2966" s="530" t="n"/>
      <c r="K2966" s="516" t="n"/>
      <c r="L2966" s="542" t="n"/>
      <c r="M2966" s="530" t="n"/>
      <c r="N2966" s="516" t="n"/>
      <c r="O2966" s="542" t="n"/>
      <c r="P2966" s="530" t="n"/>
    </row>
    <row r="2967" ht="15.75" customHeight="1" s="2">
      <c r="C2967" s="550" t="n"/>
      <c r="D2967" s="527" t="n"/>
      <c r="E2967" s="514" t="n"/>
      <c r="F2967" s="531" t="n"/>
      <c r="G2967" s="530" t="n"/>
      <c r="H2967" s="516" t="n"/>
      <c r="I2967" s="537" t="n"/>
      <c r="J2967" s="530" t="n"/>
      <c r="K2967" s="516" t="n"/>
      <c r="L2967" s="1657" t="n"/>
      <c r="M2967" s="539" t="n"/>
      <c r="N2967" s="516" t="n"/>
      <c r="O2967" s="542" t="n"/>
      <c r="P2967" s="539" t="n"/>
    </row>
    <row r="2968" ht="15.75" customHeight="1" s="2">
      <c r="C2968" s="561" t="n"/>
      <c r="D2968" s="561" t="n"/>
      <c r="E2968" s="519" t="n"/>
      <c r="F2968" s="517" t="n"/>
      <c r="G2968" s="1659" t="n"/>
      <c r="H2968" s="516" t="n"/>
      <c r="I2968" s="537" t="n"/>
      <c r="J2968" s="530" t="n"/>
      <c r="K2968" s="516" t="n"/>
      <c r="L2968" s="537" t="n"/>
      <c r="M2968" s="539" t="n"/>
      <c r="N2968" s="516" t="n"/>
      <c r="O2968" s="537" t="n"/>
      <c r="P2968" s="539" t="n"/>
    </row>
    <row r="2969" ht="15.75" customHeight="1" s="2">
      <c r="C2969" s="551" t="n"/>
      <c r="D2969" s="528" t="n"/>
      <c r="E2969" s="519" t="n"/>
      <c r="F2969" s="517" t="n"/>
      <c r="G2969" s="518" t="n"/>
      <c r="H2969" s="516" t="n"/>
      <c r="I2969" s="537" t="n"/>
      <c r="J2969" s="533" t="n"/>
      <c r="K2969" s="516" t="n"/>
      <c r="L2969" s="537" t="n"/>
      <c r="M2969" s="540" t="n"/>
      <c r="N2969" s="516" t="n"/>
      <c r="O2969" s="537" t="n"/>
      <c r="P2969" s="540" t="n"/>
    </row>
    <row r="2973" ht="15.75" customHeight="1" s="2" thickBot="1"/>
    <row r="2974" ht="15.75" customHeight="1" s="2" thickBot="1">
      <c r="B2974" s="1482" t="n"/>
      <c r="C2974" s="1483" t="inlineStr">
        <is>
          <t>21.04.2025</t>
        </is>
      </c>
      <c r="D2974" s="1484" t="n"/>
      <c r="E2974" s="1485" t="n"/>
      <c r="F2974" s="1486" t="inlineStr">
        <is>
          <t>28.04.2025</t>
        </is>
      </c>
      <c r="G2974" s="1487" t="n"/>
      <c r="H2974" s="1485" t="n"/>
      <c r="I2974" s="1486" t="inlineStr">
        <is>
          <t>05.05.2025</t>
        </is>
      </c>
      <c r="J2974" s="1487" t="n"/>
      <c r="K2974" s="1485" t="n"/>
      <c r="L2974" s="1486" t="inlineStr">
        <is>
          <t>12.05.2025</t>
        </is>
      </c>
      <c r="M2974" s="1487" t="n"/>
      <c r="N2974" s="1488" t="n"/>
      <c r="O2974" s="1489" t="inlineStr">
        <is>
          <t>19.05.2025</t>
        </is>
      </c>
      <c r="P2974" s="1490" t="n"/>
    </row>
    <row r="2975" ht="15.75" customHeight="1" s="2" thickBot="1">
      <c r="A2975" s="455" t="n"/>
      <c r="B2975" s="1217" t="inlineStr">
        <is>
          <t>LAST YEAR</t>
        </is>
      </c>
      <c r="C2975" s="1219" t="inlineStr">
        <is>
          <t>Projected</t>
        </is>
      </c>
      <c r="D2975" s="1218" t="inlineStr">
        <is>
          <t>Actual</t>
        </is>
      </c>
      <c r="E2975" s="1217" t="inlineStr">
        <is>
          <t>LAST YEAR</t>
        </is>
      </c>
      <c r="F2975" s="1219" t="inlineStr">
        <is>
          <t>Projected</t>
        </is>
      </c>
      <c r="G2975" s="1218" t="inlineStr">
        <is>
          <t>Actual</t>
        </is>
      </c>
      <c r="H2975" s="1217" t="inlineStr">
        <is>
          <t>LAST YEAR</t>
        </is>
      </c>
      <c r="I2975" s="1219" t="inlineStr">
        <is>
          <t>Projected</t>
        </is>
      </c>
      <c r="J2975" s="1218" t="inlineStr">
        <is>
          <t>Actual</t>
        </is>
      </c>
      <c r="K2975" s="1217" t="inlineStr">
        <is>
          <t>LAST YEAR</t>
        </is>
      </c>
      <c r="L2975" s="1219" t="inlineStr">
        <is>
          <t>Projected</t>
        </is>
      </c>
      <c r="M2975" s="1218" t="inlineStr">
        <is>
          <t>Actual</t>
        </is>
      </c>
      <c r="N2975" s="1217" t="inlineStr">
        <is>
          <t>LAST YEAR</t>
        </is>
      </c>
      <c r="O2975" s="1219" t="inlineStr">
        <is>
          <t>Projected</t>
        </is>
      </c>
      <c r="P2975" s="1218" t="inlineStr">
        <is>
          <t>Actual</t>
        </is>
      </c>
    </row>
    <row r="2976" ht="15.75" customHeight="1" s="2">
      <c r="A2976" s="459" t="inlineStr">
        <is>
          <t>Total Receipts</t>
        </is>
      </c>
      <c r="B2976" s="1690" t="n">
        <v>140894.19</v>
      </c>
      <c r="C2976" s="1691" t="n">
        <v>196415</v>
      </c>
      <c r="D2976" s="1622" t="n">
        <v>207933.2</v>
      </c>
      <c r="E2976" s="1690" t="n">
        <v>162631.82</v>
      </c>
      <c r="F2976" s="1691" t="n">
        <v>175225</v>
      </c>
      <c r="G2976" s="1645" t="n">
        <v>153819.48</v>
      </c>
      <c r="H2976" s="1690" t="n">
        <v>118795.64</v>
      </c>
      <c r="I2976" s="1692" t="n">
        <v>129255</v>
      </c>
      <c r="J2976" s="1645" t="n">
        <v>122795.34</v>
      </c>
      <c r="K2976" s="1690" t="n">
        <v>105321.09</v>
      </c>
      <c r="L2976" s="1691" t="n">
        <v>130797</v>
      </c>
      <c r="M2976" s="1645" t="n">
        <v>114030.5</v>
      </c>
      <c r="N2976" s="1690" t="n">
        <v>108797.26</v>
      </c>
      <c r="O2976" s="1692" t="n">
        <v>118013</v>
      </c>
      <c r="P2976" s="1622" t="n">
        <v>111327.37</v>
      </c>
    </row>
    <row r="2977" ht="15.75" customHeight="1" s="2">
      <c r="A2977" s="462" t="inlineStr">
        <is>
          <t>Nett Sales</t>
        </is>
      </c>
      <c r="B2977" s="1695" t="n">
        <v>128085.63</v>
      </c>
      <c r="C2977" s="1694" t="n">
        <v>178559.1</v>
      </c>
      <c r="D2977" s="1625" t="n">
        <v>189030.18</v>
      </c>
      <c r="E2977" s="1693" t="n">
        <v>147847.11</v>
      </c>
      <c r="F2977" s="1694" t="n">
        <v>159295.5</v>
      </c>
      <c r="G2977" s="1637" t="n">
        <v>139835.89</v>
      </c>
      <c r="H2977" s="1695" t="n">
        <v>107996.04</v>
      </c>
      <c r="I2977" s="1694" t="n">
        <v>117504.5</v>
      </c>
      <c r="J2977" s="1625" t="n">
        <v>111632.13</v>
      </c>
      <c r="K2977" s="1695" t="n">
        <v>95746.45</v>
      </c>
      <c r="L2977" s="1694" t="n">
        <v>118905.9</v>
      </c>
      <c r="M2977" s="1625" t="n">
        <v>103664.09</v>
      </c>
      <c r="N2977" s="1695" t="n">
        <v>98906.60000000001</v>
      </c>
      <c r="O2977" s="1694" t="n">
        <v>107284.1</v>
      </c>
      <c r="P2977" s="1625" t="n">
        <v>101206.7</v>
      </c>
    </row>
    <row r="2978" ht="15.75" customHeight="1" s="2">
      <c r="A2978" s="462" t="inlineStr">
        <is>
          <t>Customers</t>
        </is>
      </c>
      <c r="B2978" s="1332" t="n">
        <v>6179</v>
      </c>
      <c r="C2978" s="1333" t="n">
        <v>7295</v>
      </c>
      <c r="D2978" s="466" t="n">
        <v>7267</v>
      </c>
      <c r="E2978" s="1332" t="n">
        <v>6757</v>
      </c>
      <c r="F2978" s="1333" t="n">
        <v>6720</v>
      </c>
      <c r="G2978" s="466" t="n">
        <v>6008</v>
      </c>
      <c r="H2978" s="1332" t="n">
        <v>4877</v>
      </c>
      <c r="I2978" s="1333" t="n">
        <v>5025</v>
      </c>
      <c r="J2978" s="466" t="n">
        <v>4633</v>
      </c>
      <c r="K2978" s="1332" t="n">
        <v>4486</v>
      </c>
      <c r="L2978" s="1333" t="n">
        <v>5092</v>
      </c>
      <c r="M2978" s="466" t="n">
        <v>4401</v>
      </c>
      <c r="N2978" s="1696" t="n">
        <v>4624</v>
      </c>
      <c r="O2978" s="1333" t="n">
        <v>4590</v>
      </c>
      <c r="P2978" s="1655" t="n">
        <v>4394</v>
      </c>
    </row>
    <row r="2979" ht="15.75" customHeight="1" s="2">
      <c r="A2979" s="462" t="inlineStr">
        <is>
          <t>Average Customer Spend</t>
        </is>
      </c>
      <c r="B2979" s="1697" t="n">
        <v>22.8</v>
      </c>
      <c r="C2979" s="1698" t="n">
        <v>26.92</v>
      </c>
      <c r="D2979" s="1628" t="n">
        <v>28.57</v>
      </c>
      <c r="E2979" s="1697" t="n">
        <v>24.06</v>
      </c>
      <c r="F2979" s="1698" t="n">
        <v>26.08</v>
      </c>
      <c r="G2979" s="1649" t="n">
        <v>25.6</v>
      </c>
      <c r="H2979" s="1697" t="n">
        <v>24.35</v>
      </c>
      <c r="I2979" s="1699" t="n">
        <v>25.72</v>
      </c>
      <c r="J2979" s="1649" t="n">
        <v>26.5</v>
      </c>
      <c r="K2979" s="1697" t="n">
        <v>23.47</v>
      </c>
      <c r="L2979" s="1698" t="n">
        <v>25.69</v>
      </c>
      <c r="M2979" s="1649" t="n">
        <v>25.91</v>
      </c>
      <c r="N2979" s="1697" t="n">
        <v>23.52</v>
      </c>
      <c r="O2979" s="1699" t="n">
        <v>25.71</v>
      </c>
      <c r="P2979" s="1628" t="n">
        <v>25.33</v>
      </c>
    </row>
    <row r="2980" ht="15.75" customHeight="1" s="2">
      <c r="A2980" s="462" t="inlineStr">
        <is>
          <t>Wage % to Total Receipts</t>
        </is>
      </c>
      <c r="B2980" s="1336" t="n">
        <v>0.3463</v>
      </c>
      <c r="C2980" s="1337" t="n">
        <v>0.3714</v>
      </c>
      <c r="D2980" s="470" t="n">
        <v>0.41</v>
      </c>
      <c r="E2980" s="1336" t="n">
        <v>0.3564</v>
      </c>
      <c r="F2980" s="1337" t="n">
        <v>0.3835</v>
      </c>
      <c r="G2980" s="863" t="n">
        <v>0.3842</v>
      </c>
      <c r="H2980" s="1336" t="n">
        <v>0.3395</v>
      </c>
      <c r="I2980" s="1346" t="n">
        <v>0.2846</v>
      </c>
      <c r="J2980" s="863" t="n">
        <v>0.3543</v>
      </c>
      <c r="K2980" s="1336" t="n">
        <v>0.3748</v>
      </c>
      <c r="L2980" s="1337" t="n">
        <v>0.285</v>
      </c>
      <c r="M2980" s="863" t="n">
        <v>0.3617</v>
      </c>
      <c r="N2980" s="1336" t="n">
        <v>0.3546</v>
      </c>
      <c r="O2980" s="1346" t="n">
        <v>0.2848</v>
      </c>
      <c r="P2980" s="470" t="n">
        <v>0.3766</v>
      </c>
    </row>
    <row r="2981" ht="15.75" customHeight="1" s="2">
      <c r="A2981" s="462" t="inlineStr">
        <is>
          <t>Wage % to Nett Sales</t>
        </is>
      </c>
      <c r="B2981" s="1336" t="inlineStr">
        <is>
          <t>38.09*%</t>
        </is>
      </c>
      <c r="C2981" s="1337" t="n">
        <v>0.4085</v>
      </c>
      <c r="D2981" s="470" t="n">
        <v>0.451</v>
      </c>
      <c r="E2981" s="1336" t="n">
        <v>0.392</v>
      </c>
      <c r="F2981" s="1337" t="n">
        <v>0.4219</v>
      </c>
      <c r="G2981" s="863" t="n">
        <v>0.4226</v>
      </c>
      <c r="H2981" s="1336" t="n">
        <v>0.3734</v>
      </c>
      <c r="I2981" s="1346" t="n">
        <v>0.3131</v>
      </c>
      <c r="J2981" s="863" t="n">
        <v>0.3898</v>
      </c>
      <c r="K2981" s="1336" t="n">
        <v>0.4123</v>
      </c>
      <c r="L2981" s="1337" t="n">
        <v>0.3135</v>
      </c>
      <c r="M2981" s="863" t="n">
        <v>0.3979</v>
      </c>
      <c r="N2981" s="1336" t="n">
        <v>0.3901</v>
      </c>
      <c r="O2981" s="1346" t="n">
        <v>0.3131</v>
      </c>
      <c r="P2981" s="470" t="n">
        <v>0.4142</v>
      </c>
    </row>
    <row r="2982" ht="15.75" customHeight="1" s="2">
      <c r="A2982" s="462" t="inlineStr">
        <is>
          <t>Productivity</t>
        </is>
      </c>
      <c r="B2982" s="1338" t="n">
        <v>4.94</v>
      </c>
      <c r="C2982" s="1339" t="n">
        <v>5.6</v>
      </c>
      <c r="D2982" s="472" t="n">
        <v>5.18</v>
      </c>
      <c r="E2982" s="1338" t="n">
        <v>5.32</v>
      </c>
      <c r="F2982" s="1339" t="n">
        <v>5.6</v>
      </c>
      <c r="G2982" s="472" t="n">
        <v>4.98</v>
      </c>
      <c r="H2982" s="1338" t="n">
        <v>4.96</v>
      </c>
      <c r="I2982" s="1339" t="n">
        <v>5.6</v>
      </c>
      <c r="J2982" s="472" t="n">
        <v>4.49</v>
      </c>
      <c r="K2982" s="1338" t="n">
        <v>4.47</v>
      </c>
      <c r="L2982" s="1339" t="n">
        <v>5.6</v>
      </c>
      <c r="M2982" s="472" t="n">
        <v>4.35</v>
      </c>
      <c r="N2982" s="1338" t="n">
        <v>4.8</v>
      </c>
      <c r="O2982" s="1339" t="n">
        <v>5.6</v>
      </c>
      <c r="P2982" s="472" t="n">
        <v>4.38</v>
      </c>
    </row>
    <row r="2983" ht="15.75" customHeight="1" s="2">
      <c r="A2983" s="462" t="inlineStr">
        <is>
          <t>Average Hourly Rate</t>
        </is>
      </c>
      <c r="B2983" s="1697" t="n">
        <v>39.04</v>
      </c>
      <c r="C2983" s="1339" t="n">
        <v>56</v>
      </c>
      <c r="D2983" s="1628" t="n">
        <v>60.78</v>
      </c>
      <c r="E2983" s="1697" t="n">
        <v>45.66</v>
      </c>
      <c r="F2983" s="1339" t="n">
        <v>56</v>
      </c>
      <c r="G2983" s="1649" t="n">
        <v>48.95</v>
      </c>
      <c r="H2983" s="1697" t="n">
        <v>41.05</v>
      </c>
      <c r="I2983" s="1339" t="n">
        <v>41</v>
      </c>
      <c r="J2983" s="1649" t="n">
        <v>4.49</v>
      </c>
      <c r="K2983" s="1697" t="n">
        <v>39.3</v>
      </c>
      <c r="L2983" s="1339" t="n">
        <v>41</v>
      </c>
      <c r="M2983" s="1649" t="n">
        <v>40.78</v>
      </c>
      <c r="N2983" s="1697" t="n">
        <v>40.03</v>
      </c>
      <c r="O2983" s="1339" t="n">
        <v>41</v>
      </c>
      <c r="P2983" s="1628" t="n">
        <v>41.81</v>
      </c>
    </row>
    <row r="2984" ht="15.75" customHeight="1" s="2">
      <c r="A2984" s="462" t="inlineStr">
        <is>
          <t>Total hours for productivity</t>
        </is>
      </c>
      <c r="B2984" s="1332" t="n">
        <v>1249.75</v>
      </c>
      <c r="C2984" s="1339" t="n">
        <v>1440.5</v>
      </c>
      <c r="D2984" s="466" t="n">
        <v>1402.75</v>
      </c>
      <c r="E2984" s="1332" t="n">
        <v>1269.25</v>
      </c>
      <c r="F2984" s="1339" t="n">
        <v>1275.5</v>
      </c>
      <c r="G2984" s="466" t="n">
        <v>1207.25</v>
      </c>
      <c r="H2984" s="1338" t="n">
        <v>982.5</v>
      </c>
      <c r="I2984" s="1339" t="n">
        <v>1038.5</v>
      </c>
      <c r="J2984" s="472" t="n">
        <v>1031.75</v>
      </c>
      <c r="K2984" s="1332" t="n">
        <v>1004.5</v>
      </c>
      <c r="L2984" s="1339" t="n">
        <v>1017.75</v>
      </c>
      <c r="M2984" s="466" t="n">
        <v>1011.5</v>
      </c>
      <c r="N2984" s="1332" t="n">
        <v>963.75</v>
      </c>
      <c r="O2984" s="1339" t="n">
        <v>1048.5</v>
      </c>
      <c r="P2984" s="466" t="n">
        <v>1002.75</v>
      </c>
    </row>
    <row r="2985" ht="15.75" customHeight="1" s="2">
      <c r="A2985" s="462" t="inlineStr">
        <is>
          <t>Training Hours used</t>
        </is>
      </c>
      <c r="B2985" s="1332" t="n">
        <v>25</v>
      </c>
      <c r="C2985" s="1340" t="n"/>
      <c r="D2985" s="466" t="n"/>
      <c r="E2985" s="1332" t="n">
        <v>20</v>
      </c>
      <c r="F2985" s="1340" t="n"/>
      <c r="G2985" s="466" t="n"/>
      <c r="H2985" s="1332" t="n"/>
      <c r="I2985" s="1340" t="n"/>
      <c r="J2985" s="466" t="n">
        <v>440</v>
      </c>
      <c r="K2985" s="1332" t="n">
        <v>45</v>
      </c>
      <c r="L2985" s="1340" t="n"/>
      <c r="M2985" s="466" t="n"/>
      <c r="N2985" s="1332" t="n">
        <v>29</v>
      </c>
      <c r="O2985" s="1340" t="n"/>
      <c r="P2985" s="466" t="n">
        <v>68</v>
      </c>
    </row>
    <row r="2986" ht="15.75" customHeight="1" s="2" thickBot="1">
      <c r="A2986" s="474" t="inlineStr">
        <is>
          <t>Number of hours used to cover sick leave</t>
        </is>
      </c>
      <c r="B2986" s="1342" t="n"/>
      <c r="C2986" s="1342" t="n"/>
      <c r="D2986" s="476" t="n">
        <v>7</v>
      </c>
      <c r="E2986" s="1341" t="n"/>
      <c r="F2986" s="1342" t="n"/>
      <c r="G2986" s="476" t="n">
        <v>23</v>
      </c>
      <c r="H2986" s="1342" t="n"/>
      <c r="I2986" s="1342" t="n"/>
      <c r="J2986" s="476" t="n">
        <v>25.75</v>
      </c>
      <c r="K2986" s="1342" t="n"/>
      <c r="L2986" s="1342" t="n"/>
      <c r="M2986" s="476" t="n"/>
      <c r="N2986" s="1342" t="n"/>
      <c r="O2986" s="1342" t="n"/>
      <c r="P2986" s="476" t="n">
        <v>23</v>
      </c>
    </row>
    <row r="2987" ht="15.75" customHeight="1" s="2" thickBot="1">
      <c r="A2987" s="477" t="inlineStr">
        <is>
          <t xml:space="preserve">Minimum Hours </t>
        </is>
      </c>
      <c r="B2987" s="1171" t="n"/>
      <c r="C2987" s="816" t="inlineStr">
        <is>
          <t>Projected</t>
        </is>
      </c>
      <c r="D2987" s="935" t="inlineStr">
        <is>
          <t>Min Hrs</t>
        </is>
      </c>
      <c r="E2987" s="1171" t="n"/>
      <c r="F2987" s="816" t="inlineStr">
        <is>
          <t>Projected</t>
        </is>
      </c>
      <c r="G2987" s="935" t="inlineStr">
        <is>
          <t>Min Hrs</t>
        </is>
      </c>
      <c r="H2987" s="935" t="n"/>
      <c r="I2987" s="816" t="inlineStr">
        <is>
          <t>Projected</t>
        </is>
      </c>
      <c r="J2987" s="935" t="inlineStr">
        <is>
          <t>Min Hrs</t>
        </is>
      </c>
      <c r="K2987" s="935" t="n"/>
      <c r="L2987" s="816" t="inlineStr">
        <is>
          <t>Projected</t>
        </is>
      </c>
      <c r="M2987" s="935" t="inlineStr">
        <is>
          <t>Min Hrs</t>
        </is>
      </c>
      <c r="N2987" s="1171" t="n"/>
      <c r="O2987" s="816" t="inlineStr">
        <is>
          <t>Projected</t>
        </is>
      </c>
      <c r="P2987" s="935" t="inlineStr">
        <is>
          <t>Min Hrs</t>
        </is>
      </c>
    </row>
    <row r="2988" ht="15.75" customHeight="1" s="2">
      <c r="A2988" s="479" t="inlineStr">
        <is>
          <t>Floor</t>
        </is>
      </c>
      <c r="B2988" s="1172" t="n"/>
      <c r="C2988" s="810" t="n">
        <v>777</v>
      </c>
      <c r="D2988" s="811" t="n">
        <v>502</v>
      </c>
      <c r="E2988" s="1172" t="n"/>
      <c r="F2988" s="810" t="n">
        <v>646.5</v>
      </c>
      <c r="G2988" s="811" t="n">
        <v>502</v>
      </c>
      <c r="H2988" s="810" t="n"/>
      <c r="I2988" s="811" t="n">
        <v>557.5</v>
      </c>
      <c r="J2988" s="811" t="n">
        <v>502</v>
      </c>
      <c r="K2988" s="810" t="n"/>
      <c r="L2988" s="810" t="n">
        <v>465.5</v>
      </c>
      <c r="M2988" s="811" t="n">
        <v>502</v>
      </c>
      <c r="N2988" s="1172" t="n"/>
      <c r="O2988" s="810" t="n">
        <v>561.5</v>
      </c>
      <c r="P2988" s="811" t="n">
        <v>524</v>
      </c>
    </row>
    <row r="2989" ht="15.75" customHeight="1" s="2" thickBot="1">
      <c r="A2989" s="481" t="inlineStr">
        <is>
          <t>Kitchen</t>
        </is>
      </c>
      <c r="B2989" s="1173" t="n"/>
      <c r="C2989" s="813" t="n">
        <v>663.5</v>
      </c>
      <c r="D2989" s="814" t="n">
        <v>515</v>
      </c>
      <c r="E2989" s="1173" t="n"/>
      <c r="F2989" s="840" t="n">
        <v>629</v>
      </c>
      <c r="G2989" s="814" t="n">
        <v>515</v>
      </c>
      <c r="H2989" s="813" t="n"/>
      <c r="I2989" s="814" t="n">
        <v>481</v>
      </c>
      <c r="J2989" s="814" t="n">
        <v>515</v>
      </c>
      <c r="K2989" s="813" t="n"/>
      <c r="L2989" s="840" t="n">
        <v>552.25</v>
      </c>
      <c r="M2989" s="814" t="n">
        <v>491</v>
      </c>
      <c r="N2989" s="1173" t="n"/>
      <c r="O2989" s="813" t="n">
        <v>487</v>
      </c>
      <c r="P2989" s="814" t="n">
        <v>515</v>
      </c>
    </row>
    <row r="2990" ht="15.75" customHeight="1" s="2" thickBot="1">
      <c r="A2990" s="834" t="n"/>
      <c r="B2990" s="836" t="n"/>
      <c r="C2990" s="1220" t="n"/>
      <c r="D2990" s="1220" t="n"/>
      <c r="E2990" s="839" t="n"/>
      <c r="F2990" s="1220" t="n"/>
      <c r="G2990" s="1220" t="n"/>
      <c r="H2990" s="839" t="n"/>
      <c r="I2990" s="1220" t="n"/>
      <c r="J2990" s="1220" t="n"/>
      <c r="K2990" s="839" t="n"/>
      <c r="L2990" s="1220" t="n"/>
      <c r="M2990" s="1220" t="n"/>
      <c r="N2990" s="839" t="n"/>
      <c r="O2990" s="835" t="n"/>
      <c r="P2990" s="835" t="n"/>
    </row>
    <row r="2991" ht="15.75" customHeight="1" s="2">
      <c r="A2991" s="506" t="inlineStr">
        <is>
          <t>Training explanation</t>
        </is>
      </c>
      <c r="B2991" s="837" t="n"/>
      <c r="C2991" s="1220" t="n"/>
      <c r="D2991" s="1220" t="n"/>
      <c r="E2991" s="837" t="n"/>
      <c r="F2991" s="1220" t="n"/>
      <c r="G2991" s="1220" t="n"/>
      <c r="H2991" s="837" t="n"/>
      <c r="I2991" s="1220" t="n"/>
      <c r="J2991" s="1220" t="n"/>
      <c r="K2991" s="837" t="n"/>
      <c r="L2991" s="1220" t="n"/>
      <c r="M2991" s="1220" t="n"/>
      <c r="N2991" s="837" t="n"/>
      <c r="O2991" s="835" t="n"/>
      <c r="P2991" s="835" t="n"/>
    </row>
    <row r="2992" ht="15.75" customHeight="1" s="2" thickBot="1">
      <c r="A2992" s="506" t="inlineStr">
        <is>
          <t>Who is being Trained</t>
        </is>
      </c>
      <c r="B2992" s="838" t="n"/>
      <c r="C2992" s="1221" t="n"/>
      <c r="D2992" s="1221" t="n"/>
      <c r="E2992" s="838" t="n"/>
      <c r="F2992" s="1221" t="n"/>
      <c r="G2992" s="1221" t="n"/>
      <c r="H2992" s="838" t="n"/>
      <c r="I2992" s="1221" t="n"/>
      <c r="J2992" s="1221" t="n"/>
      <c r="K2992" s="838" t="n"/>
      <c r="L2992" s="1221" t="n"/>
      <c r="M2992" s="1221" t="n"/>
      <c r="N2992" s="838" t="n"/>
    </row>
    <row r="2993" ht="15.75" customHeight="1" s="2" thickBot="1">
      <c r="A2993" s="506" t="n"/>
      <c r="C2993" s="523" t="inlineStr">
        <is>
          <t>floor</t>
        </is>
      </c>
      <c r="D2993" s="524" t="inlineStr">
        <is>
          <t>kitchen</t>
        </is>
      </c>
      <c r="E2993" s="509" t="n"/>
      <c r="F2993" s="507" t="inlineStr">
        <is>
          <t>floor</t>
        </is>
      </c>
      <c r="G2993" s="508" t="inlineStr">
        <is>
          <t>kitchen</t>
        </is>
      </c>
      <c r="H2993" s="510" t="n"/>
      <c r="I2993" s="535" t="inlineStr">
        <is>
          <t>floor</t>
        </is>
      </c>
      <c r="J2993" s="511" t="inlineStr">
        <is>
          <t>kitchen</t>
        </is>
      </c>
      <c r="K2993" s="512" t="n"/>
      <c r="L2993" s="535" t="inlineStr">
        <is>
          <t>floor</t>
        </is>
      </c>
      <c r="M2993" s="513" t="inlineStr">
        <is>
          <t>kitchen</t>
        </is>
      </c>
      <c r="N2993" s="512" t="n"/>
      <c r="O2993" s="535" t="inlineStr">
        <is>
          <t>floor</t>
        </is>
      </c>
      <c r="P2993" s="513" t="inlineStr">
        <is>
          <t>kitchen</t>
        </is>
      </c>
    </row>
    <row r="2994" ht="15.75" customHeight="1" s="2">
      <c r="A2994" s="506" t="n"/>
      <c r="C2994" s="525" t="n"/>
      <c r="D2994" s="527" t="n"/>
      <c r="E2994" s="514" t="n"/>
      <c r="F2994" s="525" t="n"/>
      <c r="G2994" s="527" t="n"/>
      <c r="H2994" s="515" t="n"/>
      <c r="I2994" s="531" t="n"/>
      <c r="J2994" s="824" t="n"/>
      <c r="K2994" s="515" t="n"/>
      <c r="L2994" s="536" t="n"/>
      <c r="M2994" s="532" t="n"/>
      <c r="N2994" s="515" t="n"/>
      <c r="O2994" s="536" t="n"/>
      <c r="P2994" s="532" t="n"/>
    </row>
    <row r="2995" ht="15.75" customHeight="1" s="2">
      <c r="C2995" s="891" t="n"/>
      <c r="D2995" s="526" t="n"/>
      <c r="E2995" s="514" t="n"/>
      <c r="F2995" s="891" t="n"/>
      <c r="G2995" s="526" t="n"/>
      <c r="H2995" s="516" t="n"/>
      <c r="I2995" s="1656" t="n"/>
      <c r="J2995" s="530" t="n"/>
      <c r="K2995" s="516" t="n"/>
      <c r="L2995" s="542" t="n"/>
      <c r="M2995" s="530" t="n"/>
      <c r="N2995" s="516" t="n"/>
      <c r="O2995" s="542" t="n"/>
      <c r="P2995" s="530" t="n"/>
    </row>
    <row r="2996" ht="15.75" customHeight="1" s="2">
      <c r="C2996" s="550" t="n"/>
      <c r="D2996" s="527" t="n"/>
      <c r="E2996" s="514" t="n"/>
      <c r="F2996" s="531" t="n"/>
      <c r="G2996" s="530" t="n"/>
      <c r="H2996" s="516" t="n"/>
      <c r="I2996" s="537" t="n"/>
      <c r="J2996" s="530" t="n"/>
      <c r="K2996" s="516" t="n"/>
      <c r="L2996" s="1657" t="n"/>
      <c r="M2996" s="539" t="n"/>
      <c r="N2996" s="516" t="n"/>
      <c r="O2996" s="542" t="n"/>
      <c r="P2996" s="539" t="n"/>
    </row>
    <row r="2997" ht="15.75" customHeight="1" s="2">
      <c r="C2997" s="561" t="n"/>
      <c r="D2997" s="561" t="n"/>
      <c r="E2997" s="519" t="n"/>
      <c r="F2997" s="517" t="n"/>
      <c r="G2997" s="1659" t="n"/>
      <c r="H2997" s="516" t="n"/>
      <c r="I2997" s="537" t="n"/>
      <c r="J2997" s="530" t="n"/>
      <c r="K2997" s="516" t="n"/>
      <c r="L2997" s="537" t="n"/>
      <c r="M2997" s="539" t="n"/>
      <c r="N2997" s="516" t="n"/>
      <c r="O2997" s="537" t="n"/>
      <c r="P2997" s="539" t="n"/>
    </row>
    <row r="2998" ht="15.75" customHeight="1" s="2">
      <c r="C2998" s="551" t="n"/>
      <c r="D2998" s="528" t="n"/>
      <c r="E2998" s="519" t="n"/>
      <c r="F2998" s="517" t="n"/>
      <c r="G2998" s="518" t="n"/>
      <c r="H2998" s="516" t="n"/>
      <c r="I2998" s="537" t="n"/>
      <c r="J2998" s="533" t="n"/>
      <c r="K2998" s="516" t="n"/>
      <c r="L2998" s="537" t="n"/>
      <c r="M2998" s="540" t="n"/>
      <c r="N2998" s="516" t="n"/>
      <c r="O2998" s="537" t="n"/>
      <c r="P2998" s="540" t="n"/>
    </row>
    <row r="3002" ht="15.75" customHeight="1" s="2" thickBot="1"/>
    <row r="3003" ht="15.75" customHeight="1" s="2" thickBot="1">
      <c r="B3003" s="1482" t="n"/>
      <c r="C3003" s="1483" t="inlineStr">
        <is>
          <t>26.05.2025</t>
        </is>
      </c>
      <c r="D3003" s="1484" t="n"/>
      <c r="E3003" s="1485" t="n"/>
      <c r="F3003" s="1486" t="inlineStr">
        <is>
          <t>02..06.2025</t>
        </is>
      </c>
      <c r="G3003" s="1487" t="n"/>
      <c r="H3003" s="1485" t="n"/>
      <c r="I3003" s="1486" t="inlineStr">
        <is>
          <t>09.06.2025</t>
        </is>
      </c>
      <c r="J3003" s="1487" t="n"/>
      <c r="K3003" s="1485" t="n"/>
      <c r="L3003" s="1486" t="inlineStr">
        <is>
          <t>16.06.2025</t>
        </is>
      </c>
      <c r="M3003" s="1487" t="n"/>
      <c r="N3003" s="1488" t="n"/>
      <c r="O3003" s="1489" t="inlineStr">
        <is>
          <t>23.06.2025</t>
        </is>
      </c>
      <c r="P3003" s="1490" t="n"/>
    </row>
    <row r="3004" ht="15.75" customHeight="1" s="2" thickBot="1">
      <c r="A3004" s="455" t="n"/>
      <c r="B3004" s="1217" t="inlineStr">
        <is>
          <t>LAST YEAR</t>
        </is>
      </c>
      <c r="C3004" s="1219" t="inlineStr">
        <is>
          <t>Projected</t>
        </is>
      </c>
      <c r="D3004" s="1218" t="inlineStr">
        <is>
          <t>Actual</t>
        </is>
      </c>
      <c r="E3004" s="1217" t="inlineStr">
        <is>
          <t>LAST YEAR</t>
        </is>
      </c>
      <c r="F3004" s="1219" t="inlineStr">
        <is>
          <t>Projected</t>
        </is>
      </c>
      <c r="G3004" s="1218" t="inlineStr">
        <is>
          <t>Actual</t>
        </is>
      </c>
      <c r="H3004" s="1217" t="inlineStr">
        <is>
          <t>LAST YEAR</t>
        </is>
      </c>
      <c r="I3004" s="1219" t="inlineStr">
        <is>
          <t>Projected</t>
        </is>
      </c>
      <c r="J3004" s="1218" t="inlineStr">
        <is>
          <t>Actual</t>
        </is>
      </c>
      <c r="K3004" s="1217" t="inlineStr">
        <is>
          <t>LAST YEAR</t>
        </is>
      </c>
      <c r="L3004" s="1219" t="inlineStr">
        <is>
          <t>Projected</t>
        </is>
      </c>
      <c r="M3004" s="1218" t="inlineStr">
        <is>
          <t>Actual</t>
        </is>
      </c>
      <c r="N3004" s="1217" t="inlineStr">
        <is>
          <t>LAST YEAR</t>
        </is>
      </c>
      <c r="O3004" s="1219" t="inlineStr">
        <is>
          <t>Projected</t>
        </is>
      </c>
      <c r="P3004" s="1218" t="inlineStr">
        <is>
          <t>Actual</t>
        </is>
      </c>
    </row>
    <row r="3005" ht="15.75" customHeight="1" s="2">
      <c r="A3005" s="459" t="inlineStr">
        <is>
          <t>Total Receipts</t>
        </is>
      </c>
      <c r="B3005" s="1690" t="n">
        <v>142440.39</v>
      </c>
      <c r="C3005" s="1691" t="n">
        <v>153925</v>
      </c>
      <c r="D3005" s="1622" t="n">
        <v>137044.12</v>
      </c>
      <c r="E3005" s="1690" t="n">
        <v>152995.03</v>
      </c>
      <c r="F3005" s="1691" t="n">
        <v>166570</v>
      </c>
      <c r="G3005" s="1645" t="n">
        <v>186706.97</v>
      </c>
      <c r="H3005" s="1690" t="n">
        <v>226075.73</v>
      </c>
      <c r="I3005" s="1692" t="n">
        <v>195843</v>
      </c>
      <c r="J3005" s="1645" t="n">
        <v>218453.14</v>
      </c>
      <c r="K3005" s="1690" t="n">
        <v>154801.05</v>
      </c>
      <c r="L3005" s="1691" t="n">
        <v>158563</v>
      </c>
      <c r="M3005" s="1645" t="n">
        <v>169165.32</v>
      </c>
      <c r="N3005" s="1690" t="n">
        <v>118859.98</v>
      </c>
      <c r="O3005" s="1692" t="n">
        <v>115995</v>
      </c>
      <c r="P3005" s="1622" t="n">
        <v>137596.87</v>
      </c>
    </row>
    <row r="3006" ht="15.75" customHeight="1" s="2">
      <c r="A3006" s="462" t="inlineStr">
        <is>
          <t>Nett Sales</t>
        </is>
      </c>
      <c r="B3006" s="1695" t="n">
        <v>129491.26</v>
      </c>
      <c r="C3006" s="1694" t="n">
        <v>139931.8</v>
      </c>
      <c r="D3006" s="1625" t="n">
        <v>124585.56</v>
      </c>
      <c r="E3006" s="1693" t="n">
        <v>139086.39</v>
      </c>
      <c r="F3006" s="1694" t="n">
        <v>151427.3</v>
      </c>
      <c r="G3006" s="1637" t="n">
        <v>169733.61</v>
      </c>
      <c r="H3006" s="1695" t="n">
        <v>205523.39</v>
      </c>
      <c r="I3006" s="1694" t="n">
        <v>178038.6</v>
      </c>
      <c r="J3006" s="1625" t="n">
        <v>198593.76</v>
      </c>
      <c r="K3006" s="1695" t="n">
        <v>140728.23</v>
      </c>
      <c r="L3006" s="1694" t="n">
        <v>144147.7</v>
      </c>
      <c r="M3006" s="1625" t="n">
        <v>153786.77</v>
      </c>
      <c r="N3006" s="1695" t="n">
        <v>108054.53</v>
      </c>
      <c r="O3006" s="1694" t="n">
        <v>105450</v>
      </c>
      <c r="P3006" s="1625" t="n">
        <v>125085.34</v>
      </c>
    </row>
    <row r="3007" ht="15.75" customHeight="1" s="2">
      <c r="A3007" s="462" t="inlineStr">
        <is>
          <t>Customers</t>
        </is>
      </c>
      <c r="B3007" s="1332" t="n">
        <v>6055</v>
      </c>
      <c r="C3007" s="1333" t="n">
        <v>5950</v>
      </c>
      <c r="D3007" s="466" t="n">
        <v>5393</v>
      </c>
      <c r="E3007" s="1332" t="n">
        <v>6403</v>
      </c>
      <c r="F3007" s="1333" t="n">
        <v>6430</v>
      </c>
      <c r="G3007" s="466" t="n">
        <v>7245</v>
      </c>
      <c r="H3007" s="1332" t="n">
        <v>8776</v>
      </c>
      <c r="I3007" s="1333" t="n">
        <v>7470</v>
      </c>
      <c r="J3007" s="466" t="n">
        <v>8246</v>
      </c>
      <c r="K3007" s="1332" t="n">
        <v>6643</v>
      </c>
      <c r="L3007" s="1333" t="n">
        <v>6125</v>
      </c>
      <c r="M3007" s="466" t="n">
        <v>6418</v>
      </c>
      <c r="N3007" s="1696" t="n">
        <v>5110</v>
      </c>
      <c r="O3007" s="1333" t="n">
        <v>4515</v>
      </c>
      <c r="P3007" s="1655" t="n">
        <v>5388</v>
      </c>
    </row>
    <row r="3008" ht="15.75" customHeight="1" s="2">
      <c r="A3008" s="462" t="inlineStr">
        <is>
          <t>Average Customer Spend</t>
        </is>
      </c>
      <c r="B3008" s="1697" t="n">
        <v>23.52</v>
      </c>
      <c r="C3008" s="1698" t="n">
        <v>25.87</v>
      </c>
      <c r="D3008" s="1628" t="n">
        <v>25.41</v>
      </c>
      <c r="E3008" s="1697" t="n">
        <v>23.89</v>
      </c>
      <c r="F3008" s="1698" t="n">
        <v>25.91</v>
      </c>
      <c r="G3008" s="1649" t="n">
        <v>25.77</v>
      </c>
      <c r="H3008" s="1697" t="n">
        <v>25.76</v>
      </c>
      <c r="I3008" s="1699" t="n">
        <v>26.22</v>
      </c>
      <c r="J3008" s="1649" t="n">
        <v>26.49</v>
      </c>
      <c r="K3008" s="1697" t="n">
        <v>23.3</v>
      </c>
      <c r="L3008" s="1698" t="n">
        <v>25.89</v>
      </c>
      <c r="M3008" s="1649" t="n">
        <v>26.35</v>
      </c>
      <c r="N3008" s="1697" t="n">
        <v>23.26</v>
      </c>
      <c r="O3008" s="1699" t="n">
        <v>25.69</v>
      </c>
      <c r="P3008" s="1628" t="n">
        <v>25.53</v>
      </c>
    </row>
    <row r="3009" ht="15.75" customHeight="1" s="2">
      <c r="A3009" s="462" t="inlineStr">
        <is>
          <t>Wage % to Total Receipts</t>
        </is>
      </c>
      <c r="B3009" s="1336" t="n">
        <v>0.3241</v>
      </c>
      <c r="C3009" s="1337" t="n">
        <v>0.283</v>
      </c>
      <c r="D3009" s="470" t="n">
        <v>0.3229</v>
      </c>
      <c r="E3009" s="1336" t="n">
        <v>0.3191</v>
      </c>
      <c r="F3009" s="1337" t="n">
        <v>0.2826</v>
      </c>
      <c r="G3009" s="863" t="n">
        <v>0.2682</v>
      </c>
      <c r="H3009" s="1336" t="n">
        <v>0.3012</v>
      </c>
      <c r="I3009" s="1346" t="n">
        <v>0.3133</v>
      </c>
      <c r="J3009" s="863" t="n">
        <v>0.2912</v>
      </c>
      <c r="K3009" s="1336" t="n">
        <v>0.3036</v>
      </c>
      <c r="L3009" s="1337" t="n">
        <v>0.2828</v>
      </c>
      <c r="M3009" s="863" t="n">
        <v>0.2957</v>
      </c>
      <c r="N3009" s="1336" t="n">
        <v>0.3467</v>
      </c>
      <c r="O3009" s="1346" t="n">
        <v>0.285</v>
      </c>
      <c r="P3009" s="470" t="n">
        <v>0.3053</v>
      </c>
    </row>
    <row r="3010" ht="15.75" customHeight="1" s="2">
      <c r="A3010" s="462" t="inlineStr">
        <is>
          <t>Wage % to Nett Sales</t>
        </is>
      </c>
      <c r="B3010" s="1336" t="n">
        <v>0.3565</v>
      </c>
      <c r="C3010" s="1337" t="n">
        <v>0.3113</v>
      </c>
      <c r="D3010" s="470" t="n">
        <v>0.3552</v>
      </c>
      <c r="E3010" s="1336" t="n">
        <v>0.351</v>
      </c>
      <c r="F3010" s="1337" t="n">
        <v>0.3109</v>
      </c>
      <c r="G3010" s="863" t="n">
        <v>0.295</v>
      </c>
      <c r="H3010" s="1336" t="n">
        <v>0.3313</v>
      </c>
      <c r="I3010" s="1346" t="n">
        <v>0.3446</v>
      </c>
      <c r="J3010" s="863" t="n">
        <v>0.3203</v>
      </c>
      <c r="K3010" s="1336" t="n">
        <v>0.334</v>
      </c>
      <c r="L3010" s="1337" t="n">
        <v>0.3111</v>
      </c>
      <c r="M3010" s="863" t="n">
        <v>0.3253</v>
      </c>
      <c r="N3010" s="1336" t="n">
        <v>0.3813</v>
      </c>
      <c r="O3010" s="1346" t="n">
        <v>0.3135</v>
      </c>
      <c r="P3010" s="470" t="n">
        <v>0.3358</v>
      </c>
    </row>
    <row r="3011" ht="15.75" customHeight="1" s="2">
      <c r="A3011" s="462" t="inlineStr">
        <is>
          <t>Productivity</t>
        </is>
      </c>
      <c r="B3011" s="1338" t="n">
        <v>5.27</v>
      </c>
      <c r="C3011" s="1339" t="n">
        <v>5.6</v>
      </c>
      <c r="D3011" s="472" t="n">
        <v>5.09</v>
      </c>
      <c r="E3011" s="1338" t="n">
        <v>5.19</v>
      </c>
      <c r="F3011" s="1339" t="n">
        <v>5.6</v>
      </c>
      <c r="G3011" s="472" t="n">
        <v>5.94</v>
      </c>
      <c r="H3011" s="1338" t="n">
        <v>5.83</v>
      </c>
      <c r="I3011" s="1339" t="n">
        <v>5.7</v>
      </c>
      <c r="J3011" s="472" t="n">
        <v>6.23</v>
      </c>
      <c r="K3011" s="1338" t="n">
        <v>5.62</v>
      </c>
      <c r="L3011" s="1339" t="n">
        <v>5.6</v>
      </c>
      <c r="M3011" s="472" t="n">
        <v>5.38</v>
      </c>
      <c r="N3011" s="1338" t="n">
        <v>5.16</v>
      </c>
      <c r="O3011" s="1339" t="n">
        <v>5.6</v>
      </c>
      <c r="P3011" s="472" t="n">
        <v>5.35</v>
      </c>
    </row>
    <row r="3012" ht="15.75" customHeight="1" s="2">
      <c r="A3012" s="462" t="inlineStr">
        <is>
          <t>Average Hourly Rate</t>
        </is>
      </c>
      <c r="B3012" s="1697" t="n">
        <v>40.19</v>
      </c>
      <c r="C3012" s="1339" t="n">
        <v>41</v>
      </c>
      <c r="D3012" s="1628" t="n">
        <v>41.71</v>
      </c>
      <c r="E3012" s="1697" t="n">
        <v>39.58</v>
      </c>
      <c r="F3012" s="1339" t="n">
        <v>41</v>
      </c>
      <c r="G3012" s="1649" t="n">
        <v>41.09</v>
      </c>
      <c r="H3012" s="1697" t="n">
        <v>45.22</v>
      </c>
      <c r="I3012" s="1339" t="n">
        <v>46</v>
      </c>
      <c r="J3012" s="1649" t="n">
        <v>48.07</v>
      </c>
      <c r="K3012" s="1697" t="n">
        <v>39.75</v>
      </c>
      <c r="L3012" s="1339" t="n">
        <v>41</v>
      </c>
      <c r="M3012" s="1649" t="n">
        <v>42</v>
      </c>
      <c r="N3012" s="1697" t="n">
        <v>41.57</v>
      </c>
      <c r="O3012" s="1339" t="n">
        <v>41</v>
      </c>
      <c r="P3012" s="1628" t="n">
        <v>41.67</v>
      </c>
    </row>
    <row r="3013" ht="15.75" customHeight="1" s="2">
      <c r="A3013" s="462" t="inlineStr">
        <is>
          <t>Total hours for productivity</t>
        </is>
      </c>
      <c r="B3013" s="1332" t="n">
        <v>1148.5</v>
      </c>
      <c r="C3013" s="1339" t="n">
        <v>1122.75</v>
      </c>
      <c r="D3013" s="466" t="n">
        <v>1058.75</v>
      </c>
      <c r="E3013" s="1332" t="n">
        <v>1233.5</v>
      </c>
      <c r="F3013" s="1339" t="n">
        <v>1221.5</v>
      </c>
      <c r="G3013" s="466" t="n">
        <v>1218.75</v>
      </c>
      <c r="H3013" s="1338" t="n">
        <v>1505.75</v>
      </c>
      <c r="I3013" s="1339" t="n">
        <v>1317</v>
      </c>
      <c r="J3013" s="472" t="n">
        <v>1323.5</v>
      </c>
      <c r="K3013" s="1332" t="n">
        <v>1182.25</v>
      </c>
      <c r="L3013" s="1339" t="n">
        <v>1199.75</v>
      </c>
      <c r="M3013" s="466" t="n">
        <v>1192.5</v>
      </c>
      <c r="N3013" s="1332" t="n">
        <v>991.25</v>
      </c>
      <c r="O3013" s="1339" t="n">
        <v>1019.25</v>
      </c>
      <c r="P3013" s="466" t="n">
        <v>1008</v>
      </c>
    </row>
    <row r="3014" ht="15.75" customHeight="1" s="2">
      <c r="A3014" s="462" t="inlineStr">
        <is>
          <t>Training Hours used</t>
        </is>
      </c>
      <c r="B3014" s="1332" t="n"/>
      <c r="C3014" s="1340" t="n"/>
      <c r="D3014" s="466" t="n"/>
      <c r="E3014" s="1332" t="n">
        <v>0</v>
      </c>
      <c r="F3014" s="1340" t="n"/>
      <c r="G3014" s="466" t="n">
        <v>24</v>
      </c>
      <c r="H3014" s="1332" t="n"/>
      <c r="I3014" s="1340" t="n"/>
      <c r="J3014" s="466" t="n">
        <v>15</v>
      </c>
      <c r="K3014" s="1332" t="n">
        <v>0</v>
      </c>
      <c r="L3014" s="1340" t="n"/>
      <c r="M3014" s="466" t="n"/>
      <c r="N3014" s="1340" t="n"/>
      <c r="O3014" s="1340" t="n"/>
      <c r="P3014" s="466" t="n"/>
    </row>
    <row r="3015" ht="15.75" customHeight="1" s="2" thickBot="1">
      <c r="A3015" s="474" t="inlineStr">
        <is>
          <t>Number of hours used to cover sick leave</t>
        </is>
      </c>
      <c r="B3015" s="1342" t="n"/>
      <c r="C3015" s="1342" t="n"/>
      <c r="D3015" s="476" t="n">
        <v>14</v>
      </c>
      <c r="E3015" s="1341" t="n">
        <v>16</v>
      </c>
      <c r="F3015" s="1342" t="n"/>
      <c r="G3015" s="476" t="n">
        <v>17.5</v>
      </c>
      <c r="H3015" s="1341" t="n"/>
      <c r="I3015" s="1342" t="n"/>
      <c r="J3015" s="476" t="n">
        <v>29.5</v>
      </c>
      <c r="K3015" s="1342" t="n"/>
      <c r="L3015" s="1342" t="n"/>
      <c r="M3015" s="476" t="n">
        <v>38.25</v>
      </c>
      <c r="N3015" s="1342" t="n"/>
      <c r="O3015" s="1342" t="n"/>
      <c r="P3015" s="476" t="n">
        <v>15</v>
      </c>
    </row>
    <row r="3016" ht="15.75" customHeight="1" s="2" thickBot="1">
      <c r="A3016" s="477" t="inlineStr">
        <is>
          <t xml:space="preserve">Minimum Hours </t>
        </is>
      </c>
      <c r="B3016" s="1171" t="n"/>
      <c r="C3016" s="816" t="inlineStr">
        <is>
          <t>Projected</t>
        </is>
      </c>
      <c r="D3016" s="935" t="inlineStr">
        <is>
          <t>Min Hrs</t>
        </is>
      </c>
      <c r="E3016" s="1171" t="n"/>
      <c r="F3016" s="816" t="inlineStr">
        <is>
          <t>Projected</t>
        </is>
      </c>
      <c r="G3016" s="935" t="inlineStr">
        <is>
          <t>Min Hrs</t>
        </is>
      </c>
      <c r="H3016" s="935" t="n"/>
      <c r="I3016" s="816" t="inlineStr">
        <is>
          <t>Projected</t>
        </is>
      </c>
      <c r="J3016" s="935" t="inlineStr">
        <is>
          <t>Min Hrs</t>
        </is>
      </c>
      <c r="K3016" s="935" t="n"/>
      <c r="L3016" s="816" t="inlineStr">
        <is>
          <t>Projected</t>
        </is>
      </c>
      <c r="M3016" s="935" t="inlineStr">
        <is>
          <t>Min Hrs</t>
        </is>
      </c>
      <c r="N3016" s="1171" t="n"/>
      <c r="O3016" s="816" t="inlineStr">
        <is>
          <t>Projected</t>
        </is>
      </c>
      <c r="P3016" s="935" t="inlineStr">
        <is>
          <t>Min Hrs</t>
        </is>
      </c>
    </row>
    <row r="3017" ht="15.75" customHeight="1" s="2">
      <c r="A3017" s="479" t="inlineStr">
        <is>
          <t>Floor</t>
        </is>
      </c>
      <c r="B3017" s="1172" t="n"/>
      <c r="C3017" s="810" t="n">
        <v>613.75</v>
      </c>
      <c r="D3017" s="811" t="n">
        <v>560</v>
      </c>
      <c r="E3017" s="1172" t="n"/>
      <c r="F3017" s="810" t="n">
        <v>671.5</v>
      </c>
      <c r="G3017" s="811" t="n">
        <v>520</v>
      </c>
      <c r="H3017" s="810" t="n"/>
      <c r="I3017" s="810" t="n">
        <v>717</v>
      </c>
      <c r="J3017" s="811" t="n">
        <v>560</v>
      </c>
      <c r="K3017" s="810" t="n"/>
      <c r="L3017" s="810" t="n">
        <v>621.75</v>
      </c>
      <c r="M3017" s="811" t="n">
        <v>536</v>
      </c>
      <c r="N3017" s="1172" t="n"/>
      <c r="O3017" s="810" t="n">
        <v>539.25</v>
      </c>
      <c r="P3017" s="811" t="n">
        <v>536</v>
      </c>
    </row>
    <row r="3018" ht="15.75" customHeight="1" s="2" thickBot="1">
      <c r="A3018" s="481" t="inlineStr">
        <is>
          <t>Kitchen</t>
        </is>
      </c>
      <c r="B3018" s="1173" t="n"/>
      <c r="C3018" s="813" t="n">
        <v>509</v>
      </c>
      <c r="D3018" s="814" t="n">
        <v>469</v>
      </c>
      <c r="E3018" s="1173" t="n"/>
      <c r="F3018" s="840" t="n">
        <v>550</v>
      </c>
      <c r="G3018" s="814" t="n">
        <v>469</v>
      </c>
      <c r="H3018" s="813" t="n"/>
      <c r="I3018" s="840" t="n">
        <v>600</v>
      </c>
      <c r="J3018" s="814" t="n">
        <v>469</v>
      </c>
      <c r="K3018" s="813" t="n"/>
      <c r="L3018" s="840" t="n">
        <v>578</v>
      </c>
      <c r="M3018" s="814" t="n">
        <v>469</v>
      </c>
      <c r="N3018" s="1173" t="n"/>
      <c r="O3018" s="813" t="n">
        <v>480</v>
      </c>
      <c r="P3018" s="814" t="n">
        <v>469</v>
      </c>
    </row>
    <row r="3019" ht="15.75" customHeight="1" s="2" thickBot="1">
      <c r="A3019" s="834" t="n"/>
      <c r="B3019" s="836" t="n"/>
      <c r="C3019" s="1220" t="n"/>
      <c r="D3019" s="1220" t="n"/>
      <c r="E3019" s="839" t="n"/>
      <c r="F3019" s="1220" t="n"/>
      <c r="G3019" s="1220" t="n"/>
      <c r="H3019" s="839" t="n"/>
      <c r="I3019" s="1220" t="n"/>
      <c r="J3019" s="1220" t="n"/>
      <c r="K3019" s="839" t="n"/>
      <c r="L3019" s="1220" t="n"/>
      <c r="M3019" s="1220" t="n"/>
      <c r="N3019" s="839" t="n"/>
      <c r="O3019" s="835" t="n"/>
      <c r="P3019" s="835" t="n"/>
    </row>
    <row r="3020" ht="15.75" customHeight="1" s="2">
      <c r="A3020" s="506" t="inlineStr">
        <is>
          <t>Training explanation</t>
        </is>
      </c>
      <c r="B3020" s="837" t="n"/>
      <c r="C3020" s="1220" t="n"/>
      <c r="D3020" s="1220" t="n"/>
      <c r="E3020" s="837" t="n"/>
      <c r="F3020" s="1220" t="n"/>
      <c r="G3020" s="1220" t="n"/>
      <c r="H3020" s="837" t="n"/>
      <c r="I3020" s="1220" t="n"/>
      <c r="J3020" s="1220" t="n"/>
      <c r="K3020" s="837" t="n"/>
      <c r="L3020" s="1220" t="n"/>
      <c r="M3020" s="1220" t="n"/>
      <c r="N3020" s="837" t="n"/>
      <c r="O3020" s="835" t="n"/>
      <c r="P3020" s="835" t="n"/>
    </row>
    <row r="3021" ht="15.75" customHeight="1" s="2" thickBot="1">
      <c r="A3021" s="506" t="inlineStr">
        <is>
          <t>Who is being Trained</t>
        </is>
      </c>
      <c r="B3021" s="838" t="n"/>
      <c r="C3021" s="1221" t="n"/>
      <c r="D3021" s="1221" t="n"/>
      <c r="E3021" s="838" t="n"/>
      <c r="F3021" s="1221" t="n"/>
      <c r="G3021" s="1221" t="n"/>
      <c r="H3021" s="838" t="n"/>
      <c r="I3021" s="1221" t="n"/>
      <c r="J3021" s="1221" t="n"/>
      <c r="K3021" s="838" t="n"/>
      <c r="L3021" s="1221" t="n"/>
      <c r="M3021" s="1221" t="n"/>
      <c r="N3021" s="838" t="n"/>
    </row>
    <row r="3022" ht="15.75" customHeight="1" s="2" thickBot="1">
      <c r="A3022" s="506" t="n"/>
      <c r="C3022" s="523" t="inlineStr">
        <is>
          <t>floor</t>
        </is>
      </c>
      <c r="D3022" s="524" t="inlineStr">
        <is>
          <t>kitchen</t>
        </is>
      </c>
      <c r="E3022" s="509" t="n"/>
      <c r="F3022" s="507" t="inlineStr">
        <is>
          <t xml:space="preserve">Kitchen </t>
        </is>
      </c>
      <c r="G3022" s="508" t="n"/>
      <c r="H3022" s="510" t="n"/>
      <c r="I3022" s="535" t="inlineStr">
        <is>
          <t>floor</t>
        </is>
      </c>
      <c r="J3022" s="511" t="inlineStr">
        <is>
          <t>kitchen</t>
        </is>
      </c>
      <c r="K3022" s="512" t="n"/>
      <c r="L3022" s="535" t="inlineStr">
        <is>
          <t>floor</t>
        </is>
      </c>
      <c r="M3022" s="513" t="inlineStr">
        <is>
          <t>kitchen</t>
        </is>
      </c>
      <c r="N3022" s="512" t="n"/>
      <c r="O3022" s="535" t="inlineStr">
        <is>
          <t>floor</t>
        </is>
      </c>
      <c r="P3022" s="513" t="inlineStr">
        <is>
          <t>kitchen</t>
        </is>
      </c>
    </row>
    <row r="3023" ht="15.75" customHeight="1" s="2">
      <c r="A3023" s="506" t="n"/>
      <c r="C3023" s="525" t="n"/>
      <c r="D3023" s="527" t="n"/>
      <c r="E3023" s="514" t="n"/>
      <c r="F3023" s="525" t="n"/>
      <c r="G3023" s="1363" t="inlineStr">
        <is>
          <t xml:space="preserve">ISTI, Imtiaz - 24 hours of new starter training </t>
        </is>
      </c>
      <c r="H3023" s="515" t="n"/>
      <c r="I3023" s="531" t="n"/>
      <c r="J3023" s="824" t="inlineStr">
        <is>
          <t>ISTI, Imtiaz- 15 hours of new starter training.</t>
        </is>
      </c>
      <c r="K3023" s="515" t="n"/>
      <c r="L3023" s="536" t="n"/>
      <c r="M3023" s="532" t="n"/>
      <c r="N3023" s="515" t="n"/>
      <c r="O3023" s="536" t="n"/>
      <c r="P3023" s="532" t="n"/>
    </row>
    <row r="3024" ht="15.75" customHeight="1" s="2">
      <c r="C3024" s="891" t="n"/>
      <c r="D3024" s="526" t="n"/>
      <c r="E3024" s="514" t="n"/>
      <c r="F3024" s="891" t="n"/>
      <c r="G3024" s="526" t="n"/>
      <c r="H3024" s="516" t="n"/>
      <c r="I3024" s="1656" t="n"/>
      <c r="J3024" s="530" t="n"/>
      <c r="K3024" s="516" t="n"/>
      <c r="L3024" s="542" t="n"/>
      <c r="M3024" s="530" t="n"/>
      <c r="N3024" s="516" t="n"/>
      <c r="O3024" s="542" t="n"/>
      <c r="P3024" s="530" t="n"/>
    </row>
    <row r="3025" ht="15.75" customHeight="1" s="2">
      <c r="C3025" s="550" t="n"/>
      <c r="D3025" s="527" t="n"/>
      <c r="E3025" s="514" t="n"/>
      <c r="F3025" s="531" t="n"/>
      <c r="G3025" s="530" t="n"/>
      <c r="H3025" s="516" t="n"/>
      <c r="I3025" s="537" t="n"/>
      <c r="J3025" s="530" t="n"/>
      <c r="K3025" s="516" t="n"/>
      <c r="L3025" s="1657" t="n"/>
      <c r="M3025" s="539" t="n"/>
      <c r="N3025" s="516" t="n"/>
      <c r="O3025" s="542" t="n"/>
      <c r="P3025" s="539" t="n"/>
    </row>
    <row r="3026" ht="15.75" customHeight="1" s="2">
      <c r="C3026" s="561" t="n"/>
      <c r="D3026" s="561" t="n"/>
      <c r="E3026" s="519" t="n"/>
      <c r="F3026" s="517" t="n"/>
      <c r="G3026" s="1659" t="n"/>
      <c r="H3026" s="516" t="n"/>
      <c r="I3026" s="537" t="n"/>
      <c r="J3026" s="530" t="n"/>
      <c r="K3026" s="516" t="n"/>
      <c r="L3026" s="537" t="n"/>
      <c r="M3026" s="539" t="n"/>
      <c r="N3026" s="516" t="n"/>
      <c r="O3026" s="537" t="n"/>
      <c r="P3026" s="539" t="n"/>
    </row>
    <row r="3027" ht="15.75" customHeight="1" s="2">
      <c r="C3027" s="551" t="n"/>
      <c r="D3027" s="528" t="n"/>
      <c r="E3027" s="519" t="n"/>
      <c r="F3027" s="517" t="n"/>
      <c r="G3027" s="518" t="n"/>
      <c r="H3027" s="516" t="n"/>
      <c r="I3027" s="537" t="n"/>
      <c r="J3027" s="533" t="n"/>
      <c r="K3027" s="516" t="n"/>
      <c r="L3027" s="537" t="n"/>
      <c r="M3027" s="540" t="n"/>
      <c r="N3027" s="516" t="n"/>
      <c r="O3027" s="537" t="n"/>
      <c r="P3027" s="540" t="n"/>
    </row>
    <row r="3031" ht="15.75" customHeight="1" s="2" thickBot="1"/>
    <row r="3032" ht="15.75" customHeight="1" s="2" thickBot="1">
      <c r="B3032" s="1482" t="n"/>
      <c r="C3032" s="1483" t="inlineStr">
        <is>
          <t>30.06.2025</t>
        </is>
      </c>
      <c r="D3032" s="1484" t="n"/>
      <c r="E3032" s="1485" t="n"/>
      <c r="F3032" s="1486" t="inlineStr">
        <is>
          <t>07.07.2025</t>
        </is>
      </c>
      <c r="G3032" s="1487" t="n"/>
      <c r="H3032" s="1485" t="n"/>
      <c r="I3032" s="1486" t="inlineStr">
        <is>
          <t>14.07.2025</t>
        </is>
      </c>
      <c r="J3032" s="1487" t="n"/>
      <c r="K3032" s="1485" t="n"/>
      <c r="L3032" s="1486" t="inlineStr">
        <is>
          <t>21.07.2025</t>
        </is>
      </c>
      <c r="M3032" s="1487" t="n"/>
      <c r="N3032" s="1488" t="n"/>
      <c r="O3032" s="1489" t="inlineStr">
        <is>
          <t>28.07.2025</t>
        </is>
      </c>
      <c r="P3032" s="1490" t="n"/>
    </row>
    <row r="3033" ht="15.75" customHeight="1" s="2" thickBot="1">
      <c r="A3033" s="455" t="n"/>
      <c r="B3033" s="1217" t="inlineStr">
        <is>
          <t>LAST YEAR</t>
        </is>
      </c>
      <c r="C3033" s="1219" t="inlineStr">
        <is>
          <t>Projected</t>
        </is>
      </c>
      <c r="D3033" s="1218" t="inlineStr">
        <is>
          <t>Actual</t>
        </is>
      </c>
      <c r="E3033" s="1217" t="inlineStr">
        <is>
          <t>LAST YEAR</t>
        </is>
      </c>
      <c r="F3033" s="1219" t="inlineStr">
        <is>
          <t>Projected</t>
        </is>
      </c>
      <c r="G3033" s="1218" t="inlineStr">
        <is>
          <t>Actual</t>
        </is>
      </c>
      <c r="H3033" s="1217" t="inlineStr">
        <is>
          <t>LAST YEAR</t>
        </is>
      </c>
      <c r="I3033" s="1219" t="inlineStr">
        <is>
          <t>Projected</t>
        </is>
      </c>
      <c r="J3033" s="1218" t="inlineStr">
        <is>
          <t>Actual</t>
        </is>
      </c>
      <c r="K3033" s="1217" t="inlineStr">
        <is>
          <t>LAST YEAR</t>
        </is>
      </c>
      <c r="L3033" s="1219" t="inlineStr">
        <is>
          <t>Projected</t>
        </is>
      </c>
      <c r="M3033" s="1218" t="inlineStr">
        <is>
          <t>Actual</t>
        </is>
      </c>
      <c r="N3033" s="1217" t="inlineStr">
        <is>
          <t>LAST YEAR</t>
        </is>
      </c>
      <c r="O3033" s="1219" t="inlineStr">
        <is>
          <t>Projected</t>
        </is>
      </c>
      <c r="P3033" s="1218" t="inlineStr">
        <is>
          <t>Actual</t>
        </is>
      </c>
    </row>
    <row r="3034" ht="15.75" customHeight="1" s="2">
      <c r="A3034" s="459" t="inlineStr">
        <is>
          <t>Total Receipts</t>
        </is>
      </c>
      <c r="B3034" s="1690" t="n">
        <v>147539.46</v>
      </c>
      <c r="C3034" s="1691" t="n">
        <v>116740</v>
      </c>
      <c r="D3034" s="1622" t="n">
        <v>137899.67</v>
      </c>
      <c r="E3034" s="1690" t="n">
        <v>165833.63</v>
      </c>
      <c r="F3034" s="1691" t="n">
        <v>150698</v>
      </c>
      <c r="G3034" s="1645" t="n">
        <v>174501.15</v>
      </c>
      <c r="H3034" s="1690" t="n">
        <v>179839.74</v>
      </c>
      <c r="I3034" s="1692" t="n">
        <v>175439</v>
      </c>
      <c r="J3034" s="1645" t="n">
        <v>224605.02</v>
      </c>
      <c r="K3034" s="1690" t="n">
        <v>162194.93</v>
      </c>
      <c r="L3034" s="1691" t="n">
        <v>154576</v>
      </c>
      <c r="M3034" s="1645" t="n">
        <v>215083.52</v>
      </c>
      <c r="N3034" s="1690" t="n">
        <v>132258.05</v>
      </c>
      <c r="O3034" s="1692" t="n">
        <v>129139</v>
      </c>
      <c r="P3034" s="1622" t="n">
        <v>137713.66</v>
      </c>
    </row>
    <row r="3035" ht="15.75" customHeight="1" s="2">
      <c r="A3035" s="462" t="inlineStr">
        <is>
          <t>Nett Sales</t>
        </is>
      </c>
      <c r="B3035" s="1695" t="n">
        <v>134126.78</v>
      </c>
      <c r="C3035" s="1694" t="n">
        <v>106127.3</v>
      </c>
      <c r="D3035" s="1625" t="n">
        <v>125363.34</v>
      </c>
      <c r="E3035" s="1693" t="n">
        <v>150757.85</v>
      </c>
      <c r="F3035" s="1694" t="n">
        <v>136997.7</v>
      </c>
      <c r="G3035" s="1637" t="n">
        <v>158637.41</v>
      </c>
      <c r="H3035" s="1695" t="n">
        <v>163490.67</v>
      </c>
      <c r="I3035" s="1694" t="n">
        <v>159490.2</v>
      </c>
      <c r="J3035" s="1625" t="n">
        <v>204186.38</v>
      </c>
      <c r="K3035" s="1695" t="n">
        <v>147449.94</v>
      </c>
      <c r="L3035" s="1694" t="n">
        <v>140523.9</v>
      </c>
      <c r="M3035" s="1625" t="n">
        <v>195530.47</v>
      </c>
      <c r="N3035" s="1695" t="n">
        <v>120234.59</v>
      </c>
      <c r="O3035" s="1694" t="n">
        <v>117399.1</v>
      </c>
      <c r="P3035" s="1625" t="n">
        <v>125194.24</v>
      </c>
    </row>
    <row r="3036" ht="15.75" customHeight="1" s="2">
      <c r="A3036" s="462" t="inlineStr">
        <is>
          <t>Customers</t>
        </is>
      </c>
      <c r="B3036" s="1332" t="n">
        <v>6162</v>
      </c>
      <c r="C3036" s="1333" t="n">
        <v>4540</v>
      </c>
      <c r="D3036" s="466" t="n">
        <v>5382</v>
      </c>
      <c r="E3036" s="1332" t="n">
        <v>7048</v>
      </c>
      <c r="F3036" s="1333" t="n">
        <v>5985</v>
      </c>
      <c r="G3036" s="466" t="n">
        <v>6828</v>
      </c>
      <c r="H3036" s="1332" t="n">
        <v>7703</v>
      </c>
      <c r="I3036" s="1333" t="n">
        <v>7020</v>
      </c>
      <c r="J3036" s="466" t="n">
        <v>9352</v>
      </c>
      <c r="K3036" s="1332" t="n">
        <v>6626</v>
      </c>
      <c r="L3036" s="1333" t="n">
        <v>6190</v>
      </c>
      <c r="M3036" s="466" t="n">
        <v>8536</v>
      </c>
      <c r="N3036" s="1696" t="n">
        <v>5582</v>
      </c>
      <c r="O3036" s="1333" t="n">
        <v>5165</v>
      </c>
      <c r="P3036" s="1655" t="n">
        <v>5160</v>
      </c>
    </row>
    <row r="3037" ht="15.75" customHeight="1" s="2">
      <c r="A3037" s="462" t="inlineStr">
        <is>
          <t>Average Customer Spend</t>
        </is>
      </c>
      <c r="B3037" s="1697" t="n">
        <v>23.94</v>
      </c>
      <c r="C3037" s="1698" t="n">
        <v>25.71</v>
      </c>
      <c r="D3037" s="1628" t="n">
        <v>25.62</v>
      </c>
      <c r="E3037" s="1697" t="n">
        <v>23.52</v>
      </c>
      <c r="F3037" s="1698" t="n">
        <v>25.18</v>
      </c>
      <c r="G3037" s="1649" t="n">
        <v>25.55</v>
      </c>
      <c r="H3037" s="1697" t="n">
        <v>23.34</v>
      </c>
      <c r="I3037" s="1699" t="n">
        <v>24.99</v>
      </c>
      <c r="J3037" s="1649" t="n">
        <v>24.01</v>
      </c>
      <c r="K3037" s="1697" t="n">
        <v>24.47</v>
      </c>
      <c r="L3037" s="1698" t="n">
        <v>24.97</v>
      </c>
      <c r="M3037" s="1649" t="n">
        <v>25.19</v>
      </c>
      <c r="N3037" s="1697" t="n">
        <v>23.69</v>
      </c>
      <c r="O3037" s="1699" t="n">
        <v>25</v>
      </c>
      <c r="P3037" s="1628" t="n">
        <v>26.68</v>
      </c>
    </row>
    <row r="3038" ht="15.75" customHeight="1" s="2">
      <c r="A3038" s="462" t="inlineStr">
        <is>
          <t>Wage % to Total Receipts</t>
        </is>
      </c>
      <c r="B3038" s="1336" t="n">
        <v>0.2939</v>
      </c>
      <c r="C3038" s="1337">
        <f>C3043/C3034</f>
        <v/>
      </c>
      <c r="D3038" s="1337">
        <f>D3043/D3034</f>
        <v/>
      </c>
      <c r="E3038" s="1337">
        <f>E3043/E3034</f>
        <v/>
      </c>
      <c r="F3038" s="1337">
        <f>F3043/F3034</f>
        <v/>
      </c>
      <c r="G3038" s="1337">
        <f>G3043/G3034</f>
        <v/>
      </c>
      <c r="H3038" s="1337">
        <f>H3043/H3034</f>
        <v/>
      </c>
      <c r="I3038" s="1337">
        <f>I3043/I3034</f>
        <v/>
      </c>
      <c r="J3038" s="1337">
        <f>J3043/J3034</f>
        <v/>
      </c>
      <c r="K3038" s="1337">
        <f>K3043/K3034</f>
        <v/>
      </c>
      <c r="L3038" s="1337">
        <f>L3043/L3034</f>
        <v/>
      </c>
      <c r="M3038" s="1337">
        <f>M3043/M3034</f>
        <v/>
      </c>
      <c r="N3038" s="1337">
        <f>N3043/N3034</f>
        <v/>
      </c>
      <c r="O3038" s="1337">
        <f>O3043/O3034</f>
        <v/>
      </c>
      <c r="P3038" s="1337">
        <f>P3043/P3034</f>
        <v/>
      </c>
    </row>
    <row r="3039" ht="15.75" customHeight="1" s="2">
      <c r="A3039" s="462" t="inlineStr">
        <is>
          <t>Wage % to Nett Sales</t>
        </is>
      </c>
      <c r="B3039" s="1336" t="n">
        <v>0.3233</v>
      </c>
      <c r="C3039" s="1337">
        <f>C3043/C3035</f>
        <v/>
      </c>
      <c r="D3039" s="1337">
        <f>D3043/D3035</f>
        <v/>
      </c>
      <c r="E3039" s="1337">
        <f>E3043/E3035</f>
        <v/>
      </c>
      <c r="F3039" s="1337">
        <f>F3043/F3035</f>
        <v/>
      </c>
      <c r="G3039" s="1337">
        <f>G3043/G3035</f>
        <v/>
      </c>
      <c r="H3039" s="1337">
        <f>H3043/H3035</f>
        <v/>
      </c>
      <c r="I3039" s="1337">
        <f>I3043/I3035</f>
        <v/>
      </c>
      <c r="J3039" s="1337">
        <f>J3043/J3035</f>
        <v/>
      </c>
      <c r="K3039" s="1337">
        <f>K3043/K3035</f>
        <v/>
      </c>
      <c r="L3039" s="1337">
        <f>L3043/L3035</f>
        <v/>
      </c>
      <c r="M3039" s="1337">
        <f>M3043/M3035</f>
        <v/>
      </c>
      <c r="N3039" s="1337">
        <f>N3043/N3035</f>
        <v/>
      </c>
      <c r="O3039" s="1337">
        <f>O3043/O3035</f>
        <v/>
      </c>
      <c r="P3039" s="1337">
        <f>P3043/P3035</f>
        <v/>
      </c>
    </row>
    <row r="3040" ht="15.75" customHeight="1" s="2">
      <c r="A3040" s="462" t="inlineStr">
        <is>
          <t>Productivity</t>
        </is>
      </c>
      <c r="B3040" s="1338" t="n">
        <v>5.84</v>
      </c>
      <c r="C3040" s="1339">
        <f>C3036/C3042</f>
        <v/>
      </c>
      <c r="D3040" s="1339">
        <f>D3036/D3042</f>
        <v/>
      </c>
      <c r="E3040" s="1339">
        <f>E3036/E3042</f>
        <v/>
      </c>
      <c r="F3040" s="1339">
        <f>F3036/F3042</f>
        <v/>
      </c>
      <c r="G3040" s="1339">
        <f>G3036/G3042</f>
        <v/>
      </c>
      <c r="H3040" s="1339">
        <f>H3036/H3042</f>
        <v/>
      </c>
      <c r="I3040" s="1339">
        <f>I3036/I3042</f>
        <v/>
      </c>
      <c r="J3040" s="1339">
        <f>J3036/J3042</f>
        <v/>
      </c>
      <c r="K3040" s="1339">
        <f>K3036/K3042</f>
        <v/>
      </c>
      <c r="L3040" s="1339">
        <f>L3036/L3042</f>
        <v/>
      </c>
      <c r="M3040" s="1339">
        <f>M3036/M3042</f>
        <v/>
      </c>
      <c r="N3040" s="1339">
        <f>N3036/N3042</f>
        <v/>
      </c>
      <c r="O3040" s="1339">
        <f>O3036/O3042</f>
        <v/>
      </c>
      <c r="P3040" s="1339">
        <f>P3036/P3042</f>
        <v/>
      </c>
    </row>
    <row r="3041" ht="15.75" customHeight="1" s="2">
      <c r="A3041" s="462" t="inlineStr">
        <is>
          <t>Average Hourly Rate</t>
        </is>
      </c>
      <c r="B3041" s="1697" t="n">
        <v>41.08</v>
      </c>
      <c r="C3041" s="1339" t="n">
        <v>41</v>
      </c>
      <c r="D3041" s="1628" t="n">
        <v>41.97</v>
      </c>
      <c r="E3041" s="1697" t="n">
        <v>40.37</v>
      </c>
      <c r="F3041" s="1339" t="n">
        <v>41</v>
      </c>
      <c r="G3041" s="1649" t="n">
        <v>42.08</v>
      </c>
      <c r="H3041" s="1697" t="n">
        <v>40.64</v>
      </c>
      <c r="I3041" s="1339" t="n">
        <v>41</v>
      </c>
      <c r="J3041" s="1649" t="n">
        <v>43.85</v>
      </c>
      <c r="K3041" s="1697" t="n">
        <v>39.59</v>
      </c>
      <c r="L3041" s="1339" t="n">
        <v>41</v>
      </c>
      <c r="M3041" s="1649" t="n">
        <v>43.56</v>
      </c>
      <c r="N3041" s="1697" t="n">
        <v>40.84</v>
      </c>
      <c r="O3041" s="1339" t="n">
        <v>42</v>
      </c>
      <c r="P3041" s="1628" t="n">
        <v>43.41</v>
      </c>
    </row>
    <row r="3042" ht="15.75" customHeight="1" s="2">
      <c r="A3042" s="462" t="inlineStr">
        <is>
          <t>Total hours for productivity</t>
        </is>
      </c>
      <c r="B3042" s="1332" t="n">
        <v>1055.25</v>
      </c>
      <c r="C3042" s="1339" t="n">
        <v>988.25</v>
      </c>
      <c r="D3042" s="466" t="n">
        <v>981.75</v>
      </c>
      <c r="E3042" s="1332" t="n">
        <v>1194</v>
      </c>
      <c r="F3042" s="1339" t="n">
        <v>1123</v>
      </c>
      <c r="G3042" s="466" t="n">
        <v>1146</v>
      </c>
      <c r="H3042" s="1338" t="n">
        <v>1266.5</v>
      </c>
      <c r="I3042" s="1339" t="n">
        <v>1215.75</v>
      </c>
      <c r="J3042" s="472" t="n">
        <v>1321.75</v>
      </c>
      <c r="K3042" s="1332" t="n">
        <v>1228.25</v>
      </c>
      <c r="L3042" s="1339" t="n">
        <v>1200.25</v>
      </c>
      <c r="M3042" s="466" t="n">
        <v>1255.25</v>
      </c>
      <c r="N3042" s="1332" t="n">
        <v>1042</v>
      </c>
      <c r="O3042" s="1339" t="n">
        <v>1029</v>
      </c>
      <c r="P3042" s="466" t="n">
        <v>1042.5</v>
      </c>
    </row>
    <row r="3043" ht="15.75" customHeight="1" s="2">
      <c r="A3043" s="462" t="inlineStr">
        <is>
          <t>wage costed</t>
        </is>
      </c>
      <c r="B3043" s="1332" t="n"/>
      <c r="C3043" s="1340">
        <f>C3042*C3041</f>
        <v/>
      </c>
      <c r="D3043" s="1340">
        <f>D3042*D3041</f>
        <v/>
      </c>
      <c r="E3043" s="1340">
        <f>E3042*E3041</f>
        <v/>
      </c>
      <c r="F3043" s="1340">
        <f>F3042*F3041</f>
        <v/>
      </c>
      <c r="G3043" s="1340">
        <f>G3042*G3041</f>
        <v/>
      </c>
      <c r="H3043" s="1340">
        <f>H3042*H3041</f>
        <v/>
      </c>
      <c r="I3043" s="1340">
        <f>I3042*I3041</f>
        <v/>
      </c>
      <c r="J3043" s="1340">
        <f>J3042*J3041</f>
        <v/>
      </c>
      <c r="K3043" s="1340">
        <f>K3042*K3041</f>
        <v/>
      </c>
      <c r="L3043" s="1340">
        <f>L3042*L3041</f>
        <v/>
      </c>
      <c r="M3043" s="1340">
        <f>M3042*M3041</f>
        <v/>
      </c>
      <c r="N3043" s="1340">
        <f>N3042*N3041</f>
        <v/>
      </c>
      <c r="O3043" s="1340">
        <f>O3042*O3041</f>
        <v/>
      </c>
      <c r="P3043" s="1340">
        <f>P3042*P3041</f>
        <v/>
      </c>
    </row>
    <row r="3044" ht="15.75" customHeight="1" s="2" thickBot="1">
      <c r="A3044" s="474" t="inlineStr">
        <is>
          <t>Number of hours used to cover sick leave</t>
        </is>
      </c>
      <c r="B3044" s="1341" t="n">
        <v>51.5</v>
      </c>
      <c r="C3044" s="1342" t="n"/>
      <c r="D3044" s="476" t="n">
        <v>15.25</v>
      </c>
      <c r="E3044" s="1341" t="n">
        <v>24.5</v>
      </c>
      <c r="F3044" s="1342" t="n"/>
      <c r="G3044" s="476" t="n">
        <v>6.5</v>
      </c>
      <c r="H3044" s="1341" t="n">
        <v>20</v>
      </c>
      <c r="I3044" s="1342" t="n"/>
      <c r="J3044" s="476" t="n">
        <v>39.5</v>
      </c>
      <c r="K3044" s="1341" t="n">
        <v>16.5</v>
      </c>
      <c r="L3044" s="1342" t="n"/>
      <c r="M3044" s="476" t="n">
        <v>13</v>
      </c>
      <c r="N3044" s="1341" t="n">
        <v>25.5</v>
      </c>
      <c r="O3044" s="1342" t="n"/>
      <c r="P3044" s="476" t="n"/>
    </row>
    <row r="3045" ht="15.75" customHeight="1" s="2" thickBot="1">
      <c r="A3045" s="477" t="inlineStr">
        <is>
          <t xml:space="preserve">Minimum Hours </t>
        </is>
      </c>
      <c r="B3045" s="1171" t="n"/>
      <c r="C3045" s="816" t="inlineStr">
        <is>
          <t>Projected</t>
        </is>
      </c>
      <c r="D3045" s="935" t="inlineStr">
        <is>
          <t>Min Hrs</t>
        </is>
      </c>
      <c r="E3045" s="1171" t="n"/>
      <c r="F3045" s="816" t="inlineStr">
        <is>
          <t>Projected</t>
        </is>
      </c>
      <c r="G3045" s="935" t="inlineStr">
        <is>
          <t>Min Hrs</t>
        </is>
      </c>
      <c r="H3045" s="935" t="n"/>
      <c r="I3045" s="816" t="inlineStr">
        <is>
          <t>Projected</t>
        </is>
      </c>
      <c r="J3045" s="935" t="inlineStr">
        <is>
          <t>Min Hrs</t>
        </is>
      </c>
      <c r="K3045" s="935" t="n"/>
      <c r="L3045" s="816" t="inlineStr">
        <is>
          <t>Projected</t>
        </is>
      </c>
      <c r="M3045" s="935" t="inlineStr">
        <is>
          <t>Min Hrs</t>
        </is>
      </c>
      <c r="N3045" s="1171" t="n"/>
      <c r="O3045" s="816" t="inlineStr">
        <is>
          <t>Projected</t>
        </is>
      </c>
      <c r="P3045" s="935" t="inlineStr">
        <is>
          <t>Min Hrs</t>
        </is>
      </c>
    </row>
    <row r="3046" ht="15.75" customHeight="1" s="2">
      <c r="A3046" s="479" t="inlineStr">
        <is>
          <t>Floor</t>
        </is>
      </c>
      <c r="B3046" s="1172" t="n"/>
      <c r="C3046" s="810" t="n">
        <v>514.75</v>
      </c>
      <c r="D3046" s="811" t="n">
        <v>536</v>
      </c>
      <c r="E3046" s="1172" t="n"/>
      <c r="F3046" s="810" t="n">
        <v>545.5</v>
      </c>
      <c r="G3046" s="811" t="n">
        <v>536</v>
      </c>
      <c r="H3046" s="810" t="n"/>
      <c r="I3046" s="810" t="n">
        <v>641.25</v>
      </c>
      <c r="J3046" s="811" t="n">
        <v>526</v>
      </c>
      <c r="K3046" s="810" t="n"/>
      <c r="L3046" s="810" t="n">
        <v>622.75</v>
      </c>
      <c r="M3046" s="811" t="n">
        <v>526</v>
      </c>
      <c r="N3046" s="1172" t="n"/>
      <c r="O3046" s="810" t="n">
        <v>545</v>
      </c>
      <c r="P3046" s="811" t="n">
        <v>501</v>
      </c>
    </row>
    <row r="3047" ht="15.75" customHeight="1" s="2" thickBot="1">
      <c r="A3047" s="481" t="inlineStr">
        <is>
          <t>Kitchen</t>
        </is>
      </c>
      <c r="B3047" s="1173" t="n"/>
      <c r="C3047" s="813" t="n">
        <v>473.5</v>
      </c>
      <c r="D3047" s="814" t="n">
        <v>469</v>
      </c>
      <c r="E3047" s="1173" t="n"/>
      <c r="F3047" s="840" t="n">
        <v>577.5</v>
      </c>
      <c r="G3047" s="814" t="n">
        <v>469</v>
      </c>
      <c r="H3047" s="813" t="n"/>
      <c r="I3047" s="840" t="n">
        <v>574.5</v>
      </c>
      <c r="J3047" s="814" t="n">
        <v>469</v>
      </c>
      <c r="K3047" s="813" t="n"/>
      <c r="L3047" s="840" t="n">
        <v>577.5</v>
      </c>
      <c r="M3047" s="814" t="n">
        <v>435</v>
      </c>
      <c r="N3047" s="1173" t="n"/>
      <c r="O3047" s="813" t="n">
        <v>484.5</v>
      </c>
      <c r="P3047" s="814" t="n">
        <v>435</v>
      </c>
    </row>
    <row r="3048" ht="15.75" customHeight="1" s="2" thickBot="1">
      <c r="A3048" s="834" t="n"/>
      <c r="B3048" s="836" t="n"/>
      <c r="C3048" s="1220" t="n"/>
      <c r="D3048" s="1220" t="n"/>
      <c r="E3048" s="839" t="n"/>
      <c r="F3048" s="1220" t="n"/>
      <c r="G3048" s="1220" t="n"/>
      <c r="H3048" s="839" t="n"/>
      <c r="I3048" s="1220" t="n"/>
      <c r="J3048" s="1220" t="n"/>
      <c r="K3048" s="839" t="n"/>
      <c r="L3048" s="1220" t="n"/>
      <c r="M3048" s="1220" t="n"/>
      <c r="N3048" s="839" t="n"/>
      <c r="O3048" s="835" t="n"/>
      <c r="P3048" s="835" t="n"/>
    </row>
    <row r="3049" ht="15.75" customHeight="1" s="2">
      <c r="A3049" s="506" t="inlineStr">
        <is>
          <t>Training explanation</t>
        </is>
      </c>
      <c r="B3049" s="837" t="n"/>
      <c r="C3049" s="1220" t="n"/>
      <c r="D3049" s="1220" t="n"/>
      <c r="E3049" s="837" t="n"/>
      <c r="F3049" s="1220" t="n"/>
      <c r="G3049" s="1220" t="n"/>
      <c r="H3049" s="837" t="n"/>
      <c r="I3049" s="1220" t="n"/>
      <c r="J3049" s="1220" t="n"/>
      <c r="K3049" s="837" t="n"/>
      <c r="L3049" s="1220" t="n"/>
      <c r="M3049" s="1220" t="n"/>
      <c r="N3049" s="837" t="n"/>
      <c r="O3049" s="835" t="n"/>
      <c r="P3049" s="835" t="n"/>
    </row>
    <row r="3050" ht="15.75" customHeight="1" s="2" thickBot="1">
      <c r="A3050" s="506" t="inlineStr">
        <is>
          <t>Who is being Trained</t>
        </is>
      </c>
      <c r="B3050" s="838" t="n"/>
      <c r="C3050" s="1221" t="n"/>
      <c r="D3050" s="1221" t="n"/>
      <c r="E3050" s="838" t="n"/>
      <c r="F3050" s="1221" t="n"/>
      <c r="G3050" s="1221" t="n"/>
      <c r="H3050" s="838" t="n"/>
      <c r="I3050" s="1221" t="n"/>
      <c r="J3050" s="1221" t="n"/>
      <c r="K3050" s="838" t="n"/>
      <c r="L3050" s="1221" t="n"/>
      <c r="M3050" s="1221" t="n"/>
      <c r="N3050" s="838" t="n"/>
    </row>
    <row r="3051" ht="15.75" customHeight="1" s="2" thickBot="1">
      <c r="A3051" s="506" t="n"/>
      <c r="C3051" s="523" t="inlineStr">
        <is>
          <t>floor</t>
        </is>
      </c>
      <c r="D3051" s="524" t="inlineStr">
        <is>
          <t>kitchen</t>
        </is>
      </c>
      <c r="E3051" s="509" t="n"/>
      <c r="F3051" s="507" t="inlineStr">
        <is>
          <t>floor</t>
        </is>
      </c>
      <c r="G3051" s="508" t="inlineStr">
        <is>
          <t>kitchen</t>
        </is>
      </c>
      <c r="H3051" s="510" t="n"/>
      <c r="I3051" s="535" t="inlineStr">
        <is>
          <t>floor</t>
        </is>
      </c>
      <c r="J3051" s="511" t="inlineStr">
        <is>
          <t>kitchen</t>
        </is>
      </c>
      <c r="K3051" s="512" t="n"/>
      <c r="L3051" s="535" t="inlineStr">
        <is>
          <t>floor</t>
        </is>
      </c>
      <c r="M3051" s="513" t="inlineStr">
        <is>
          <t>kitchen</t>
        </is>
      </c>
      <c r="N3051" s="512" t="n"/>
      <c r="O3051" s="535" t="inlineStr">
        <is>
          <t>floor</t>
        </is>
      </c>
      <c r="P3051" s="513" t="inlineStr">
        <is>
          <t>kitchen</t>
        </is>
      </c>
    </row>
    <row r="3052" ht="15.75" customHeight="1" s="2">
      <c r="A3052" s="506" t="n"/>
      <c r="C3052" s="525" t="n"/>
      <c r="D3052" s="527" t="n"/>
      <c r="E3052" s="514" t="n"/>
      <c r="F3052" s="525" t="n"/>
      <c r="G3052" s="527" t="inlineStr">
        <is>
          <t>ROJAN- Food cost 10 hours</t>
        </is>
      </c>
      <c r="H3052" s="515" t="n"/>
      <c r="I3052" s="531" t="n"/>
      <c r="J3052" s="527" t="inlineStr">
        <is>
          <t>ROJAN- Food cost 10 hours</t>
        </is>
      </c>
      <c r="K3052" s="515" t="n"/>
      <c r="L3052" s="536" t="n"/>
      <c r="M3052" s="527" t="inlineStr">
        <is>
          <t>ROJAN- Food cost 10 hours</t>
        </is>
      </c>
      <c r="N3052" s="515" t="n"/>
      <c r="O3052" s="536" t="n"/>
      <c r="P3052" s="527" t="inlineStr">
        <is>
          <t>ROJAN- Food cost 10 hours</t>
        </is>
      </c>
    </row>
    <row r="3053" ht="15.75" customHeight="1" s="2">
      <c r="C3053" s="891" t="n"/>
      <c r="D3053" s="526" t="n"/>
      <c r="E3053" s="514" t="n"/>
      <c r="F3053" s="891" t="n"/>
      <c r="G3053" s="526" t="n"/>
      <c r="H3053" s="516" t="n"/>
      <c r="I3053" s="1656" t="n"/>
      <c r="J3053" s="530" t="n"/>
      <c r="K3053" s="516" t="n"/>
      <c r="L3053" s="542" t="n"/>
      <c r="M3053" s="530" t="n"/>
      <c r="N3053" s="516" t="n"/>
      <c r="O3053" s="542" t="inlineStr">
        <is>
          <t>KIM- 25 hrs New Starter</t>
        </is>
      </c>
      <c r="P3053" s="530" t="n"/>
    </row>
    <row r="3054" ht="15.75" customHeight="1" s="2">
      <c r="C3054" s="550" t="n"/>
      <c r="D3054" s="527" t="n"/>
      <c r="E3054" s="514" t="n"/>
      <c r="F3054" s="531" t="n"/>
      <c r="G3054" s="530" t="n"/>
      <c r="H3054" s="516" t="n"/>
      <c r="I3054" s="537" t="n"/>
      <c r="J3054" s="530" t="n"/>
      <c r="K3054" s="516" t="n"/>
      <c r="L3054" s="1657" t="n"/>
      <c r="M3054" s="539" t="n"/>
      <c r="N3054" s="516" t="n"/>
      <c r="O3054" s="542" t="n"/>
      <c r="P3054" s="539" t="n"/>
    </row>
    <row r="3055" ht="15.75" customHeight="1" s="2">
      <c r="C3055" s="561" t="n"/>
      <c r="D3055" s="561" t="n"/>
      <c r="E3055" s="519" t="n"/>
      <c r="F3055" s="517" t="n"/>
      <c r="G3055" s="1659" t="n"/>
      <c r="H3055" s="516" t="n"/>
      <c r="I3055" s="537" t="n"/>
      <c r="J3055" s="530" t="n"/>
      <c r="K3055" s="516" t="n"/>
      <c r="L3055" s="537" t="n"/>
      <c r="M3055" s="539" t="n"/>
      <c r="N3055" s="516" t="n"/>
      <c r="O3055" s="537" t="n"/>
      <c r="P3055" s="539" t="n"/>
    </row>
    <row r="3056" ht="15.75" customHeight="1" s="2">
      <c r="C3056" s="551" t="n"/>
      <c r="D3056" s="528" t="n"/>
      <c r="E3056" s="519" t="n"/>
      <c r="F3056" s="517" t="n"/>
      <c r="G3056" s="518" t="n"/>
      <c r="H3056" s="516" t="n"/>
      <c r="I3056" s="537" t="n"/>
      <c r="J3056" s="533" t="n"/>
      <c r="K3056" s="516" t="n"/>
      <c r="L3056" s="537" t="n"/>
      <c r="M3056" s="540" t="n"/>
      <c r="N3056" s="516" t="n"/>
      <c r="O3056" s="537" t="n"/>
      <c r="P3056" s="540" t="n"/>
    </row>
    <row r="3060" ht="15.75" customHeight="1" s="2" thickBot="1"/>
    <row r="3061" ht="15.75" customHeight="1" s="2" thickBot="1">
      <c r="B3061" s="1482" t="n"/>
      <c r="C3061" s="1483" t="inlineStr">
        <is>
          <t>04.08.2025</t>
        </is>
      </c>
      <c r="D3061" s="1484" t="n"/>
      <c r="E3061" s="1485" t="n"/>
      <c r="F3061" s="1486" t="inlineStr">
        <is>
          <t>11.08.2025</t>
        </is>
      </c>
      <c r="G3061" s="1487" t="n"/>
      <c r="H3061" s="1485" t="n"/>
      <c r="I3061" s="1486" t="inlineStr">
        <is>
          <t>18.08.2025</t>
        </is>
      </c>
      <c r="J3061" s="1487" t="n"/>
      <c r="K3061" s="1485" t="n"/>
      <c r="L3061" s="1486" t="n"/>
      <c r="M3061" s="1487" t="inlineStr">
        <is>
          <t>25.08.2025</t>
        </is>
      </c>
      <c r="N3061" s="1488" t="n"/>
      <c r="O3061" s="1489" t="inlineStr">
        <is>
          <t>01.09.2025</t>
        </is>
      </c>
      <c r="P3061" s="1490" t="n"/>
    </row>
    <row r="3062" ht="15.75" customHeight="1" s="2" thickBot="1">
      <c r="A3062" s="455" t="n"/>
      <c r="B3062" s="1217" t="inlineStr">
        <is>
          <t>LAST YEAR</t>
        </is>
      </c>
      <c r="C3062" s="1219" t="inlineStr">
        <is>
          <t>Projected</t>
        </is>
      </c>
      <c r="D3062" s="1218" t="inlineStr">
        <is>
          <t>Actual</t>
        </is>
      </c>
      <c r="E3062" s="1217" t="inlineStr">
        <is>
          <t>LAST YEAR</t>
        </is>
      </c>
      <c r="F3062" s="1219" t="inlineStr">
        <is>
          <t>Projected</t>
        </is>
      </c>
      <c r="G3062" s="1218" t="inlineStr">
        <is>
          <t>Actual</t>
        </is>
      </c>
      <c r="H3062" s="1217" t="inlineStr">
        <is>
          <t>LAST YEAR</t>
        </is>
      </c>
      <c r="I3062" s="1219" t="inlineStr">
        <is>
          <t>Projected</t>
        </is>
      </c>
      <c r="J3062" s="1218" t="inlineStr">
        <is>
          <t>Actual</t>
        </is>
      </c>
      <c r="K3062" s="1217" t="inlineStr">
        <is>
          <t>LAST YEAR</t>
        </is>
      </c>
      <c r="L3062" s="1219" t="inlineStr">
        <is>
          <t>Projected</t>
        </is>
      </c>
      <c r="M3062" s="1218" t="inlineStr">
        <is>
          <t>Actual</t>
        </is>
      </c>
      <c r="N3062" s="1217" t="inlineStr">
        <is>
          <t>LAST YEAR</t>
        </is>
      </c>
      <c r="O3062" s="1219" t="inlineStr">
        <is>
          <t>Projected</t>
        </is>
      </c>
      <c r="P3062" s="1218" t="inlineStr">
        <is>
          <t>Actual</t>
        </is>
      </c>
    </row>
    <row r="3063" ht="15.75" customHeight="1" s="2">
      <c r="A3063" s="459" t="inlineStr">
        <is>
          <t>Total Receipts</t>
        </is>
      </c>
      <c r="B3063" s="1645" t="n">
        <v>143819.65</v>
      </c>
      <c r="C3063" s="1692" t="n">
        <v>134234</v>
      </c>
      <c r="D3063" s="1622" t="n">
        <v>148736.73</v>
      </c>
      <c r="E3063" s="1645" t="n">
        <v>159663.28</v>
      </c>
      <c r="F3063" s="1692" t="n">
        <v>136720</v>
      </c>
      <c r="G3063" s="1622" t="n">
        <v>174505.6</v>
      </c>
      <c r="H3063" s="1645" t="n">
        <v>162121.3</v>
      </c>
      <c r="I3063" s="1692" t="n">
        <v>142178</v>
      </c>
      <c r="J3063" s="1622" t="n">
        <v>187942.95</v>
      </c>
      <c r="K3063" s="1645" t="n">
        <v>144849.68</v>
      </c>
      <c r="L3063" s="1692" t="n">
        <v>138276</v>
      </c>
      <c r="M3063" s="1622" t="n">
        <v>156707.03</v>
      </c>
      <c r="N3063" s="1645" t="n">
        <v>129132.35</v>
      </c>
      <c r="O3063" s="1692" t="n">
        <v>136262</v>
      </c>
      <c r="P3063" s="1622" t="n">
        <v>147821.86</v>
      </c>
    </row>
    <row r="3064" ht="15.75" customHeight="1" s="2">
      <c r="A3064" s="462" t="inlineStr">
        <is>
          <t>Nett Sales</t>
        </is>
      </c>
      <c r="B3064" s="1625" t="n">
        <v>130745.14</v>
      </c>
      <c r="C3064" s="1694" t="n">
        <v>122030</v>
      </c>
      <c r="D3064" s="1625" t="n">
        <v>135215.21</v>
      </c>
      <c r="E3064" s="1637" t="n">
        <v>145148.44</v>
      </c>
      <c r="F3064" s="1694" t="n">
        <v>124290.5</v>
      </c>
      <c r="G3064" s="1625" t="n">
        <v>158641.45</v>
      </c>
      <c r="H3064" s="1625" t="n">
        <v>147383</v>
      </c>
      <c r="I3064" s="1694" t="n">
        <v>129252.7</v>
      </c>
      <c r="J3064" s="1625" t="n">
        <v>170857.23</v>
      </c>
      <c r="K3064" s="1625" t="n">
        <v>131682</v>
      </c>
      <c r="L3064" s="1694" t="n">
        <v>125705.7</v>
      </c>
      <c r="M3064" s="1625" t="n">
        <v>142460.94</v>
      </c>
      <c r="N3064" s="1625" t="n">
        <v>117393.05</v>
      </c>
      <c r="O3064" s="1694" t="n">
        <v>123874.1</v>
      </c>
      <c r="P3064" s="1625" t="n">
        <v>134383.21</v>
      </c>
    </row>
    <row r="3065" ht="15.75" customHeight="1" s="2">
      <c r="A3065" s="462" t="inlineStr">
        <is>
          <t>Customers</t>
        </is>
      </c>
      <c r="B3065" s="466" t="n">
        <v>5915</v>
      </c>
      <c r="C3065" s="1333" t="n">
        <v>5365</v>
      </c>
      <c r="D3065" s="1655" t="n">
        <v>5712</v>
      </c>
      <c r="E3065" s="466" t="n">
        <v>6666</v>
      </c>
      <c r="F3065" s="1333" t="n">
        <v>5465</v>
      </c>
      <c r="G3065" s="1655" t="n">
        <v>7078</v>
      </c>
      <c r="H3065" s="466" t="n">
        <v>6408</v>
      </c>
      <c r="I3065" s="1333" t="n">
        <v>5685</v>
      </c>
      <c r="J3065" s="1655" t="n">
        <v>7199</v>
      </c>
      <c r="K3065" s="466" t="n">
        <v>5875</v>
      </c>
      <c r="L3065" s="1333" t="n">
        <v>5520</v>
      </c>
      <c r="M3065" s="1655" t="n">
        <v>6077</v>
      </c>
      <c r="N3065" s="1655" t="n">
        <v>5062</v>
      </c>
      <c r="O3065" s="1333" t="n">
        <v>5445</v>
      </c>
      <c r="P3065" s="1655" t="n">
        <v>5422</v>
      </c>
    </row>
    <row r="3066" ht="15.75" customHeight="1" s="2">
      <c r="A3066" s="462" t="inlineStr">
        <is>
          <t>Average Customer Spend</t>
        </is>
      </c>
      <c r="B3066" s="1649" t="n">
        <v>24.31</v>
      </c>
      <c r="C3066" s="1699" t="n">
        <v>25.02</v>
      </c>
      <c r="D3066" s="1628" t="n">
        <v>26.03</v>
      </c>
      <c r="E3066" s="1649" t="n">
        <v>23.95</v>
      </c>
      <c r="F3066" s="1699" t="n">
        <v>25.02</v>
      </c>
      <c r="G3066" s="1628" t="n">
        <v>24.65</v>
      </c>
      <c r="H3066" s="1649" t="n">
        <v>25.29</v>
      </c>
      <c r="I3066" s="1699" t="n">
        <v>25.01</v>
      </c>
      <c r="J3066" s="1628" t="n">
        <v>26.1</v>
      </c>
      <c r="K3066" s="1649" t="n">
        <v>24.65</v>
      </c>
      <c r="L3066" s="1699" t="n">
        <v>25.05</v>
      </c>
      <c r="M3066" s="1628" t="n">
        <v>25.78</v>
      </c>
      <c r="N3066" s="1649" t="n">
        <v>25.51</v>
      </c>
      <c r="O3066" s="1699" t="n">
        <v>25.03</v>
      </c>
      <c r="P3066" s="1628" t="n">
        <v>27.24</v>
      </c>
    </row>
    <row r="3067" ht="15.75" customHeight="1" s="2">
      <c r="A3067" s="462" t="inlineStr">
        <is>
          <t>Wage % to Total Receipts</t>
        </is>
      </c>
      <c r="B3067" s="863" t="n">
        <v>0.3032</v>
      </c>
      <c r="C3067" s="1337">
        <f>C3072/C3063</f>
        <v/>
      </c>
      <c r="D3067" s="1337">
        <f>D3072/D3063</f>
        <v/>
      </c>
      <c r="E3067" s="863" t="n">
        <v>0.2797</v>
      </c>
      <c r="F3067" s="1337">
        <f>F3072/F3063</f>
        <v/>
      </c>
      <c r="G3067" s="1337">
        <f>G3072/G3063</f>
        <v/>
      </c>
      <c r="H3067" s="863" t="n">
        <v>0.2911</v>
      </c>
      <c r="I3067" s="1337">
        <f>I3072/I3063</f>
        <v/>
      </c>
      <c r="J3067" s="1337">
        <f>J3072/J3063</f>
        <v/>
      </c>
      <c r="K3067" s="863" t="n">
        <v>0.3064</v>
      </c>
      <c r="L3067" s="1337">
        <f>L3072/L3063</f>
        <v/>
      </c>
      <c r="M3067" s="1337">
        <f>M3072/M3063</f>
        <v/>
      </c>
      <c r="N3067" s="863" t="n">
        <v>0.3303</v>
      </c>
      <c r="O3067" s="1337">
        <f>O3072/O3063</f>
        <v/>
      </c>
      <c r="P3067" s="1337">
        <f>P3072/P3063</f>
        <v/>
      </c>
    </row>
    <row r="3068" ht="15.75" customHeight="1" s="2">
      <c r="A3068" s="462" t="inlineStr">
        <is>
          <t>Wage % to Nett Sales</t>
        </is>
      </c>
      <c r="B3068" s="863" t="n">
        <v>0.3335</v>
      </c>
      <c r="C3068" s="1337">
        <f>C3072/C3064</f>
        <v/>
      </c>
      <c r="D3068" s="1337">
        <f>D3072/D3064</f>
        <v/>
      </c>
      <c r="E3068" s="863" t="n">
        <v>0.3077</v>
      </c>
      <c r="F3068" s="1337">
        <f>F3072/F3064</f>
        <v/>
      </c>
      <c r="G3068" s="1337">
        <f>G3072/G3064</f>
        <v/>
      </c>
      <c r="H3068" s="863" t="n">
        <v>0.3202</v>
      </c>
      <c r="I3068" s="1337">
        <f>I3072/I3064</f>
        <v/>
      </c>
      <c r="J3068" s="1337">
        <f>J3072/J3064</f>
        <v/>
      </c>
      <c r="K3068" s="863" t="n">
        <v>0.3371</v>
      </c>
      <c r="L3068" s="1337">
        <f>L3072/L3064</f>
        <v/>
      </c>
      <c r="M3068" s="1337">
        <f>M3072/M3064</f>
        <v/>
      </c>
      <c r="N3068" s="863" t="n">
        <v>0.3634</v>
      </c>
      <c r="O3068" s="1337">
        <f>O3072/O3064</f>
        <v/>
      </c>
      <c r="P3068" s="1337">
        <f>P3072/P3064</f>
        <v/>
      </c>
    </row>
    <row r="3069" ht="15.75" customHeight="1" s="2">
      <c r="A3069" s="462" t="inlineStr">
        <is>
          <t>Productivity</t>
        </is>
      </c>
      <c r="B3069" s="472" t="n">
        <v>5.66</v>
      </c>
      <c r="C3069" s="1339">
        <f>C3065/C3071</f>
        <v/>
      </c>
      <c r="D3069" s="1339">
        <f>D3065/D3071</f>
        <v/>
      </c>
      <c r="E3069" s="472" t="n">
        <v>6.1</v>
      </c>
      <c r="F3069" s="1339">
        <f>F3065/F3071</f>
        <v/>
      </c>
      <c r="G3069" s="1339">
        <f>G3065/G3071</f>
        <v/>
      </c>
      <c r="H3069" s="472" t="n">
        <v>5.57</v>
      </c>
      <c r="I3069" s="1339">
        <f>I3065/I3071</f>
        <v/>
      </c>
      <c r="J3069" s="1339">
        <f>J3065/J3071</f>
        <v/>
      </c>
      <c r="K3069" s="472" t="n">
        <v>5.54</v>
      </c>
      <c r="L3069" s="1339">
        <f>L3065/L3071</f>
        <v/>
      </c>
      <c r="M3069" s="1339">
        <f>M3065/M3071</f>
        <v/>
      </c>
      <c r="N3069" s="472" t="n">
        <v>4.8</v>
      </c>
      <c r="O3069" s="1339">
        <f>O3065/O3071</f>
        <v/>
      </c>
      <c r="P3069" s="1339">
        <f>P3065/P3071</f>
        <v/>
      </c>
    </row>
    <row r="3070" ht="15.75" customHeight="1" s="2">
      <c r="A3070" s="462" t="inlineStr">
        <is>
          <t>Average Hourly Rate</t>
        </is>
      </c>
      <c r="B3070" s="1649" t="n">
        <v>41.74</v>
      </c>
      <c r="C3070" s="1339" t="n">
        <v>41</v>
      </c>
      <c r="D3070" s="1628" t="n">
        <v>44.45</v>
      </c>
      <c r="E3070" s="1649" t="n">
        <v>40.9</v>
      </c>
      <c r="F3070" s="1339" t="n">
        <v>42</v>
      </c>
      <c r="G3070" s="1628" t="n">
        <v>42.83</v>
      </c>
      <c r="H3070" s="1649" t="n">
        <v>41</v>
      </c>
      <c r="I3070" s="1339" t="n">
        <v>42.5</v>
      </c>
      <c r="J3070" s="1628" t="n">
        <v>44.74</v>
      </c>
      <c r="K3070" s="1649" t="n">
        <v>41.82</v>
      </c>
      <c r="L3070" s="1339" t="n">
        <v>42.5</v>
      </c>
      <c r="M3070" s="1628" t="n">
        <v>43.56</v>
      </c>
      <c r="N3070" s="1649" t="n">
        <v>40.41</v>
      </c>
      <c r="O3070" s="1339" t="n">
        <v>43</v>
      </c>
      <c r="P3070" s="1628" t="n">
        <v>43</v>
      </c>
    </row>
    <row r="3071" ht="15.75" customHeight="1" s="2">
      <c r="A3071" s="462" t="inlineStr">
        <is>
          <t>Total hours for productivity</t>
        </is>
      </c>
      <c r="B3071" s="466" t="n">
        <v>1044.5</v>
      </c>
      <c r="C3071" s="1339" t="n">
        <v>1044.5</v>
      </c>
      <c r="D3071" s="466" t="n">
        <v>1051.5</v>
      </c>
      <c r="E3071" s="466" t="n">
        <v>1092</v>
      </c>
      <c r="F3071" s="1339" t="n">
        <v>1041</v>
      </c>
      <c r="G3071" s="466" t="n">
        <v>1060.75</v>
      </c>
      <c r="H3071" s="472" t="n">
        <v>1118.5</v>
      </c>
      <c r="I3071" s="1339" t="n">
        <v>1069.25</v>
      </c>
      <c r="J3071" s="466" t="n">
        <v>1146.5</v>
      </c>
      <c r="K3071" s="466" t="n">
        <v>1061.25</v>
      </c>
      <c r="L3071" s="1339" t="n">
        <v>1071</v>
      </c>
      <c r="M3071" s="466" t="n">
        <v>1070.25</v>
      </c>
      <c r="N3071" s="466" t="n">
        <v>1055.5</v>
      </c>
      <c r="O3071" s="1339" t="n">
        <v>1091.75</v>
      </c>
      <c r="P3071" s="466" t="n">
        <v>1088</v>
      </c>
    </row>
    <row r="3072" ht="15.75" customHeight="1" s="2">
      <c r="A3072" s="462" t="inlineStr">
        <is>
          <t>wage costed</t>
        </is>
      </c>
      <c r="B3072" s="466" t="n">
        <v>0</v>
      </c>
      <c r="C3072" s="1340">
        <f>C3071*C3070</f>
        <v/>
      </c>
      <c r="D3072" s="1340">
        <f>D3071*D3070</f>
        <v/>
      </c>
      <c r="E3072" s="1340">
        <f>E3071*E3070</f>
        <v/>
      </c>
      <c r="F3072" s="1340">
        <f>F3071*F3070</f>
        <v/>
      </c>
      <c r="G3072" s="1340">
        <f>G3071*G3070</f>
        <v/>
      </c>
      <c r="H3072" s="1340">
        <f>H3071*H3070</f>
        <v/>
      </c>
      <c r="I3072" s="1340">
        <f>I3071*I3070</f>
        <v/>
      </c>
      <c r="J3072" s="1340">
        <f>J3071*J3070</f>
        <v/>
      </c>
      <c r="K3072" s="1340">
        <f>K3071*K3070</f>
        <v/>
      </c>
      <c r="L3072" s="1340">
        <f>L3071*L3070</f>
        <v/>
      </c>
      <c r="M3072" s="1340">
        <f>M3071*M3070</f>
        <v/>
      </c>
      <c r="N3072" s="466" t="n"/>
      <c r="O3072" s="1340">
        <f>O3071*O3070</f>
        <v/>
      </c>
      <c r="P3072" s="1340">
        <f>P3071*P3070</f>
        <v/>
      </c>
    </row>
    <row r="3073" ht="15.75" customHeight="1" s="2" thickBot="1">
      <c r="A3073" s="474" t="inlineStr">
        <is>
          <t>Number of hours used to cover sick leave</t>
        </is>
      </c>
      <c r="B3073" s="476" t="n">
        <v>37</v>
      </c>
      <c r="C3073" s="1342" t="n"/>
      <c r="D3073" s="476" t="n">
        <v>43</v>
      </c>
      <c r="E3073" s="476" t="n">
        <v>35.5</v>
      </c>
      <c r="F3073" s="1342" t="n"/>
      <c r="G3073" s="476" t="n">
        <v>16</v>
      </c>
      <c r="H3073" s="476" t="n">
        <v>20.75</v>
      </c>
      <c r="I3073" s="1342" t="n"/>
      <c r="J3073" s="476" t="n">
        <v>47.5</v>
      </c>
      <c r="K3073" s="476" t="n"/>
      <c r="L3073" s="1342" t="n"/>
      <c r="M3073" s="476" t="n">
        <v>39.5</v>
      </c>
      <c r="N3073" s="476" t="n"/>
      <c r="O3073" s="1342" t="n"/>
      <c r="P3073" s="476" t="n">
        <v>23.5</v>
      </c>
    </row>
    <row r="3074" ht="15.75" customHeight="1" s="2" thickBot="1">
      <c r="A3074" s="477" t="inlineStr">
        <is>
          <t xml:space="preserve">Minimum Hours </t>
        </is>
      </c>
      <c r="B3074" s="1171" t="n"/>
      <c r="C3074" s="816" t="inlineStr">
        <is>
          <t>Projected</t>
        </is>
      </c>
      <c r="D3074" s="935" t="inlineStr">
        <is>
          <t>Min Hrs</t>
        </is>
      </c>
      <c r="E3074" s="1171" t="n"/>
      <c r="F3074" s="816" t="inlineStr">
        <is>
          <t>Projected</t>
        </is>
      </c>
      <c r="G3074" s="935" t="inlineStr">
        <is>
          <t>Min Hrs</t>
        </is>
      </c>
      <c r="H3074" s="935" t="n"/>
      <c r="I3074" s="816" t="inlineStr">
        <is>
          <t>Projected</t>
        </is>
      </c>
      <c r="J3074" s="935" t="inlineStr">
        <is>
          <t>Min Hrs</t>
        </is>
      </c>
      <c r="K3074" s="935" t="n"/>
      <c r="L3074" s="816" t="inlineStr">
        <is>
          <t>Projected</t>
        </is>
      </c>
      <c r="M3074" s="935" t="inlineStr">
        <is>
          <t>Min Hrs</t>
        </is>
      </c>
      <c r="N3074" s="1171" t="n"/>
      <c r="O3074" s="816" t="inlineStr">
        <is>
          <t>Projected</t>
        </is>
      </c>
      <c r="P3074" s="935" t="inlineStr">
        <is>
          <t>Min Hrs</t>
        </is>
      </c>
    </row>
    <row r="3075" ht="15.75" customHeight="1" s="2">
      <c r="A3075" s="479" t="inlineStr">
        <is>
          <t>Floor</t>
        </is>
      </c>
      <c r="B3075" s="1172" t="n"/>
      <c r="C3075" s="810" t="n">
        <v>557</v>
      </c>
      <c r="D3075" s="811" t="n">
        <v>531</v>
      </c>
      <c r="E3075" s="1172" t="n"/>
      <c r="F3075" s="810" t="n">
        <v>555.5</v>
      </c>
      <c r="G3075" s="811" t="n">
        <v>531</v>
      </c>
      <c r="H3075" s="810" t="n"/>
      <c r="I3075" s="810" t="n">
        <v>552.25</v>
      </c>
      <c r="J3075" s="811" t="n">
        <v>531</v>
      </c>
      <c r="K3075" s="810" t="n"/>
      <c r="L3075" s="810" t="n">
        <v>582.5</v>
      </c>
      <c r="M3075" s="811" t="n">
        <v>531</v>
      </c>
      <c r="N3075" s="1172" t="n"/>
      <c r="O3075" s="810" t="n">
        <v>582.25</v>
      </c>
      <c r="P3075" s="811" t="n">
        <v>531</v>
      </c>
    </row>
    <row r="3076" ht="15.75" customHeight="1" s="2" thickBot="1">
      <c r="A3076" s="481" t="inlineStr">
        <is>
          <t>Kitchen</t>
        </is>
      </c>
      <c r="B3076" s="1173" t="n"/>
      <c r="C3076" s="813" t="n">
        <v>487.5</v>
      </c>
      <c r="D3076" s="814" t="n">
        <v>435</v>
      </c>
      <c r="E3076" s="1173" t="n"/>
      <c r="F3076" s="840" t="n">
        <v>485.5</v>
      </c>
      <c r="G3076" s="814" t="n">
        <v>435</v>
      </c>
      <c r="H3076" s="813" t="n"/>
      <c r="I3076" s="840" t="n">
        <v>517</v>
      </c>
      <c r="J3076" s="814" t="n">
        <v>435</v>
      </c>
      <c r="K3076" s="813" t="n"/>
      <c r="L3076" s="840" t="n">
        <v>495</v>
      </c>
      <c r="M3076" s="814" t="n">
        <v>435</v>
      </c>
      <c r="N3076" s="1173" t="n"/>
      <c r="O3076" s="813" t="n">
        <v>509.5</v>
      </c>
      <c r="P3076" s="814" t="n">
        <v>435</v>
      </c>
    </row>
    <row r="3077" ht="15.75" customHeight="1" s="2" thickBot="1">
      <c r="A3077" s="834" t="n"/>
      <c r="B3077" s="836" t="n"/>
      <c r="C3077" s="1220" t="n"/>
      <c r="D3077" s="1220" t="n"/>
      <c r="E3077" s="839" t="n"/>
      <c r="F3077" s="1220" t="n"/>
      <c r="G3077" s="1220" t="n"/>
      <c r="H3077" s="839" t="n"/>
      <c r="I3077" s="1220" t="n"/>
      <c r="J3077" s="1220" t="n"/>
      <c r="K3077" s="839" t="n"/>
      <c r="L3077" s="1220" t="n"/>
      <c r="M3077" s="1220" t="n"/>
      <c r="N3077" s="839" t="n"/>
      <c r="O3077" s="835" t="n"/>
      <c r="P3077" s="835" t="n"/>
    </row>
    <row r="3078" ht="15.75" customHeight="1" s="2">
      <c r="A3078" s="506" t="inlineStr">
        <is>
          <t>Training explanation</t>
        </is>
      </c>
      <c r="B3078" s="837" t="n"/>
      <c r="C3078" s="1220" t="n"/>
      <c r="D3078" s="1220" t="n"/>
      <c r="E3078" s="837" t="n"/>
      <c r="F3078" s="1220" t="n"/>
      <c r="G3078" s="1220" t="n"/>
      <c r="H3078" s="837" t="n"/>
      <c r="I3078" s="1220" t="n"/>
      <c r="J3078" s="1220" t="n"/>
      <c r="K3078" s="837" t="n"/>
      <c r="L3078" s="1220" t="n"/>
      <c r="M3078" s="1220" t="n"/>
      <c r="N3078" s="837" t="n"/>
      <c r="O3078" s="835" t="n"/>
      <c r="P3078" s="835" t="n"/>
    </row>
    <row r="3079" ht="15.75" customHeight="1" s="2" thickBot="1">
      <c r="A3079" s="506" t="inlineStr">
        <is>
          <t>Who is being Trained</t>
        </is>
      </c>
      <c r="B3079" s="838" t="n"/>
      <c r="C3079" s="1221" t="n"/>
      <c r="D3079" s="1221" t="n"/>
      <c r="E3079" s="838" t="n"/>
      <c r="F3079" s="1221" t="n"/>
      <c r="G3079" s="1221" t="n"/>
      <c r="H3079" s="838" t="n"/>
      <c r="I3079" s="1221" t="n"/>
      <c r="J3079" s="1221" t="n"/>
      <c r="K3079" s="838" t="n"/>
      <c r="L3079" s="1221" t="n"/>
      <c r="M3079" s="1221" t="n"/>
      <c r="N3079" s="838" t="n"/>
    </row>
    <row r="3080" ht="15.75" customHeight="1" s="2" thickBot="1">
      <c r="A3080" s="506" t="n"/>
      <c r="C3080" s="523" t="inlineStr">
        <is>
          <t>floor</t>
        </is>
      </c>
      <c r="D3080" s="524" t="inlineStr">
        <is>
          <t>kitchen</t>
        </is>
      </c>
      <c r="E3080" s="509" t="n"/>
      <c r="F3080" s="507" t="inlineStr">
        <is>
          <t>floor</t>
        </is>
      </c>
      <c r="G3080" s="508" t="inlineStr">
        <is>
          <t>kitchen</t>
        </is>
      </c>
      <c r="H3080" s="510" t="n"/>
      <c r="I3080" s="535" t="inlineStr">
        <is>
          <t>floor</t>
        </is>
      </c>
      <c r="J3080" s="511" t="inlineStr">
        <is>
          <t>kitchen</t>
        </is>
      </c>
      <c r="K3080" s="512" t="n"/>
      <c r="L3080" s="535" t="inlineStr">
        <is>
          <t>floor</t>
        </is>
      </c>
      <c r="M3080" s="513" t="inlineStr">
        <is>
          <t>kitchen</t>
        </is>
      </c>
      <c r="N3080" s="512" t="n"/>
      <c r="O3080" s="535" t="inlineStr">
        <is>
          <t>floor</t>
        </is>
      </c>
      <c r="P3080" s="513" t="inlineStr">
        <is>
          <t>kitchen</t>
        </is>
      </c>
    </row>
    <row r="3081" ht="15.75" customHeight="1" s="2">
      <c r="A3081" s="506" t="n"/>
      <c r="C3081" s="525" t="n"/>
      <c r="D3081" s="527" t="n"/>
      <c r="E3081" s="514" t="n"/>
      <c r="F3081" s="525" t="n"/>
      <c r="G3081" s="527" t="n"/>
      <c r="H3081" s="515" t="n"/>
      <c r="I3081" s="531" t="n"/>
      <c r="J3081" s="824" t="n"/>
      <c r="K3081" s="515" t="n"/>
      <c r="L3081" s="536" t="n"/>
      <c r="M3081" s="532" t="n"/>
      <c r="N3081" s="515" t="n"/>
      <c r="O3081" s="536" t="n"/>
      <c r="P3081" s="532" t="n"/>
    </row>
    <row r="3082" ht="15.75" customHeight="1" s="2">
      <c r="C3082" s="891" t="n"/>
      <c r="D3082" s="526" t="n"/>
      <c r="E3082" s="514" t="n"/>
      <c r="F3082" s="891" t="n"/>
      <c r="G3082" s="526" t="n"/>
      <c r="H3082" s="516" t="n"/>
      <c r="I3082" s="1656" t="n"/>
      <c r="J3082" s="530" t="n"/>
      <c r="K3082" s="516" t="n"/>
      <c r="L3082" s="542" t="n"/>
      <c r="M3082" s="530" t="n"/>
      <c r="N3082" s="516" t="n"/>
      <c r="O3082" s="542" t="n"/>
      <c r="P3082" s="530" t="n"/>
    </row>
    <row r="3083" ht="15.75" customHeight="1" s="2">
      <c r="C3083" s="550" t="n"/>
      <c r="D3083" s="527" t="n"/>
      <c r="E3083" s="514" t="n"/>
      <c r="F3083" s="531" t="n"/>
      <c r="G3083" s="530" t="n"/>
      <c r="H3083" s="516" t="n"/>
      <c r="I3083" s="537" t="n"/>
      <c r="J3083" s="530" t="n"/>
      <c r="K3083" s="516" t="n"/>
      <c r="L3083" s="1657" t="n"/>
      <c r="M3083" s="539" t="n"/>
      <c r="N3083" s="516" t="n"/>
      <c r="O3083" s="542" t="n"/>
      <c r="P3083" s="539" t="n"/>
    </row>
    <row r="3084" ht="15.75" customHeight="1" s="2">
      <c r="C3084" s="561" t="n"/>
      <c r="D3084" s="561" t="n"/>
      <c r="E3084" s="519" t="n"/>
      <c r="F3084" s="517" t="n"/>
      <c r="G3084" s="1659" t="n"/>
      <c r="H3084" s="516" t="n"/>
      <c r="I3084" s="537" t="n"/>
      <c r="J3084" s="530" t="n"/>
      <c r="K3084" s="516" t="n"/>
      <c r="L3084" s="537" t="n"/>
      <c r="M3084" s="539" t="n"/>
      <c r="N3084" s="516" t="n"/>
      <c r="O3084" s="537" t="n"/>
      <c r="P3084" s="539" t="n"/>
    </row>
    <row r="3085" ht="15.75" customHeight="1" s="2">
      <c r="C3085" s="551" t="n"/>
      <c r="D3085" s="528" t="n"/>
      <c r="E3085" s="519" t="n"/>
      <c r="F3085" s="517" t="n"/>
      <c r="G3085" s="518" t="n"/>
      <c r="H3085" s="516" t="n"/>
      <c r="I3085" s="537" t="n"/>
      <c r="J3085" s="533" t="n"/>
      <c r="K3085" s="516" t="n"/>
      <c r="L3085" s="537" t="n"/>
      <c r="M3085" s="540" t="n"/>
      <c r="N3085" s="516" t="n"/>
      <c r="O3085" s="537" t="n"/>
      <c r="P3085" s="540" t="n"/>
    </row>
    <row r="3089" ht="15.75" customHeight="1" s="2" thickBot="1"/>
    <row r="3090" ht="15.75" customHeight="1" s="2" thickBot="1">
      <c r="B3090" s="1482" t="n"/>
      <c r="C3090" s="1483" t="inlineStr">
        <is>
          <t>08.09.2025</t>
        </is>
      </c>
      <c r="D3090" s="1484" t="n"/>
      <c r="E3090" s="1485" t="n"/>
      <c r="F3090" s="1486" t="inlineStr">
        <is>
          <t>15.09.2025</t>
        </is>
      </c>
      <c r="G3090" s="1487" t="n"/>
      <c r="H3090" s="1485" t="n"/>
      <c r="I3090" s="1486" t="inlineStr">
        <is>
          <t>22.09.2025</t>
        </is>
      </c>
      <c r="J3090" s="1487" t="n"/>
      <c r="K3090" s="1485" t="n"/>
      <c r="L3090" s="1486" t="inlineStr">
        <is>
          <t>29.09.2025</t>
        </is>
      </c>
      <c r="M3090" s="1487" t="n"/>
      <c r="N3090" s="1488" t="n"/>
      <c r="O3090" s="1489" t="inlineStr">
        <is>
          <t>06.10.2025</t>
        </is>
      </c>
      <c r="P3090" s="1490" t="n"/>
    </row>
    <row r="3091" ht="15.75" customHeight="1" s="2" thickBot="1">
      <c r="A3091" s="455" t="n"/>
      <c r="B3091" s="1217" t="inlineStr">
        <is>
          <t>LAST YEAR</t>
        </is>
      </c>
      <c r="C3091" s="1219" t="inlineStr">
        <is>
          <t>Projected</t>
        </is>
      </c>
      <c r="D3091" s="1218" t="inlineStr">
        <is>
          <t>Actual</t>
        </is>
      </c>
      <c r="E3091" s="1217" t="inlineStr">
        <is>
          <t>LAST YEAR</t>
        </is>
      </c>
      <c r="F3091" s="1219" t="inlineStr">
        <is>
          <t>Projected</t>
        </is>
      </c>
      <c r="G3091" s="1218" t="inlineStr">
        <is>
          <t>Actual</t>
        </is>
      </c>
      <c r="H3091" s="1217" t="inlineStr">
        <is>
          <t>LAST YEAR</t>
        </is>
      </c>
      <c r="I3091" s="1219" t="inlineStr">
        <is>
          <t>Projected</t>
        </is>
      </c>
      <c r="J3091" s="1218" t="inlineStr">
        <is>
          <t>Actual</t>
        </is>
      </c>
      <c r="K3091" s="1217" t="inlineStr">
        <is>
          <t>LAST YEAR</t>
        </is>
      </c>
      <c r="L3091" s="1219" t="inlineStr">
        <is>
          <t>Projected</t>
        </is>
      </c>
      <c r="M3091" s="1218" t="inlineStr">
        <is>
          <t>Actual</t>
        </is>
      </c>
      <c r="N3091" s="1217" t="inlineStr">
        <is>
          <t>LAST YEAR</t>
        </is>
      </c>
      <c r="O3091" s="1219" t="inlineStr">
        <is>
          <t>Projected</t>
        </is>
      </c>
      <c r="P3091" s="1218" t="inlineStr">
        <is>
          <t>Actual</t>
        </is>
      </c>
    </row>
    <row r="3092" ht="15.75" customHeight="1" s="2">
      <c r="A3092" s="459" t="inlineStr">
        <is>
          <t>Total Receipts</t>
        </is>
      </c>
      <c r="B3092" s="1645" t="n">
        <v>119813.51</v>
      </c>
      <c r="C3092" s="1692" t="n">
        <v>120043</v>
      </c>
      <c r="D3092" s="1622" t="n">
        <v>130217.83</v>
      </c>
      <c r="E3092" s="1645" t="n">
        <v>133660.93</v>
      </c>
      <c r="F3092" s="1692" t="n">
        <v>138039</v>
      </c>
      <c r="G3092" s="1622" t="n">
        <v>114081.48</v>
      </c>
      <c r="H3092" s="1645" t="n">
        <v>135593.02</v>
      </c>
      <c r="I3092" s="1692" t="n">
        <v>136518</v>
      </c>
      <c r="J3092" s="1622" t="n">
        <v>121843.4</v>
      </c>
      <c r="K3092" s="1645" t="n">
        <v>146950.21</v>
      </c>
      <c r="L3092" s="1692" t="n">
        <v>143883</v>
      </c>
      <c r="M3092" s="1622" t="n">
        <v>147490.88</v>
      </c>
      <c r="N3092" s="1645" t="n">
        <v>182913.56</v>
      </c>
      <c r="O3092" s="1692" t="n">
        <v>182590</v>
      </c>
      <c r="P3092" s="1622" t="n">
        <v>199843.17</v>
      </c>
    </row>
    <row r="3093" ht="15.75" customHeight="1" s="2">
      <c r="A3093" s="462" t="inlineStr">
        <is>
          <t>Nett Sales</t>
        </is>
      </c>
      <c r="B3093" s="1625" t="n">
        <v>100821.37</v>
      </c>
      <c r="C3093" s="1694" t="n">
        <v>109129.5</v>
      </c>
      <c r="D3093" s="1625" t="n">
        <v>118379.85</v>
      </c>
      <c r="E3093" s="1637" t="n">
        <v>121509.94</v>
      </c>
      <c r="F3093" s="1694" t="n">
        <v>125489.5</v>
      </c>
      <c r="G3093" s="1625" t="n">
        <v>103710.44</v>
      </c>
      <c r="H3093" s="1625" t="n">
        <v>123266.38</v>
      </c>
      <c r="I3093" s="1694" t="n">
        <v>124107</v>
      </c>
      <c r="J3093" s="1625" t="n">
        <v>110766.73</v>
      </c>
      <c r="K3093" s="1625" t="n">
        <v>133591.1</v>
      </c>
      <c r="L3093" s="1694" t="n">
        <v>130802</v>
      </c>
      <c r="M3093" s="1625" t="n">
        <v>134082.62</v>
      </c>
      <c r="N3093" s="1625" t="n">
        <v>166285</v>
      </c>
      <c r="O3093" s="1694" t="n">
        <v>165990.9</v>
      </c>
      <c r="P3093" s="1625" t="n">
        <v>181675.61</v>
      </c>
    </row>
    <row r="3094" ht="15.75" customHeight="1" s="2">
      <c r="A3094" s="462" t="inlineStr">
        <is>
          <t>Customers</t>
        </is>
      </c>
      <c r="B3094" s="466" t="n">
        <v>4891</v>
      </c>
      <c r="C3094" s="1333" t="n">
        <v>4795</v>
      </c>
      <c r="D3094" s="1655" t="n">
        <v>4950</v>
      </c>
      <c r="E3094" s="466" t="n">
        <v>5438</v>
      </c>
      <c r="F3094" s="1333" t="n">
        <v>5515</v>
      </c>
      <c r="G3094" s="1655" t="n">
        <v>4368</v>
      </c>
      <c r="H3094" s="466" t="n">
        <v>5533</v>
      </c>
      <c r="I3094" s="1333" t="n">
        <v>5460</v>
      </c>
      <c r="J3094" s="1655" t="n">
        <v>4857</v>
      </c>
      <c r="K3094" s="466" t="n">
        <v>5983</v>
      </c>
      <c r="L3094" s="1333" t="n">
        <v>5755</v>
      </c>
      <c r="M3094" s="1655" t="n">
        <v>5696</v>
      </c>
      <c r="N3094" s="1655" t="n">
        <v>7090</v>
      </c>
      <c r="O3094" s="1333" t="n">
        <v>7200</v>
      </c>
      <c r="P3094" s="1655" t="n">
        <v>7402</v>
      </c>
    </row>
    <row r="3095" ht="15.75" customHeight="1" s="2">
      <c r="A3095" s="462" t="inlineStr">
        <is>
          <t>Average Customer Spend</t>
        </is>
      </c>
      <c r="B3095" s="1649" t="n">
        <v>24.49</v>
      </c>
      <c r="C3095" s="1699" t="n">
        <v>25.03</v>
      </c>
      <c r="D3095" s="1628" t="n">
        <v>26.3</v>
      </c>
      <c r="E3095" s="1649" t="n">
        <v>24.57</v>
      </c>
      <c r="F3095" s="1699" t="n">
        <v>25.03</v>
      </c>
      <c r="G3095" s="1628" t="n">
        <v>26.11</v>
      </c>
      <c r="H3095" s="1649" t="n">
        <v>24.5</v>
      </c>
      <c r="I3095" s="1699" t="n">
        <v>25</v>
      </c>
      <c r="J3095" s="1628" t="n">
        <v>25.08</v>
      </c>
      <c r="K3095" s="1649" t="n">
        <v>24.56</v>
      </c>
      <c r="L3095" s="1699" t="n">
        <v>25</v>
      </c>
      <c r="M3095" s="1628" t="n">
        <v>25.89</v>
      </c>
      <c r="N3095" s="1649" t="n">
        <v>25.79</v>
      </c>
      <c r="O3095" s="1699" t="n">
        <v>25.36</v>
      </c>
      <c r="P3095" s="1628" t="n">
        <v>26.99</v>
      </c>
    </row>
    <row r="3096" ht="15.75" customHeight="1" s="2">
      <c r="A3096" s="462" t="inlineStr">
        <is>
          <t>Wage % to Total Receipts</t>
        </is>
      </c>
      <c r="B3096" s="863" t="n">
        <v>0.3508</v>
      </c>
      <c r="C3096" s="1337">
        <f>C3101/C3092</f>
        <v/>
      </c>
      <c r="D3096" s="1337">
        <f>D3101/D3092</f>
        <v/>
      </c>
      <c r="E3096" s="863" t="n">
        <v>0.3199</v>
      </c>
      <c r="F3096" s="1337">
        <f>F3101/F3092</f>
        <v/>
      </c>
      <c r="G3096" s="1337">
        <f>G3101/G3092</f>
        <v/>
      </c>
      <c r="H3096" s="863" t="n">
        <v>0.3145</v>
      </c>
      <c r="I3096" s="1337">
        <f>I3101/I3092</f>
        <v/>
      </c>
      <c r="J3096" s="1337">
        <f>J3101/J3092</f>
        <v/>
      </c>
      <c r="K3096" s="863" t="n">
        <v>0.3152</v>
      </c>
      <c r="L3096" s="1337">
        <f>L3101/L3092</f>
        <v/>
      </c>
      <c r="M3096" s="1337">
        <f>M3101/M3092</f>
        <v/>
      </c>
      <c r="N3096" s="863" t="n">
        <v>0.3363</v>
      </c>
      <c r="O3096" s="1337">
        <f>O3101/O3092</f>
        <v/>
      </c>
      <c r="P3096" s="1337">
        <f>P3101/P3092</f>
        <v/>
      </c>
    </row>
    <row r="3097" ht="15.75" customHeight="1" s="2">
      <c r="A3097" s="462" t="inlineStr">
        <is>
          <t>Wage % to Nett Sales</t>
        </is>
      </c>
      <c r="B3097" s="863" t="n">
        <v>0.3858</v>
      </c>
      <c r="C3097" s="1337">
        <f>C3101/C3093</f>
        <v/>
      </c>
      <c r="D3097" s="1337">
        <f>D3101/D3093</f>
        <v/>
      </c>
      <c r="E3097" s="863" t="n">
        <v>0.3518</v>
      </c>
      <c r="F3097" s="1337">
        <f>F3101/F3093</f>
        <v/>
      </c>
      <c r="G3097" s="1337">
        <f>G3101/G3093</f>
        <v/>
      </c>
      <c r="H3097" s="863" t="n">
        <v>0.3459</v>
      </c>
      <c r="I3097" s="1337">
        <f>I3101/I3093</f>
        <v/>
      </c>
      <c r="J3097" s="1337">
        <f>J3101/J3093</f>
        <v/>
      </c>
      <c r="K3097" s="863" t="n">
        <v>0.3467</v>
      </c>
      <c r="L3097" s="1337">
        <f>L3101/L3093</f>
        <v/>
      </c>
      <c r="M3097" s="1337">
        <f>M3101/M3093</f>
        <v/>
      </c>
      <c r="N3097" s="863" t="n">
        <v>0.3699</v>
      </c>
      <c r="O3097" s="1337">
        <f>O3101/O3093</f>
        <v/>
      </c>
      <c r="P3097" s="1337">
        <f>P3101/P3093</f>
        <v/>
      </c>
    </row>
    <row r="3098" ht="15.75" customHeight="1" s="2">
      <c r="A3098" s="462" t="inlineStr">
        <is>
          <t>Productivity</t>
        </is>
      </c>
      <c r="B3098" s="472" t="n">
        <v>4.59</v>
      </c>
      <c r="C3098" s="1339">
        <f>C3094/C3100</f>
        <v/>
      </c>
      <c r="D3098" s="1339">
        <f>D3094/D3100</f>
        <v/>
      </c>
      <c r="E3098" s="472" t="n">
        <v>5.05</v>
      </c>
      <c r="F3098" s="1339">
        <f>F3094/F3100</f>
        <v/>
      </c>
      <c r="G3098" s="1339">
        <f>G3094/G3100</f>
        <v/>
      </c>
      <c r="H3098" s="472" t="n">
        <v>5.1</v>
      </c>
      <c r="I3098" s="1339">
        <f>I3094/I3100</f>
        <v/>
      </c>
      <c r="J3098" s="1339">
        <f>J3094/J3100</f>
        <v/>
      </c>
      <c r="K3098" s="472" t="n">
        <v>5.14</v>
      </c>
      <c r="L3098" s="1339">
        <f>L3094/L3100</f>
        <v/>
      </c>
      <c r="M3098" s="1339">
        <f>M3094/M3100</f>
        <v/>
      </c>
      <c r="N3098" s="472" t="n">
        <v>5.16</v>
      </c>
      <c r="O3098" s="1339">
        <f>O3094/O3100</f>
        <v/>
      </c>
      <c r="P3098" s="1339">
        <f>P3094/P3100</f>
        <v/>
      </c>
    </row>
    <row r="3099" ht="15.75" customHeight="1" s="2">
      <c r="A3099" s="462" t="inlineStr">
        <is>
          <t>Average Hourly Rate</t>
        </is>
      </c>
      <c r="B3099" s="1649" t="n">
        <v>39.42</v>
      </c>
      <c r="C3099" s="1339" t="n">
        <v>43</v>
      </c>
      <c r="D3099" s="1628" t="n">
        <v>43.39</v>
      </c>
      <c r="E3099" s="1649" t="n">
        <v>39.7</v>
      </c>
      <c r="F3099" s="1339" t="n">
        <v>43</v>
      </c>
      <c r="G3099" s="1628" t="n">
        <v>43.48</v>
      </c>
      <c r="H3099" s="1649" t="n">
        <v>39.27</v>
      </c>
      <c r="I3099" s="1339" t="n">
        <v>43</v>
      </c>
      <c r="J3099" s="1628" t="n">
        <v>43.18</v>
      </c>
      <c r="K3099" s="1649" t="n">
        <v>39.8</v>
      </c>
      <c r="L3099" s="1339" t="n">
        <v>43</v>
      </c>
      <c r="M3099" s="1628" t="n">
        <v>43.24</v>
      </c>
      <c r="N3099" s="1649" t="n">
        <v>44.74</v>
      </c>
      <c r="O3099" s="1339" t="n">
        <v>46.5</v>
      </c>
      <c r="P3099" s="1628" t="n">
        <v>49.16</v>
      </c>
    </row>
    <row r="3100" ht="15.75" customHeight="1" s="2">
      <c r="A3100" s="462" t="inlineStr">
        <is>
          <t>Total hours for productivity</t>
        </is>
      </c>
      <c r="B3100" s="466" t="n">
        <v>1066.25</v>
      </c>
      <c r="C3100" s="1339" t="n">
        <v>1040.25</v>
      </c>
      <c r="D3100" s="466" t="n">
        <v>1024.5</v>
      </c>
      <c r="E3100" s="466" t="n">
        <v>1077</v>
      </c>
      <c r="F3100" s="1339" t="n">
        <v>1038.5</v>
      </c>
      <c r="G3100" s="466" t="n">
        <v>980.25</v>
      </c>
      <c r="H3100" s="472" t="n">
        <v>1085.75</v>
      </c>
      <c r="I3100" s="1339">
        <f>546.5+466.5</f>
        <v/>
      </c>
      <c r="J3100" s="466" t="n">
        <v>970.75</v>
      </c>
      <c r="K3100" s="466" t="n">
        <v>1163.75</v>
      </c>
      <c r="L3100" s="1339" t="n">
        <v>1023.25</v>
      </c>
      <c r="M3100" s="466" t="n">
        <v>1004.75</v>
      </c>
      <c r="N3100" s="466" t="n">
        <v>1374.75</v>
      </c>
      <c r="O3100" s="1339" t="n">
        <v>1243.5</v>
      </c>
      <c r="P3100" s="466" t="n">
        <v>1223.75</v>
      </c>
    </row>
    <row r="3101" ht="15.75" customHeight="1" s="2">
      <c r="A3101" s="462" t="inlineStr">
        <is>
          <t>wage costed</t>
        </is>
      </c>
      <c r="B3101" s="466" t="n"/>
      <c r="C3101" s="1340">
        <f>C3100*C3099</f>
        <v/>
      </c>
      <c r="D3101" s="1340">
        <f>D3100*D3099</f>
        <v/>
      </c>
      <c r="E3101" s="466" t="n"/>
      <c r="F3101" s="1340">
        <f>F3100*F3099</f>
        <v/>
      </c>
      <c r="G3101" s="1340">
        <f>G3100*G3099</f>
        <v/>
      </c>
      <c r="H3101" s="466" t="n"/>
      <c r="I3101" s="1340">
        <f>I3100*I3099</f>
        <v/>
      </c>
      <c r="J3101" s="1340">
        <f>J3100*J3099</f>
        <v/>
      </c>
      <c r="K3101" s="466" t="n">
        <v>10</v>
      </c>
      <c r="L3101" s="1340">
        <f>L3100*L3099</f>
        <v/>
      </c>
      <c r="M3101" s="1340">
        <f>M3100*M3099</f>
        <v/>
      </c>
      <c r="N3101" s="466" t="n"/>
      <c r="O3101" s="1340">
        <f>O3100*O3099</f>
        <v/>
      </c>
      <c r="P3101" s="1340">
        <f>P3100*P3099</f>
        <v/>
      </c>
    </row>
    <row r="3102" ht="15.75" customHeight="1" s="2" thickBot="1">
      <c r="A3102" s="474" t="inlineStr">
        <is>
          <t>Number of hours used to cover sick leave</t>
        </is>
      </c>
      <c r="B3102" s="476" t="n">
        <v>5.5</v>
      </c>
      <c r="C3102" s="1342" t="n"/>
      <c r="D3102" s="476" t="n"/>
      <c r="E3102" s="476" t="n">
        <v>4.5</v>
      </c>
      <c r="F3102" s="1342" t="n"/>
      <c r="G3102" s="476" t="n">
        <v>21.5</v>
      </c>
      <c r="H3102" s="476" t="n">
        <v>8</v>
      </c>
      <c r="I3102" s="1342" t="n"/>
      <c r="J3102" s="476" t="n"/>
      <c r="K3102" s="476" t="n">
        <v>18</v>
      </c>
      <c r="L3102" s="1342" t="n"/>
      <c r="M3102" s="476" t="n">
        <v>18.5</v>
      </c>
      <c r="N3102" s="476" t="n"/>
      <c r="O3102" s="1342" t="n"/>
      <c r="P3102" s="476" t="n">
        <v>56.25</v>
      </c>
    </row>
    <row r="3103" ht="15.75" customHeight="1" s="2" thickBot="1">
      <c r="A3103" s="477" t="inlineStr">
        <is>
          <t xml:space="preserve">Minimum Hours </t>
        </is>
      </c>
      <c r="B3103" s="1171" t="n"/>
      <c r="C3103" s="816" t="inlineStr">
        <is>
          <t>Projected</t>
        </is>
      </c>
      <c r="D3103" s="935" t="inlineStr">
        <is>
          <t>Min Hrs</t>
        </is>
      </c>
      <c r="E3103" s="1171" t="n"/>
      <c r="F3103" s="816" t="inlineStr">
        <is>
          <t>Projected</t>
        </is>
      </c>
      <c r="G3103" s="935" t="inlineStr">
        <is>
          <t>Min Hrs</t>
        </is>
      </c>
      <c r="H3103" s="935" t="n"/>
      <c r="I3103" s="816" t="inlineStr">
        <is>
          <t>Projected</t>
        </is>
      </c>
      <c r="J3103" s="935" t="inlineStr">
        <is>
          <t>Min Hrs</t>
        </is>
      </c>
      <c r="K3103" s="935" t="n"/>
      <c r="L3103" s="816" t="inlineStr">
        <is>
          <t>Projected</t>
        </is>
      </c>
      <c r="M3103" s="935" t="inlineStr">
        <is>
          <t>Min Hrs</t>
        </is>
      </c>
      <c r="N3103" s="1171" t="n"/>
      <c r="O3103" s="816" t="inlineStr">
        <is>
          <t>Projected</t>
        </is>
      </c>
      <c r="P3103" s="935" t="inlineStr">
        <is>
          <t>Min Hrs</t>
        </is>
      </c>
    </row>
    <row r="3104" ht="15.75" customHeight="1" s="2">
      <c r="A3104" s="479" t="inlineStr">
        <is>
          <t>Floor</t>
        </is>
      </c>
      <c r="B3104" s="1172" t="n"/>
      <c r="C3104" s="810" t="n">
        <v>558.75</v>
      </c>
      <c r="D3104" s="811" t="n">
        <v>531</v>
      </c>
      <c r="E3104" s="1172" t="n"/>
      <c r="F3104" s="810" t="n">
        <v>571</v>
      </c>
      <c r="G3104" s="811" t="n">
        <v>517</v>
      </c>
      <c r="H3104" s="810" t="n"/>
      <c r="I3104" s="810" t="n">
        <v>546.5</v>
      </c>
      <c r="J3104" s="811" t="n">
        <v>531</v>
      </c>
      <c r="K3104" s="810" t="n"/>
      <c r="L3104" s="810" t="n">
        <v>588.25</v>
      </c>
      <c r="M3104" s="811" t="n">
        <v>531</v>
      </c>
      <c r="N3104" s="1172" t="n"/>
      <c r="O3104" s="810" t="n">
        <v>661.5</v>
      </c>
      <c r="P3104" s="811" t="n">
        <v>531</v>
      </c>
    </row>
    <row r="3105" ht="15.75" customHeight="1" s="2" thickBot="1">
      <c r="A3105" s="481" t="inlineStr">
        <is>
          <t>Kitchen</t>
        </is>
      </c>
      <c r="B3105" s="1173" t="n"/>
      <c r="C3105" s="813" t="n">
        <v>481.5</v>
      </c>
      <c r="D3105" s="814" t="n">
        <v>435</v>
      </c>
      <c r="E3105" s="1173" t="n"/>
      <c r="F3105" s="840" t="n">
        <v>467.5</v>
      </c>
      <c r="G3105" s="814" t="n">
        <v>437</v>
      </c>
      <c r="H3105" s="813" t="n"/>
      <c r="I3105" s="840" t="n">
        <v>466.5</v>
      </c>
      <c r="J3105" s="814" t="n">
        <v>435</v>
      </c>
      <c r="K3105" s="813" t="n"/>
      <c r="L3105" s="840" t="n">
        <v>478</v>
      </c>
      <c r="M3105" s="814" t="n">
        <v>435</v>
      </c>
      <c r="N3105" s="1173" t="n"/>
      <c r="O3105" s="813" t="n">
        <v>582</v>
      </c>
      <c r="P3105" s="814" t="n">
        <v>435</v>
      </c>
    </row>
    <row r="3106" ht="15.75" customHeight="1" s="2" thickBot="1">
      <c r="A3106" s="834" t="n"/>
      <c r="B3106" s="836" t="n"/>
      <c r="C3106" s="1220" t="n"/>
      <c r="D3106" s="1220" t="n"/>
      <c r="E3106" s="839" t="n"/>
      <c r="F3106" s="1220" t="n"/>
      <c r="G3106" s="1220" t="n"/>
      <c r="H3106" s="839" t="n"/>
      <c r="I3106" s="1220" t="n"/>
      <c r="J3106" s="1220" t="n"/>
      <c r="K3106" s="839" t="n"/>
      <c r="L3106" s="1220" t="n"/>
      <c r="M3106" s="1220" t="n"/>
      <c r="N3106" s="839" t="n"/>
      <c r="O3106" s="835" t="n"/>
      <c r="P3106" s="835" t="n"/>
    </row>
    <row r="3107" ht="15.75" customHeight="1" s="2">
      <c r="A3107" s="506" t="inlineStr">
        <is>
          <t>Training explanation</t>
        </is>
      </c>
      <c r="B3107" s="837" t="n"/>
      <c r="C3107" s="1220" t="n"/>
      <c r="D3107" s="1220" t="n"/>
      <c r="E3107" s="837" t="n"/>
      <c r="F3107" s="1220" t="n"/>
      <c r="G3107" s="1220" t="n"/>
      <c r="H3107" s="837" t="n"/>
      <c r="I3107" s="1220" t="n"/>
      <c r="J3107" s="1220" t="n"/>
      <c r="K3107" s="837" t="n"/>
      <c r="L3107" s="1220" t="n"/>
      <c r="M3107" s="1220" t="n"/>
      <c r="N3107" s="837" t="n"/>
      <c r="O3107" s="835" t="n"/>
      <c r="P3107" s="835" t="n"/>
    </row>
    <row r="3108" ht="15.75" customHeight="1" s="2" thickBot="1">
      <c r="A3108" s="506" t="inlineStr">
        <is>
          <t>Who is being Trained</t>
        </is>
      </c>
      <c r="B3108" s="838" t="n"/>
      <c r="C3108" s="1221" t="n"/>
      <c r="D3108" s="1221" t="n"/>
      <c r="E3108" s="838" t="n"/>
      <c r="F3108" s="1221" t="n"/>
      <c r="G3108" s="1221" t="n"/>
      <c r="H3108" s="838" t="n"/>
      <c r="I3108" s="1221" t="n"/>
      <c r="J3108" s="1221" t="n"/>
      <c r="K3108" s="838" t="n"/>
      <c r="L3108" s="1221" t="n"/>
      <c r="M3108" s="1221" t="n"/>
      <c r="N3108" s="838" t="n"/>
    </row>
    <row r="3109" ht="15.75" customHeight="1" s="2" thickBot="1">
      <c r="A3109" s="506" t="n"/>
      <c r="C3109" s="523" t="inlineStr">
        <is>
          <t>floor</t>
        </is>
      </c>
      <c r="D3109" s="524" t="inlineStr">
        <is>
          <t>kitchen</t>
        </is>
      </c>
      <c r="E3109" s="509" t="n"/>
      <c r="F3109" s="507" t="inlineStr">
        <is>
          <t>floor</t>
        </is>
      </c>
      <c r="G3109" s="508" t="inlineStr">
        <is>
          <t>kitchen</t>
        </is>
      </c>
      <c r="H3109" s="510" t="n"/>
      <c r="I3109" s="535" t="inlineStr">
        <is>
          <t>floor</t>
        </is>
      </c>
      <c r="J3109" s="511" t="inlineStr">
        <is>
          <t>kitchen</t>
        </is>
      </c>
      <c r="K3109" s="512" t="n"/>
      <c r="L3109" s="535" t="inlineStr">
        <is>
          <t>floor</t>
        </is>
      </c>
      <c r="M3109" s="513" t="inlineStr">
        <is>
          <t>kitchen</t>
        </is>
      </c>
      <c r="N3109" s="512" t="n"/>
      <c r="O3109" s="535" t="inlineStr">
        <is>
          <t>floor</t>
        </is>
      </c>
      <c r="P3109" s="513" t="inlineStr">
        <is>
          <t>kitchen</t>
        </is>
      </c>
    </row>
    <row r="3110" ht="15.75" customHeight="1" s="2">
      <c r="A3110" s="506" t="n"/>
      <c r="C3110" s="525" t="n"/>
      <c r="D3110" s="527" t="n"/>
      <c r="E3110" s="514" t="n"/>
      <c r="F3110" s="525" t="n"/>
      <c r="G3110" s="527" t="n"/>
      <c r="H3110" s="515" t="n"/>
      <c r="I3110" s="531" t="n"/>
      <c r="J3110" s="824" t="n"/>
      <c r="K3110" s="515" t="n"/>
      <c r="L3110" s="536" t="n"/>
      <c r="M3110" s="532" t="n"/>
      <c r="N3110" s="515" t="n"/>
      <c r="O3110" s="536" t="n"/>
      <c r="P3110" s="532" t="n"/>
    </row>
    <row r="3111" ht="15.75" customHeight="1" s="2">
      <c r="C3111" s="891" t="n"/>
      <c r="D3111" s="526" t="n"/>
      <c r="E3111" s="514" t="n"/>
      <c r="F3111" s="891" t="n"/>
      <c r="G3111" s="526" t="n"/>
      <c r="H3111" s="516" t="n"/>
      <c r="I3111" s="1656" t="n"/>
      <c r="J3111" s="530" t="n"/>
      <c r="K3111" s="516" t="n"/>
      <c r="L3111" s="542" t="n"/>
      <c r="M3111" s="530" t="n"/>
      <c r="N3111" s="516" t="n"/>
      <c r="O3111" s="542" t="n"/>
      <c r="P3111" s="530" t="n"/>
    </row>
    <row r="3112" ht="15.75" customHeight="1" s="2">
      <c r="C3112" s="550" t="n"/>
      <c r="D3112" s="527" t="n"/>
      <c r="E3112" s="514" t="n"/>
      <c r="F3112" s="531" t="n"/>
      <c r="G3112" s="530" t="n"/>
      <c r="H3112" s="516" t="n"/>
      <c r="I3112" s="537" t="n"/>
      <c r="J3112" s="530" t="n"/>
      <c r="K3112" s="516" t="n"/>
      <c r="L3112" s="1657" t="n"/>
      <c r="M3112" s="539" t="n"/>
      <c r="N3112" s="516" t="n"/>
      <c r="O3112" s="542" t="n"/>
      <c r="P3112" s="539" t="n"/>
    </row>
    <row r="3113" ht="15.75" customHeight="1" s="2">
      <c r="C3113" s="561" t="n"/>
      <c r="D3113" s="561" t="n"/>
      <c r="E3113" s="519" t="n"/>
      <c r="F3113" s="517" t="n"/>
      <c r="G3113" s="1659" t="n"/>
      <c r="H3113" s="516" t="n"/>
      <c r="I3113" s="537" t="n"/>
      <c r="J3113" s="530" t="n"/>
      <c r="K3113" s="516" t="n"/>
      <c r="L3113" s="537" t="n"/>
      <c r="M3113" s="539" t="n"/>
      <c r="N3113" s="516" t="n"/>
      <c r="O3113" s="537" t="n"/>
      <c r="P3113" s="539" t="n"/>
    </row>
    <row r="3114" ht="15.75" customHeight="1" s="2">
      <c r="C3114" s="551" t="n"/>
      <c r="D3114" s="528" t="n"/>
      <c r="E3114" s="519" t="n"/>
      <c r="F3114" s="517" t="n"/>
      <c r="G3114" s="518" t="n"/>
      <c r="H3114" s="516" t="n"/>
      <c r="I3114" s="537" t="n"/>
      <c r="J3114" s="533" t="n"/>
      <c r="K3114" s="516" t="n"/>
      <c r="L3114" s="537" t="n"/>
      <c r="M3114" s="540" t="n"/>
      <c r="N3114" s="516" t="n"/>
      <c r="O3114" s="537" t="n"/>
      <c r="P3114" s="540" t="n"/>
    </row>
    <row r="3119" ht="15.75" customHeight="1" s="2" thickBot="1"/>
    <row r="3120" ht="15.75" customHeight="1" s="2" thickBot="1">
      <c r="B3120" s="1482" t="n"/>
      <c r="C3120" s="1483" t="inlineStr">
        <is>
          <t>13.10.2025</t>
        </is>
      </c>
      <c r="D3120" s="1484" t="n"/>
      <c r="E3120" s="1485" t="n"/>
      <c r="F3120" s="1486" t="inlineStr">
        <is>
          <t>20.10.2025</t>
        </is>
      </c>
      <c r="G3120" s="1487" t="n"/>
      <c r="H3120" s="1485" t="n"/>
      <c r="I3120" s="1486" t="inlineStr">
        <is>
          <t>27.10.2025</t>
        </is>
      </c>
      <c r="J3120" s="1487" t="n"/>
      <c r="K3120" s="1485" t="n"/>
      <c r="L3120" s="1486" t="inlineStr">
        <is>
          <t>03.11.2025</t>
        </is>
      </c>
      <c r="M3120" s="1487" t="n"/>
      <c r="N3120" s="1488" t="n"/>
      <c r="O3120" s="1489" t="inlineStr">
        <is>
          <t>10.11.2025</t>
        </is>
      </c>
      <c r="P3120" s="1490" t="n"/>
    </row>
    <row r="3121" ht="15.75" customHeight="1" s="2" thickBot="1">
      <c r="A3121" s="455" t="n"/>
      <c r="B3121" s="1217" t="inlineStr">
        <is>
          <t>LAST YEAR</t>
        </is>
      </c>
      <c r="C3121" s="1219" t="inlineStr">
        <is>
          <t>Projected</t>
        </is>
      </c>
      <c r="D3121" s="1218" t="inlineStr">
        <is>
          <t>Actual</t>
        </is>
      </c>
      <c r="E3121" s="1217" t="inlineStr">
        <is>
          <t>LAST YEAR</t>
        </is>
      </c>
      <c r="F3121" s="1219" t="inlineStr">
        <is>
          <t>Projected</t>
        </is>
      </c>
      <c r="G3121" s="1218" t="inlineStr">
        <is>
          <t>Actual</t>
        </is>
      </c>
      <c r="H3121" s="1217" t="inlineStr">
        <is>
          <t>LAST YEAR</t>
        </is>
      </c>
      <c r="I3121" s="1219" t="inlineStr">
        <is>
          <t>Projected</t>
        </is>
      </c>
      <c r="J3121" s="1218" t="inlineStr">
        <is>
          <t>Actual</t>
        </is>
      </c>
      <c r="K3121" s="1217" t="inlineStr">
        <is>
          <t>LAST YEAR</t>
        </is>
      </c>
      <c r="L3121" s="1219" t="inlineStr">
        <is>
          <t>Projected</t>
        </is>
      </c>
      <c r="M3121" s="1218" t="inlineStr">
        <is>
          <t>Actual</t>
        </is>
      </c>
      <c r="N3121" s="1217" t="inlineStr">
        <is>
          <t>LAST YEAR</t>
        </is>
      </c>
      <c r="O3121" s="1219" t="inlineStr">
        <is>
          <t>Projected</t>
        </is>
      </c>
      <c r="P3121" s="1218" t="inlineStr">
        <is>
          <t>Actual</t>
        </is>
      </c>
    </row>
    <row r="3122" ht="15.75" customHeight="1" s="2">
      <c r="A3122" s="459" t="inlineStr">
        <is>
          <t>Total Receipts</t>
        </is>
      </c>
      <c r="B3122" s="1645" t="n">
        <v>138575.98</v>
      </c>
      <c r="C3122" s="1692" t="n">
        <v>160510</v>
      </c>
      <c r="D3122" s="1622" t="n">
        <v>137364.09</v>
      </c>
      <c r="E3122" s="1645" t="n">
        <v>121933.37</v>
      </c>
      <c r="F3122" s="1692" t="n">
        <v>124104</v>
      </c>
      <c r="G3122" s="1622" t="n">
        <v>101374.38</v>
      </c>
      <c r="H3122" s="1645" t="n">
        <v>146912.96</v>
      </c>
      <c r="I3122" s="1692" t="n">
        <v>134198</v>
      </c>
      <c r="J3122" s="1622" t="n">
        <v>116629.41</v>
      </c>
      <c r="K3122" s="1645" t="n">
        <v>168520.42</v>
      </c>
      <c r="L3122" s="1692" t="n">
        <v>157025</v>
      </c>
      <c r="M3122" s="1622" t="n">
        <v>153874.01</v>
      </c>
      <c r="N3122" s="1645" t="n">
        <v>147505.67</v>
      </c>
      <c r="O3122" s="1692" t="n">
        <v>119505</v>
      </c>
      <c r="P3122" s="1622" t="n">
        <v>119396.74</v>
      </c>
    </row>
    <row r="3123" ht="15.75" customHeight="1" s="2">
      <c r="A3123" s="462" t="inlineStr">
        <is>
          <t>Nett Sales</t>
        </is>
      </c>
      <c r="B3123" s="1625" t="n">
        <v>125978.16</v>
      </c>
      <c r="C3123" s="1694" t="n">
        <v>145918.4</v>
      </c>
      <c r="D3123" s="1625" t="n">
        <v>124876.45</v>
      </c>
      <c r="E3123" s="1637" t="n">
        <v>110848.52</v>
      </c>
      <c r="F3123" s="1694" t="n">
        <v>112821.6</v>
      </c>
      <c r="G3123" s="1625" t="n">
        <v>92158.53</v>
      </c>
      <c r="H3123" s="1625" t="n">
        <v>133557.24</v>
      </c>
      <c r="I3123" s="1694" t="n">
        <v>121997.7</v>
      </c>
      <c r="J3123" s="1625" t="n">
        <v>101026.74</v>
      </c>
      <c r="K3123" s="1625" t="n">
        <v>153200.38</v>
      </c>
      <c r="L3123" s="1694" t="n">
        <v>142748.4</v>
      </c>
      <c r="M3123" s="1625" t="n">
        <v>139885.46</v>
      </c>
      <c r="N3123" s="1625" t="n">
        <v>134096.06</v>
      </c>
      <c r="O3123" s="1694" t="n">
        <v>108640.7</v>
      </c>
      <c r="P3123" s="1625" t="n">
        <v>108542.49</v>
      </c>
    </row>
    <row r="3124" ht="15.75" customHeight="1" s="2">
      <c r="A3124" s="462" t="inlineStr">
        <is>
          <t>Customers</t>
        </is>
      </c>
      <c r="B3124" s="466" t="n">
        <v>5782</v>
      </c>
      <c r="C3124" s="1333" t="n">
        <v>6420</v>
      </c>
      <c r="D3124" s="1655" t="n">
        <v>5459</v>
      </c>
      <c r="E3124" s="466" t="n">
        <v>4937</v>
      </c>
      <c r="F3124" s="1333" t="n">
        <v>4960</v>
      </c>
      <c r="G3124" s="1655" t="n">
        <v>3870</v>
      </c>
      <c r="H3124" s="466" t="n">
        <v>5866</v>
      </c>
      <c r="I3124" s="1333" t="n">
        <v>5365</v>
      </c>
      <c r="J3124" s="1655" t="n">
        <v>4588</v>
      </c>
      <c r="K3124" s="466" t="n">
        <v>6454</v>
      </c>
      <c r="L3124" s="1333" t="n">
        <v>6250</v>
      </c>
      <c r="M3124" s="1655" t="n">
        <v>5813</v>
      </c>
      <c r="N3124" s="1655" t="n">
        <v>5486</v>
      </c>
      <c r="O3124" s="1333" t="n">
        <v>4775</v>
      </c>
      <c r="P3124" s="1655" t="n">
        <v>4609</v>
      </c>
    </row>
    <row r="3125" ht="15.75" customHeight="1" s="2">
      <c r="A3125" s="462" t="inlineStr">
        <is>
          <t>Average Customer Spend</t>
        </is>
      </c>
      <c r="B3125" s="1649" t="n">
        <v>23.96</v>
      </c>
      <c r="C3125" s="1699" t="n">
        <v>25</v>
      </c>
      <c r="D3125" s="1628" t="n">
        <v>25.16</v>
      </c>
      <c r="E3125" s="1649" t="n">
        <v>24.69</v>
      </c>
      <c r="F3125" s="1699" t="n">
        <v>25.02</v>
      </c>
      <c r="G3125" s="1628" t="n">
        <v>26.19</v>
      </c>
      <c r="H3125" s="1649" t="n">
        <v>25.04</v>
      </c>
      <c r="I3125" s="1699" t="n">
        <v>25.01</v>
      </c>
      <c r="J3125" s="1628" t="n">
        <v>25.42</v>
      </c>
      <c r="K3125" s="1649" t="n">
        <v>26.11</v>
      </c>
      <c r="L3125" s="1699" t="n">
        <v>25.12</v>
      </c>
      <c r="M3125" s="1628" t="n">
        <v>26.47</v>
      </c>
      <c r="N3125" s="1649" t="n">
        <v>26.91</v>
      </c>
      <c r="O3125" s="1699" t="n">
        <v>25.03</v>
      </c>
      <c r="P3125" s="1628" t="n">
        <v>25.9</v>
      </c>
    </row>
    <row r="3126" ht="15.75" customHeight="1" s="2">
      <c r="A3126" s="462" t="inlineStr">
        <is>
          <t>Wage % to Total Receipts</t>
        </is>
      </c>
      <c r="B3126" s="863" t="n">
        <v>0.3306</v>
      </c>
      <c r="C3126" s="1337">
        <f>C3131/C3122</f>
        <v/>
      </c>
      <c r="D3126" s="1337">
        <f>D3131/D3122</f>
        <v/>
      </c>
      <c r="E3126" s="863" t="n">
        <v>0.3524</v>
      </c>
      <c r="F3126" s="1337">
        <f>F3131/F3122</f>
        <v/>
      </c>
      <c r="G3126" s="1337">
        <f>G3131/G3122</f>
        <v/>
      </c>
      <c r="H3126" s="863" t="n">
        <v>0.2911</v>
      </c>
      <c r="I3126" s="1337">
        <f>I3131/I3122</f>
        <v/>
      </c>
      <c r="J3126" s="1337">
        <f>J3131/J3122</f>
        <v/>
      </c>
      <c r="K3126" s="863" t="n">
        <v>0.2567</v>
      </c>
      <c r="L3126" s="1337">
        <f>L3131/L3122</f>
        <v/>
      </c>
      <c r="M3126" s="1337">
        <f>M3131/M3122</f>
        <v/>
      </c>
      <c r="N3126" s="863" t="n">
        <v>0.2782</v>
      </c>
      <c r="O3126" s="1337">
        <f>O3131/O3122</f>
        <v/>
      </c>
      <c r="P3126" s="1337">
        <f>P3131/P3122</f>
        <v/>
      </c>
    </row>
    <row r="3127" ht="15.75" customHeight="1" s="2">
      <c r="A3127" s="462" t="inlineStr">
        <is>
          <t>Wage % to Nett Sales</t>
        </is>
      </c>
      <c r="B3127" s="863" t="n">
        <v>0.3636</v>
      </c>
      <c r="C3127" s="1337">
        <f>C3131/C3123</f>
        <v/>
      </c>
      <c r="D3127" s="1337">
        <f>D3131/D3123</f>
        <v/>
      </c>
      <c r="E3127" s="863" t="n">
        <v>0.3876</v>
      </c>
      <c r="F3127" s="1337">
        <f>F3131/F3123</f>
        <v/>
      </c>
      <c r="G3127" s="1337">
        <f>G3131/G3123</f>
        <v/>
      </c>
      <c r="H3127" s="863" t="n">
        <v>0.3202</v>
      </c>
      <c r="I3127" s="1337">
        <f>I3131/I3123</f>
        <v/>
      </c>
      <c r="J3127" s="1337">
        <f>J3131/J3123</f>
        <v/>
      </c>
      <c r="K3127" s="863" t="n">
        <v>0.2824</v>
      </c>
      <c r="L3127" s="1337">
        <f>L3131/L3123</f>
        <v/>
      </c>
      <c r="M3127" s="1337">
        <f>M3131/M3123</f>
        <v/>
      </c>
      <c r="N3127" s="863" t="n">
        <v>0.306</v>
      </c>
      <c r="O3127" s="1337">
        <f>O3131/O3123</f>
        <v/>
      </c>
      <c r="P3127" s="1337">
        <f>P3131/P3123</f>
        <v/>
      </c>
    </row>
    <row r="3128" ht="15.75" customHeight="1" s="2">
      <c r="A3128" s="462" t="inlineStr">
        <is>
          <t>Productivity</t>
        </is>
      </c>
      <c r="B3128" s="472" t="n">
        <v>5.06</v>
      </c>
      <c r="C3128" s="1339">
        <f>C3124/C3130</f>
        <v/>
      </c>
      <c r="D3128" s="1339">
        <f>D3124/D3130</f>
        <v/>
      </c>
      <c r="E3128" s="472" t="n">
        <v>4.78</v>
      </c>
      <c r="F3128" s="1339">
        <f>F3124/F3130</f>
        <v/>
      </c>
      <c r="G3128" s="1339">
        <f>G3124/G3130</f>
        <v/>
      </c>
      <c r="H3128" s="472" t="n">
        <v>5.7</v>
      </c>
      <c r="I3128" s="1339">
        <f>I3124/I3130</f>
        <v/>
      </c>
      <c r="J3128" s="1339">
        <f>J3124/J3130</f>
        <v/>
      </c>
      <c r="K3128" s="472" t="n">
        <v>6.16</v>
      </c>
      <c r="L3128" s="1339">
        <f>L3124/L3130</f>
        <v/>
      </c>
      <c r="M3128" s="1339">
        <f>M3124/M3130</f>
        <v/>
      </c>
      <c r="N3128" s="472" t="n">
        <v>5.4</v>
      </c>
      <c r="O3128" s="1339">
        <f>O3124/O3130</f>
        <v/>
      </c>
      <c r="P3128" s="1339">
        <f>P3124/P3130</f>
        <v/>
      </c>
    </row>
    <row r="3129" ht="15.75" customHeight="1" s="2">
      <c r="A3129" s="462" t="inlineStr">
        <is>
          <t>Average Hourly Rate</t>
        </is>
      </c>
      <c r="B3129" s="1649" t="n">
        <v>40.11</v>
      </c>
      <c r="C3129" s="1339" t="n">
        <v>43</v>
      </c>
      <c r="D3129" s="1628" t="n">
        <v>42.78</v>
      </c>
      <c r="E3129" s="1649" t="n">
        <v>41.57</v>
      </c>
      <c r="F3129" s="1339" t="n">
        <v>43</v>
      </c>
      <c r="G3129" s="1628" t="n">
        <v>43.62</v>
      </c>
      <c r="H3129" s="1649" t="n">
        <v>41.54</v>
      </c>
      <c r="I3129" s="1339" t="n">
        <v>43</v>
      </c>
      <c r="J3129" s="1628" t="n">
        <v>44.26</v>
      </c>
      <c r="K3129" s="1649" t="n">
        <v>41.29</v>
      </c>
      <c r="L3129" s="1339" t="n">
        <v>43</v>
      </c>
      <c r="M3129" s="1628" t="n">
        <v>44.4</v>
      </c>
      <c r="N3129" s="1649" t="n">
        <v>40.36</v>
      </c>
      <c r="O3129" s="1339" t="n">
        <v>43</v>
      </c>
      <c r="P3129" s="1628" t="n">
        <v>43</v>
      </c>
    </row>
    <row r="3130" ht="15.75" customHeight="1" s="2">
      <c r="A3130" s="462" t="inlineStr">
        <is>
          <t>Total hours for productivity</t>
        </is>
      </c>
      <c r="B3130" s="466" t="n">
        <v>1142</v>
      </c>
      <c r="C3130" s="1339" t="n">
        <v>1132.75</v>
      </c>
      <c r="D3130" s="466" t="n">
        <v>1078.75</v>
      </c>
      <c r="E3130" s="466" t="n">
        <v>1033.75</v>
      </c>
      <c r="F3130" s="1339" t="n">
        <v>957.75</v>
      </c>
      <c r="G3130" s="466" t="n">
        <v>889.75</v>
      </c>
      <c r="H3130" s="472" t="n">
        <v>1029.75</v>
      </c>
      <c r="I3130" s="1339" t="n">
        <v>973.25</v>
      </c>
      <c r="J3130" s="466" t="n">
        <v>941.5</v>
      </c>
      <c r="K3130" s="466" t="n">
        <v>1047.75</v>
      </c>
      <c r="L3130" s="1339" t="n">
        <v>1057.75</v>
      </c>
      <c r="M3130" s="466" t="n">
        <v>1032.5</v>
      </c>
      <c r="N3130" s="466" t="n">
        <v>1016.75</v>
      </c>
      <c r="O3130" s="1339" t="n">
        <v>906.5</v>
      </c>
      <c r="P3130" s="466" t="n">
        <v>895.75</v>
      </c>
    </row>
    <row r="3131" ht="15.75" customHeight="1" s="2">
      <c r="A3131" s="462" t="inlineStr">
        <is>
          <t>wage costed</t>
        </is>
      </c>
      <c r="B3131" s="466" t="n">
        <v>15</v>
      </c>
      <c r="C3131" s="1340">
        <f>C3130*C3129</f>
        <v/>
      </c>
      <c r="D3131" s="1340">
        <f>D3130*D3129</f>
        <v/>
      </c>
      <c r="E3131" s="466" t="n">
        <v>30</v>
      </c>
      <c r="F3131" s="1340">
        <f>F3130*F3129</f>
        <v/>
      </c>
      <c r="G3131" s="1340">
        <f>G3130*G3129</f>
        <v/>
      </c>
      <c r="H3131" s="466" t="n"/>
      <c r="I3131" s="1340">
        <f>I3130*I3129</f>
        <v/>
      </c>
      <c r="J3131" s="1340">
        <f>J3130*J3129</f>
        <v/>
      </c>
      <c r="K3131" s="466" t="n"/>
      <c r="L3131" s="1340">
        <f>L3130*L3129</f>
        <v/>
      </c>
      <c r="M3131" s="1340">
        <f>M3130*M3129</f>
        <v/>
      </c>
      <c r="N3131" s="466" t="n"/>
      <c r="O3131" s="1340">
        <f>O3130*O3129</f>
        <v/>
      </c>
      <c r="P3131" s="1340">
        <f>P3130*P3129</f>
        <v/>
      </c>
    </row>
    <row r="3132" ht="15.75" customHeight="1" s="2" thickBot="1">
      <c r="A3132" s="474" t="inlineStr">
        <is>
          <t>Number of hours used to cover sick leave</t>
        </is>
      </c>
      <c r="B3132" s="476" t="n"/>
      <c r="C3132" s="1342" t="n"/>
      <c r="D3132" s="476" t="n">
        <v>23.5</v>
      </c>
      <c r="E3132" s="476" t="n"/>
      <c r="F3132" s="1342" t="n"/>
      <c r="G3132" s="476" t="n"/>
      <c r="H3132" s="476" t="n"/>
      <c r="I3132" s="1342" t="n"/>
      <c r="J3132" s="476" t="n">
        <v>22.5</v>
      </c>
      <c r="K3132" s="476" t="n">
        <v>13.5</v>
      </c>
      <c r="L3132" s="1342" t="n"/>
      <c r="M3132" s="476" t="n">
        <v>20.5</v>
      </c>
      <c r="N3132" s="476" t="n"/>
      <c r="O3132" s="1342" t="n"/>
      <c r="P3132" s="476" t="n">
        <v>9.5</v>
      </c>
    </row>
    <row r="3133" ht="15.75" customHeight="1" s="2" thickBot="1">
      <c r="A3133" s="477" t="inlineStr">
        <is>
          <t xml:space="preserve">Minimum Hours </t>
        </is>
      </c>
      <c r="B3133" s="1171" t="n"/>
      <c r="C3133" s="816" t="inlineStr">
        <is>
          <t>Projected</t>
        </is>
      </c>
      <c r="D3133" s="935" t="inlineStr">
        <is>
          <t>Min Hrs</t>
        </is>
      </c>
      <c r="E3133" s="1171" t="n"/>
      <c r="F3133" s="816" t="inlineStr">
        <is>
          <t>Projected</t>
        </is>
      </c>
      <c r="G3133" s="935" t="inlineStr">
        <is>
          <t>Min Hrs</t>
        </is>
      </c>
      <c r="H3133" s="935" t="n"/>
      <c r="I3133" s="816" t="inlineStr">
        <is>
          <t>Projected</t>
        </is>
      </c>
      <c r="J3133" s="935" t="inlineStr">
        <is>
          <t>Min Hrs</t>
        </is>
      </c>
      <c r="K3133" s="935" t="n"/>
      <c r="L3133" s="816" t="inlineStr">
        <is>
          <t>Projected</t>
        </is>
      </c>
      <c r="M3133" s="935" t="inlineStr">
        <is>
          <t>Min Hrs</t>
        </is>
      </c>
      <c r="N3133" s="1171" t="n"/>
      <c r="O3133" s="816" t="inlineStr">
        <is>
          <t>Projected</t>
        </is>
      </c>
      <c r="P3133" s="935" t="inlineStr">
        <is>
          <t>Min Hrs</t>
        </is>
      </c>
    </row>
    <row r="3134" ht="15.75" customHeight="1" s="2">
      <c r="A3134" s="479" t="inlineStr">
        <is>
          <t>Floor</t>
        </is>
      </c>
      <c r="B3134" s="1172" t="n"/>
      <c r="C3134" s="810" t="n">
        <v>622.75</v>
      </c>
      <c r="D3134" s="811" t="n">
        <v>531</v>
      </c>
      <c r="E3134" s="1172" t="n"/>
      <c r="F3134" s="810" t="n">
        <v>498.25</v>
      </c>
      <c r="G3134" s="811" t="n">
        <v>531</v>
      </c>
      <c r="H3134" s="810" t="n"/>
      <c r="I3134" s="810" t="n">
        <v>501.25</v>
      </c>
      <c r="J3134" s="811" t="n">
        <v>531</v>
      </c>
      <c r="K3134" s="810" t="n"/>
      <c r="L3134" s="810" t="n">
        <v>563.75</v>
      </c>
      <c r="M3134" s="811" t="n">
        <v>531</v>
      </c>
      <c r="N3134" s="1172" t="n"/>
      <c r="O3134" s="810" t="n">
        <v>477.5</v>
      </c>
      <c r="P3134" s="811" t="n">
        <v>347</v>
      </c>
    </row>
    <row r="3135" ht="15.75" customHeight="1" s="2" thickBot="1">
      <c r="A3135" s="481" t="inlineStr">
        <is>
          <t>Kitchen</t>
        </is>
      </c>
      <c r="B3135" s="1173" t="n"/>
      <c r="C3135" s="813" t="n">
        <v>510</v>
      </c>
      <c r="D3135" s="814" t="n">
        <v>435</v>
      </c>
      <c r="E3135" s="1173" t="n"/>
      <c r="F3135" s="840" t="n">
        <v>459.5</v>
      </c>
      <c r="G3135" s="814" t="n">
        <v>435</v>
      </c>
      <c r="H3135" s="813" t="n"/>
      <c r="I3135" s="840" t="n">
        <v>472</v>
      </c>
      <c r="J3135" s="814" t="n">
        <v>435</v>
      </c>
      <c r="K3135" s="813" t="n"/>
      <c r="L3135" s="840" t="n">
        <v>494</v>
      </c>
      <c r="M3135" s="814" t="n">
        <v>435</v>
      </c>
      <c r="N3135" s="1173" t="n"/>
      <c r="O3135" s="813" t="n">
        <v>429</v>
      </c>
      <c r="P3135" s="814" t="n">
        <v>435</v>
      </c>
    </row>
    <row r="3136" ht="15.75" customHeight="1" s="2" thickBot="1">
      <c r="A3136" s="834" t="n"/>
      <c r="B3136" s="836" t="n"/>
      <c r="C3136" s="1220" t="n"/>
      <c r="D3136" s="1220" t="n"/>
      <c r="E3136" s="839" t="n"/>
      <c r="F3136" s="1220" t="n"/>
      <c r="G3136" s="1220" t="n"/>
      <c r="H3136" s="839" t="n"/>
      <c r="I3136" s="1220" t="n"/>
      <c r="J3136" s="1220" t="n"/>
      <c r="K3136" s="839" t="n"/>
      <c r="L3136" s="1220" t="n"/>
      <c r="M3136" s="1220" t="n"/>
      <c r="N3136" s="839" t="n"/>
      <c r="O3136" s="835" t="n"/>
      <c r="P3136" s="835" t="n"/>
    </row>
    <row r="3137" ht="15.75" customHeight="1" s="2">
      <c r="A3137" s="506" t="inlineStr">
        <is>
          <t>Training explanation</t>
        </is>
      </c>
      <c r="B3137" s="837" t="n"/>
      <c r="C3137" s="1220" t="n"/>
      <c r="D3137" s="1220" t="n"/>
      <c r="E3137" s="837" t="n"/>
      <c r="F3137" s="1220" t="n"/>
      <c r="G3137" s="1220" t="n"/>
      <c r="H3137" s="837" t="n"/>
      <c r="I3137" s="1220" t="n"/>
      <c r="J3137" s="1220" t="n"/>
      <c r="K3137" s="837" t="n"/>
      <c r="L3137" s="1220" t="n"/>
      <c r="M3137" s="1220" t="n"/>
      <c r="N3137" s="837" t="n"/>
      <c r="O3137" s="835" t="n"/>
      <c r="P3137" s="835" t="n"/>
    </row>
    <row r="3138" ht="15.75" customHeight="1" s="2" thickBot="1">
      <c r="A3138" s="506" t="inlineStr">
        <is>
          <t>Who is being Trained</t>
        </is>
      </c>
      <c r="B3138" s="838" t="n"/>
      <c r="C3138" s="1221" t="n"/>
      <c r="D3138" s="1221" t="n"/>
      <c r="E3138" s="838" t="n"/>
      <c r="F3138" s="1221" t="n"/>
      <c r="G3138" s="1221" t="n"/>
      <c r="H3138" s="838" t="n"/>
      <c r="I3138" s="1221" t="n"/>
      <c r="J3138" s="1221" t="n"/>
      <c r="K3138" s="838" t="n"/>
      <c r="L3138" s="1221" t="n"/>
      <c r="M3138" s="1221" t="n"/>
      <c r="N3138" s="838" t="n"/>
    </row>
    <row r="3139" ht="15.75" customHeight="1" s="2" thickBot="1">
      <c r="A3139" s="506" t="n"/>
      <c r="C3139" s="523" t="inlineStr">
        <is>
          <t>floor</t>
        </is>
      </c>
      <c r="D3139" s="524" t="inlineStr">
        <is>
          <t>kitchen</t>
        </is>
      </c>
      <c r="E3139" s="509" t="n"/>
      <c r="F3139" s="507" t="inlineStr">
        <is>
          <t>floor</t>
        </is>
      </c>
      <c r="G3139" s="508" t="inlineStr">
        <is>
          <t>kitchen</t>
        </is>
      </c>
      <c r="H3139" s="510" t="n"/>
      <c r="I3139" s="535" t="inlineStr">
        <is>
          <t>floor</t>
        </is>
      </c>
      <c r="J3139" s="511" t="inlineStr">
        <is>
          <t>kitchen</t>
        </is>
      </c>
      <c r="K3139" s="512" t="n"/>
      <c r="L3139" s="535" t="inlineStr">
        <is>
          <t>floor</t>
        </is>
      </c>
      <c r="M3139" s="513" t="inlineStr">
        <is>
          <t>kitchen</t>
        </is>
      </c>
      <c r="N3139" s="512" t="n"/>
      <c r="O3139" s="535" t="inlineStr">
        <is>
          <t>floor</t>
        </is>
      </c>
      <c r="P3139" s="513" t="inlineStr">
        <is>
          <t>kitchen</t>
        </is>
      </c>
    </row>
    <row r="3140" ht="15.75" customHeight="1" s="2">
      <c r="A3140" s="506" t="n"/>
      <c r="C3140" s="525" t="n"/>
      <c r="D3140" s="527" t="n"/>
      <c r="E3140" s="514" t="n"/>
      <c r="F3140" s="525" t="n"/>
      <c r="G3140" s="527" t="n"/>
      <c r="H3140" s="515" t="n"/>
      <c r="I3140" s="531" t="n"/>
      <c r="J3140" s="824" t="n"/>
      <c r="K3140" s="515" t="n"/>
      <c r="L3140" s="536" t="n"/>
      <c r="M3140" s="532" t="n"/>
      <c r="N3140" s="515" t="n"/>
      <c r="O3140" s="536" t="n"/>
      <c r="P3140" s="532" t="n"/>
    </row>
    <row r="3141" ht="15.75" customHeight="1" s="2">
      <c r="C3141" s="891" t="n"/>
      <c r="D3141" s="526" t="n"/>
      <c r="E3141" s="514" t="n"/>
      <c r="F3141" s="891" t="n"/>
      <c r="G3141" s="526" t="n"/>
      <c r="H3141" s="516" t="n"/>
      <c r="I3141" s="1656" t="n"/>
      <c r="J3141" s="530" t="n"/>
      <c r="K3141" s="516" t="n"/>
      <c r="L3141" s="542" t="n"/>
      <c r="M3141" s="530" t="n"/>
      <c r="N3141" s="516" t="n"/>
      <c r="O3141" s="542" t="n"/>
      <c r="P3141" s="530" t="n"/>
    </row>
    <row r="3142" ht="15.75" customHeight="1" s="2">
      <c r="C3142" s="550" t="n"/>
      <c r="D3142" s="527" t="n"/>
      <c r="E3142" s="514" t="n"/>
      <c r="F3142" s="531" t="n"/>
      <c r="G3142" s="530" t="n"/>
      <c r="H3142" s="516" t="n"/>
      <c r="I3142" s="537" t="n"/>
      <c r="J3142" s="530" t="n"/>
      <c r="K3142" s="516" t="n"/>
      <c r="L3142" s="1657" t="n"/>
      <c r="M3142" s="539" t="n"/>
      <c r="N3142" s="516" t="n"/>
      <c r="O3142" s="542" t="n"/>
      <c r="P3142" s="539" t="n"/>
    </row>
    <row r="3143" ht="15.75" customHeight="1" s="2">
      <c r="C3143" s="561" t="n"/>
      <c r="D3143" s="561" t="n"/>
      <c r="E3143" s="519" t="n"/>
      <c r="F3143" s="517" t="n"/>
      <c r="G3143" s="1659" t="n"/>
      <c r="H3143" s="516" t="n"/>
      <c r="I3143" s="537" t="n"/>
      <c r="J3143" s="530" t="n"/>
      <c r="K3143" s="516" t="n"/>
      <c r="L3143" s="537" t="n"/>
      <c r="M3143" s="539" t="n"/>
      <c r="N3143" s="516" t="n"/>
      <c r="O3143" s="537" t="n"/>
      <c r="P3143" s="539" t="n"/>
    </row>
    <row r="3144" ht="15.75" customHeight="1" s="2">
      <c r="C3144" s="551" t="n"/>
      <c r="D3144" s="528" t="n"/>
      <c r="E3144" s="519" t="n"/>
      <c r="F3144" s="517" t="n"/>
      <c r="G3144" s="518" t="n"/>
      <c r="H3144" s="516" t="n"/>
      <c r="I3144" s="537" t="n"/>
      <c r="J3144" s="533" t="n"/>
      <c r="K3144" s="516" t="n"/>
      <c r="L3144" s="537" t="n"/>
      <c r="M3144" s="540" t="n"/>
      <c r="N3144" s="516" t="n"/>
      <c r="O3144" s="537" t="n"/>
      <c r="P3144" s="540" t="n"/>
    </row>
    <row r="3149" ht="15.75" customHeight="1" s="2" thickBot="1"/>
    <row r="3150" ht="15.75" customHeight="1" s="2" thickBot="1">
      <c r="B3150" s="1482" t="n"/>
      <c r="C3150" s="1483" t="inlineStr">
        <is>
          <t>17.11.2025</t>
        </is>
      </c>
      <c r="D3150" s="1484" t="n"/>
      <c r="E3150" s="1485" t="n"/>
      <c r="F3150" s="1486" t="inlineStr">
        <is>
          <t>24.11.2025</t>
        </is>
      </c>
      <c r="G3150" s="1487" t="n"/>
      <c r="H3150" s="1485" t="n"/>
      <c r="I3150" s="1486" t="inlineStr">
        <is>
          <t>01.12.2025</t>
        </is>
      </c>
      <c r="J3150" s="1487" t="n"/>
      <c r="K3150" s="1485" t="n"/>
      <c r="L3150" s="1486" t="inlineStr">
        <is>
          <t>08.12.2025</t>
        </is>
      </c>
      <c r="M3150" s="1487" t="n"/>
      <c r="N3150" s="1488" t="n"/>
      <c r="O3150" s="1489" t="inlineStr">
        <is>
          <t>15.12.2025</t>
        </is>
      </c>
      <c r="P3150" s="1490" t="n"/>
    </row>
    <row r="3151" ht="15.75" customHeight="1" s="2" thickBot="1">
      <c r="A3151" s="455" t="n"/>
      <c r="B3151" s="1217" t="inlineStr">
        <is>
          <t>LAST YEAR</t>
        </is>
      </c>
      <c r="C3151" s="1219" t="inlineStr">
        <is>
          <t>Projected</t>
        </is>
      </c>
      <c r="D3151" s="1218" t="inlineStr">
        <is>
          <t>Actual</t>
        </is>
      </c>
      <c r="E3151" s="1217" t="inlineStr">
        <is>
          <t>LAST YEAR</t>
        </is>
      </c>
      <c r="F3151" s="1219" t="inlineStr">
        <is>
          <t>Projected</t>
        </is>
      </c>
      <c r="G3151" s="1218" t="inlineStr">
        <is>
          <t>Actual</t>
        </is>
      </c>
      <c r="H3151" s="1217" t="inlineStr">
        <is>
          <t>LAST YEAR</t>
        </is>
      </c>
      <c r="I3151" s="1219" t="inlineStr">
        <is>
          <t>Projected</t>
        </is>
      </c>
      <c r="J3151" s="1218" t="inlineStr">
        <is>
          <t>Actual</t>
        </is>
      </c>
      <c r="K3151" s="1217" t="inlineStr">
        <is>
          <t>LAST YEAR</t>
        </is>
      </c>
      <c r="L3151" s="1219" t="inlineStr">
        <is>
          <t>Projected</t>
        </is>
      </c>
      <c r="M3151" s="1218" t="inlineStr">
        <is>
          <t>Actual</t>
        </is>
      </c>
      <c r="N3151" s="1217" t="inlineStr">
        <is>
          <t>LAST YEAR</t>
        </is>
      </c>
      <c r="O3151" s="1219" t="inlineStr">
        <is>
          <t>Projected</t>
        </is>
      </c>
      <c r="P3151" s="1218" t="inlineStr">
        <is>
          <t>Actual</t>
        </is>
      </c>
    </row>
    <row r="3152" ht="15.75" customHeight="1" s="2">
      <c r="A3152" s="459" t="inlineStr">
        <is>
          <t>Total Receipts</t>
        </is>
      </c>
      <c r="B3152" s="1645" t="n">
        <v>133755</v>
      </c>
      <c r="C3152" s="1692" t="n">
        <v>119714</v>
      </c>
      <c r="D3152" s="1622" t="n">
        <v>115561.19</v>
      </c>
      <c r="E3152" s="1645" t="n">
        <v>141865.07</v>
      </c>
      <c r="F3152" s="1692" t="n">
        <v>123842</v>
      </c>
      <c r="G3152" s="1622" t="n">
        <v>127189.72</v>
      </c>
      <c r="H3152" s="1645" t="n">
        <v>138218.38</v>
      </c>
      <c r="I3152" s="1692" t="n">
        <v>121957</v>
      </c>
      <c r="J3152" s="1622" t="n">
        <v>114901.15</v>
      </c>
      <c r="K3152" s="1645" t="n">
        <v>139139.5</v>
      </c>
      <c r="L3152" s="1692" t="n">
        <v>117751</v>
      </c>
      <c r="M3152" s="1622" t="n">
        <v>124868.86</v>
      </c>
      <c r="N3152" s="1645" t="n">
        <v>143204.68</v>
      </c>
      <c r="O3152" s="1692" t="n">
        <v>128255</v>
      </c>
      <c r="P3152" s="1622" t="n">
        <v>135674.2</v>
      </c>
    </row>
    <row r="3153" ht="15.75" customHeight="1" s="2">
      <c r="A3153" s="462" t="inlineStr">
        <is>
          <t>Nett Sales</t>
        </is>
      </c>
      <c r="B3153" s="1625" t="n">
        <v>121596.24</v>
      </c>
      <c r="C3153" s="1694" t="n">
        <v>108830.5</v>
      </c>
      <c r="D3153" s="1625" t="n">
        <v>105055.63</v>
      </c>
      <c r="E3153" s="1637" t="n">
        <v>128968.25</v>
      </c>
      <c r="F3153" s="1694" t="n">
        <v>112583</v>
      </c>
      <c r="G3153" s="1625" t="n">
        <v>115627.02</v>
      </c>
      <c r="H3153" s="1625" t="n">
        <v>125653.07</v>
      </c>
      <c r="I3153" s="1694" t="n">
        <v>110870.2</v>
      </c>
      <c r="J3153" s="1625" t="n">
        <v>104455.59</v>
      </c>
      <c r="K3153" s="1625" t="n">
        <v>126490.45</v>
      </c>
      <c r="L3153" s="1694" t="n">
        <v>107046</v>
      </c>
      <c r="M3153" s="1625" t="n">
        <v>113517.15</v>
      </c>
      <c r="N3153" s="1625" t="n">
        <v>130186.19</v>
      </c>
      <c r="O3153" s="1694" t="n">
        <v>116595</v>
      </c>
      <c r="P3153" s="1625" t="n">
        <v>123340.18</v>
      </c>
    </row>
    <row r="3154" ht="15.75" customHeight="1" s="2">
      <c r="A3154" s="462" t="inlineStr">
        <is>
          <t>Customers</t>
        </is>
      </c>
      <c r="B3154" s="466" t="n">
        <v>4989</v>
      </c>
      <c r="C3154" s="1333" t="n">
        <v>4780</v>
      </c>
      <c r="D3154" s="1655" t="n">
        <v>4630</v>
      </c>
      <c r="E3154" s="466" t="n">
        <v>5557</v>
      </c>
      <c r="F3154" s="1333" t="n">
        <v>4940</v>
      </c>
      <c r="G3154" s="1655" t="n">
        <v>5128</v>
      </c>
      <c r="H3154" s="466" t="n">
        <v>5259</v>
      </c>
      <c r="I3154" s="1333" t="n">
        <v>4856</v>
      </c>
      <c r="J3154" s="1655" t="n">
        <v>4358</v>
      </c>
      <c r="K3154" s="466" t="n">
        <v>5245</v>
      </c>
      <c r="L3154" s="1333" t="n">
        <v>4700</v>
      </c>
      <c r="M3154" s="1655" t="n">
        <v>4737</v>
      </c>
      <c r="N3154" s="1655" t="n">
        <v>5304</v>
      </c>
      <c r="O3154" s="1333" t="n">
        <v>5160</v>
      </c>
      <c r="P3154" s="1655" t="n">
        <v>5127</v>
      </c>
    </row>
    <row r="3155" ht="15.75" customHeight="1" s="2">
      <c r="A3155" s="462" t="inlineStr">
        <is>
          <t>Average Customer Spend</t>
        </is>
      </c>
      <c r="B3155" s="1649" t="n">
        <v>26.82</v>
      </c>
      <c r="C3155" s="1699" t="n">
        <v>25.04</v>
      </c>
      <c r="D3155" s="1628" t="n">
        <v>24.95</v>
      </c>
      <c r="E3155" s="1649" t="n">
        <v>25.52</v>
      </c>
      <c r="F3155" s="1699" t="n">
        <v>25.07</v>
      </c>
      <c r="G3155" s="1628" t="n">
        <v>24.8</v>
      </c>
      <c r="H3155" s="1649" t="n">
        <v>26.28</v>
      </c>
      <c r="I3155" s="1699" t="n">
        <v>25.07</v>
      </c>
      <c r="J3155" s="1628" t="n">
        <v>26.36</v>
      </c>
      <c r="K3155" s="1649" t="n">
        <v>26.52</v>
      </c>
      <c r="L3155" s="1699" t="n">
        <v>25.05</v>
      </c>
      <c r="M3155" s="1628" t="n">
        <v>26.36</v>
      </c>
      <c r="N3155" s="1649" t="n">
        <v>26.99</v>
      </c>
      <c r="O3155" s="1699" t="n">
        <v>24.86</v>
      </c>
      <c r="P3155" s="1628" t="n">
        <v>26.46</v>
      </c>
    </row>
    <row r="3156" ht="15.75" customHeight="1" s="2">
      <c r="A3156" s="462" t="inlineStr">
        <is>
          <t>Wage % to Total Receipts</t>
        </is>
      </c>
      <c r="B3156" s="863" t="n">
        <v>0.3082</v>
      </c>
      <c r="C3156" s="1337">
        <f>C3161/C3152</f>
        <v/>
      </c>
      <c r="D3156" s="1337">
        <f>D3161/D3152</f>
        <v/>
      </c>
      <c r="E3156" s="863" t="n">
        <v>0.3134</v>
      </c>
      <c r="F3156" s="1337">
        <f>F3161/F3152</f>
        <v/>
      </c>
      <c r="G3156" s="1337">
        <f>G3161/G3152</f>
        <v/>
      </c>
      <c r="H3156" s="863" t="n">
        <v>0.2994</v>
      </c>
      <c r="I3156" s="1337">
        <f>I3161/I3152</f>
        <v/>
      </c>
      <c r="J3156" s="1337">
        <f>J3161/J3152</f>
        <v/>
      </c>
      <c r="K3156" s="863" t="n">
        <v>0.3032</v>
      </c>
      <c r="L3156" s="1337">
        <f>L3161/L3152</f>
        <v/>
      </c>
      <c r="M3156" s="1337">
        <f>M3161/M3152</f>
        <v/>
      </c>
      <c r="N3156" s="863" t="n">
        <v>0.3312</v>
      </c>
      <c r="O3156" s="1337">
        <f>O3161/O3152</f>
        <v/>
      </c>
      <c r="P3156" s="1337">
        <f>P3161/P3152</f>
        <v/>
      </c>
    </row>
    <row r="3157" ht="15.75" customHeight="1" s="2">
      <c r="A3157" s="462" t="inlineStr">
        <is>
          <t>Wage % to Nett Sales</t>
        </is>
      </c>
      <c r="B3157" s="863" t="n">
        <v>0.339</v>
      </c>
      <c r="C3157" s="1337">
        <f>C3161/C3153</f>
        <v/>
      </c>
      <c r="D3157" s="1337">
        <f>D3161/D3153</f>
        <v/>
      </c>
      <c r="E3157" s="863" t="n">
        <v>0.3448</v>
      </c>
      <c r="F3157" s="1337">
        <f>F3161/F3153</f>
        <v/>
      </c>
      <c r="G3157" s="1337">
        <f>G3161/G3153</f>
        <v/>
      </c>
      <c r="H3157" s="863" t="n">
        <v>0.3294</v>
      </c>
      <c r="I3157" s="1337">
        <f>I3161/I3153</f>
        <v/>
      </c>
      <c r="J3157" s="1337">
        <f>J3161/J3153</f>
        <v/>
      </c>
      <c r="K3157" s="863" t="n">
        <v>0.3336</v>
      </c>
      <c r="L3157" s="1337">
        <f>L3161/L3153</f>
        <v/>
      </c>
      <c r="M3157" s="1337">
        <f>M3161/M3153</f>
        <v/>
      </c>
      <c r="N3157" s="863" t="n">
        <v>0.3643</v>
      </c>
      <c r="O3157" s="1337">
        <f>O3161/O3153</f>
        <v/>
      </c>
      <c r="P3157" s="1337">
        <f>P3161/P3153</f>
        <v/>
      </c>
    </row>
    <row r="3158" ht="15.75" customHeight="1" s="2">
      <c r="A3158" s="462" t="inlineStr">
        <is>
          <t>Productivity</t>
        </is>
      </c>
      <c r="B3158" s="472" t="n">
        <v>4.81</v>
      </c>
      <c r="C3158" s="1339">
        <f>C3154/C3160</f>
        <v/>
      </c>
      <c r="D3158" s="1339">
        <f>D3154/D3160</f>
        <v/>
      </c>
      <c r="E3158" s="472" t="n">
        <v>5.09</v>
      </c>
      <c r="F3158" s="1339">
        <f>F3154/F3160</f>
        <v/>
      </c>
      <c r="G3158" s="1339">
        <f>G3154/G3160</f>
        <v/>
      </c>
      <c r="H3158" s="472" t="n">
        <v>4.98</v>
      </c>
      <c r="I3158" s="1339">
        <f>I3154/I3160</f>
        <v/>
      </c>
      <c r="J3158" s="1339">
        <f>J3154/J3160</f>
        <v/>
      </c>
      <c r="K3158" s="472" t="n">
        <v>4.82</v>
      </c>
      <c r="L3158" s="1339">
        <f>L3154/L3160</f>
        <v/>
      </c>
      <c r="M3158" s="1339">
        <f>M3154/M3160</f>
        <v/>
      </c>
      <c r="N3158" s="472" t="n">
        <v>4.64</v>
      </c>
      <c r="O3158" s="1339">
        <f>O3154/O3160</f>
        <v/>
      </c>
      <c r="P3158" s="1339">
        <f>P3154/P3160</f>
        <v/>
      </c>
    </row>
    <row r="3159" ht="15.75" customHeight="1" s="2">
      <c r="A3159" s="462" t="inlineStr">
        <is>
          <t>Average Hourly Rate</t>
        </is>
      </c>
      <c r="B3159" s="1649" t="n">
        <v>39.78</v>
      </c>
      <c r="C3159" s="1339" t="n">
        <v>43</v>
      </c>
      <c r="D3159" s="1628" t="n">
        <v>44.72</v>
      </c>
      <c r="E3159" s="1649" t="n">
        <v>40.75</v>
      </c>
      <c r="F3159" s="1339" t="n">
        <v>43</v>
      </c>
      <c r="G3159" s="1628" t="n">
        <v>44.66</v>
      </c>
      <c r="H3159" s="1649" t="n">
        <v>39.18</v>
      </c>
      <c r="I3159" s="1339" t="n">
        <v>43</v>
      </c>
      <c r="J3159" s="1628" t="n">
        <v>46.21</v>
      </c>
      <c r="K3159" s="1649" t="n">
        <v>38.76</v>
      </c>
      <c r="L3159" s="1339" t="n">
        <v>43</v>
      </c>
      <c r="M3159" s="1628" t="n">
        <v>45</v>
      </c>
      <c r="N3159" s="1649" t="n">
        <v>41.53</v>
      </c>
      <c r="O3159" s="1339" t="n">
        <v>43</v>
      </c>
      <c r="P3159" s="1628" t="n">
        <v>41.52</v>
      </c>
    </row>
    <row r="3160" ht="15.75" customHeight="1" s="2">
      <c r="A3160" s="462" t="inlineStr">
        <is>
          <t>Total hours for productivity</t>
        </is>
      </c>
      <c r="B3160" s="466" t="n">
        <v>1036.25</v>
      </c>
      <c r="C3160" s="1339" t="n">
        <v>940.25</v>
      </c>
      <c r="D3160" s="466" t="n">
        <v>894.75</v>
      </c>
      <c r="E3160" s="466" t="n">
        <v>1091.25</v>
      </c>
      <c r="F3160" s="1339" t="n">
        <v>896</v>
      </c>
      <c r="G3160" s="466" t="n">
        <v>877.5</v>
      </c>
      <c r="H3160" s="472" t="n">
        <v>1056.5</v>
      </c>
      <c r="I3160" s="1339" t="n">
        <v>910</v>
      </c>
      <c r="J3160" s="466" t="n">
        <v>881.25</v>
      </c>
      <c r="K3160" s="466" t="n">
        <v>1088.5</v>
      </c>
      <c r="L3160" s="1339" t="n">
        <v>917</v>
      </c>
      <c r="M3160" s="466" t="n">
        <v>916.25</v>
      </c>
      <c r="N3160" s="466" t="n">
        <v>1142</v>
      </c>
      <c r="O3160" s="1339" t="n">
        <v>984</v>
      </c>
      <c r="P3160" s="466" t="n">
        <v>1031.25</v>
      </c>
    </row>
    <row r="3161" ht="15.75" customHeight="1" s="2">
      <c r="A3161" s="462" t="inlineStr">
        <is>
          <t>wage costed</t>
        </is>
      </c>
      <c r="B3161" s="466" t="n"/>
      <c r="C3161" s="1340">
        <f>C3160*C3159</f>
        <v/>
      </c>
      <c r="D3161" s="1340">
        <f>D3160*D3159</f>
        <v/>
      </c>
      <c r="E3161" s="466" t="n"/>
      <c r="F3161" s="1340">
        <f>F3160*F3159</f>
        <v/>
      </c>
      <c r="G3161" s="1340">
        <f>G3160*G3159</f>
        <v/>
      </c>
      <c r="H3161" s="466" t="n"/>
      <c r="I3161" s="1340">
        <f>I3160*I3159</f>
        <v/>
      </c>
      <c r="J3161" s="1340">
        <f>J3160*J3159</f>
        <v/>
      </c>
      <c r="K3161" s="466" t="n"/>
      <c r="L3161" s="1340">
        <f>L3160*L3159</f>
        <v/>
      </c>
      <c r="M3161" s="1340">
        <f>M3160*M3159</f>
        <v/>
      </c>
      <c r="N3161" s="466" t="n"/>
      <c r="O3161" s="1340">
        <f>O3160*O3159</f>
        <v/>
      </c>
      <c r="P3161" s="1340">
        <f>P3160*P3159</f>
        <v/>
      </c>
    </row>
    <row r="3162" ht="15.75" customHeight="1" s="2" thickBot="1">
      <c r="A3162" s="474" t="inlineStr">
        <is>
          <t>Number of hours used to cover sick leave</t>
        </is>
      </c>
      <c r="B3162" s="476" t="n"/>
      <c r="C3162" s="1342" t="n"/>
      <c r="D3162" s="476" t="n">
        <v>44.75</v>
      </c>
      <c r="E3162" s="476" t="n"/>
      <c r="F3162" s="1342" t="n"/>
      <c r="G3162" s="476" t="n">
        <v>34</v>
      </c>
      <c r="H3162" s="476" t="n">
        <v>8</v>
      </c>
      <c r="I3162" s="1342" t="n"/>
      <c r="J3162" s="476" t="n">
        <v>62.75</v>
      </c>
      <c r="K3162" s="476" t="n"/>
      <c r="L3162" s="1342" t="n"/>
      <c r="M3162" s="476" t="n">
        <v>39.75</v>
      </c>
      <c r="N3162" s="476" t="n">
        <v>41</v>
      </c>
      <c r="O3162" s="1342" t="n"/>
      <c r="P3162" s="476" t="n">
        <v>12</v>
      </c>
    </row>
    <row r="3163" ht="15.75" customHeight="1" s="2" thickBot="1">
      <c r="A3163" s="477" t="inlineStr">
        <is>
          <t xml:space="preserve">Minimum Hours </t>
        </is>
      </c>
      <c r="B3163" s="1171" t="n"/>
      <c r="C3163" s="816" t="inlineStr">
        <is>
          <t>Projected</t>
        </is>
      </c>
      <c r="D3163" s="935" t="inlineStr">
        <is>
          <t>Min Hrs</t>
        </is>
      </c>
      <c r="E3163" s="1171" t="n"/>
      <c r="F3163" s="816" t="inlineStr">
        <is>
          <t>Projected</t>
        </is>
      </c>
      <c r="G3163" s="935" t="inlineStr">
        <is>
          <t>Min Hrs</t>
        </is>
      </c>
      <c r="H3163" s="935" t="n"/>
      <c r="I3163" s="816" t="inlineStr">
        <is>
          <t>Projected</t>
        </is>
      </c>
      <c r="J3163" s="935" t="inlineStr">
        <is>
          <t>Min Hrs</t>
        </is>
      </c>
      <c r="K3163" s="935" t="n"/>
      <c r="L3163" s="816" t="inlineStr">
        <is>
          <t>Projected</t>
        </is>
      </c>
      <c r="M3163" s="935" t="inlineStr">
        <is>
          <t>Min Hrs</t>
        </is>
      </c>
      <c r="N3163" s="1171" t="n"/>
      <c r="O3163" s="816" t="inlineStr">
        <is>
          <t>Projected</t>
        </is>
      </c>
      <c r="P3163" s="935" t="inlineStr">
        <is>
          <t>Min Hrs</t>
        </is>
      </c>
    </row>
    <row r="3164" ht="15.75" customHeight="1" s="2">
      <c r="A3164" s="479" t="inlineStr">
        <is>
          <t>Floor</t>
        </is>
      </c>
      <c r="B3164" s="1172" t="n"/>
      <c r="C3164" s="810" t="n">
        <v>477.25</v>
      </c>
      <c r="D3164" s="811" t="n">
        <v>347</v>
      </c>
      <c r="E3164" s="1172" t="n"/>
      <c r="F3164" s="810" t="n">
        <v>475.5</v>
      </c>
      <c r="G3164" s="811" t="n">
        <v>347</v>
      </c>
      <c r="H3164" s="810" t="n"/>
      <c r="I3164" s="810" t="n">
        <v>479.25</v>
      </c>
      <c r="J3164" s="811" t="n">
        <v>425</v>
      </c>
      <c r="K3164" s="810" t="n"/>
      <c r="L3164" s="810" t="n">
        <v>485</v>
      </c>
      <c r="M3164" s="811" t="n">
        <v>425</v>
      </c>
      <c r="N3164" s="1172" t="n"/>
      <c r="O3164" s="810" t="n">
        <v>533</v>
      </c>
      <c r="P3164" s="811" t="n">
        <v>531</v>
      </c>
    </row>
    <row r="3165" ht="15.75" customHeight="1" s="2" thickBot="1">
      <c r="A3165" s="481" t="inlineStr">
        <is>
          <t>Kitchen</t>
        </is>
      </c>
      <c r="B3165" s="1173" t="n"/>
      <c r="C3165" s="813" t="n">
        <v>463</v>
      </c>
      <c r="D3165" s="814" t="n">
        <v>435</v>
      </c>
      <c r="E3165" s="1173" t="n"/>
      <c r="F3165" s="840" t="n">
        <v>420.5</v>
      </c>
      <c r="G3165" s="814" t="n">
        <v>370</v>
      </c>
      <c r="H3165" s="813" t="n"/>
      <c r="I3165" s="840" t="n">
        <v>430.5</v>
      </c>
      <c r="J3165" s="814" t="n">
        <v>370</v>
      </c>
      <c r="K3165" s="813" t="n"/>
      <c r="L3165" s="840" t="n">
        <v>432</v>
      </c>
      <c r="M3165" s="814" t="n">
        <v>370</v>
      </c>
      <c r="N3165" s="1173" t="n"/>
      <c r="O3165" s="813" t="n">
        <v>451</v>
      </c>
      <c r="P3165" s="814" t="n">
        <v>435</v>
      </c>
    </row>
    <row r="3166" ht="15.75" customHeight="1" s="2" thickBot="1">
      <c r="A3166" s="834" t="n"/>
      <c r="B3166" s="836" t="n"/>
      <c r="C3166" s="1220" t="n"/>
      <c r="D3166" s="1220" t="n"/>
      <c r="E3166" s="839" t="n"/>
      <c r="F3166" s="1220" t="n"/>
      <c r="G3166" s="1220" t="n"/>
      <c r="H3166" s="839" t="n"/>
      <c r="I3166" s="1220" t="n"/>
      <c r="J3166" s="1220" t="n"/>
      <c r="K3166" s="839" t="n"/>
      <c r="L3166" s="1220" t="n"/>
      <c r="M3166" s="1220" t="n"/>
      <c r="N3166" s="839" t="n"/>
      <c r="O3166" s="835" t="n"/>
      <c r="P3166" s="835" t="n"/>
    </row>
    <row r="3167" ht="15.75" customHeight="1" s="2">
      <c r="A3167" s="506" t="inlineStr">
        <is>
          <t>Training explanation</t>
        </is>
      </c>
      <c r="B3167" s="837" t="n"/>
      <c r="C3167" s="1220" t="n"/>
      <c r="D3167" s="1220" t="n"/>
      <c r="E3167" s="837" t="n"/>
      <c r="F3167" s="1220" t="n"/>
      <c r="G3167" s="1220" t="n"/>
      <c r="H3167" s="837" t="n"/>
      <c r="I3167" s="1220" t="n"/>
      <c r="J3167" s="1220" t="n"/>
      <c r="K3167" s="837" t="n"/>
      <c r="L3167" s="1220" t="n"/>
      <c r="M3167" s="1220" t="n"/>
      <c r="N3167" s="837" t="n"/>
      <c r="O3167" s="835" t="n"/>
      <c r="P3167" s="835" t="n"/>
    </row>
    <row r="3168" ht="15.75" customHeight="1" s="2" thickBot="1">
      <c r="A3168" s="506" t="inlineStr">
        <is>
          <t>Who is being Trained</t>
        </is>
      </c>
      <c r="B3168" s="838" t="n"/>
      <c r="C3168" s="1221" t="n"/>
      <c r="D3168" s="1221" t="n"/>
      <c r="E3168" s="838" t="n"/>
      <c r="F3168" s="1221" t="n"/>
      <c r="G3168" s="1221" t="n"/>
      <c r="H3168" s="838" t="n"/>
      <c r="I3168" s="1221" t="n"/>
      <c r="J3168" s="1221" t="n"/>
      <c r="K3168" s="838" t="n"/>
      <c r="L3168" s="1221" t="n"/>
      <c r="M3168" s="1221" t="n"/>
      <c r="N3168" s="838" t="n"/>
    </row>
    <row r="3169" ht="15.75" customHeight="1" s="2" thickBot="1">
      <c r="A3169" s="506" t="n"/>
      <c r="C3169" s="523" t="inlineStr">
        <is>
          <t>floor</t>
        </is>
      </c>
      <c r="D3169" s="524" t="inlineStr">
        <is>
          <t>kitchen</t>
        </is>
      </c>
      <c r="E3169" s="509" t="n"/>
      <c r="F3169" s="507" t="inlineStr">
        <is>
          <t>floor</t>
        </is>
      </c>
      <c r="G3169" s="508" t="inlineStr">
        <is>
          <t>kitchen</t>
        </is>
      </c>
      <c r="H3169" s="510" t="n"/>
      <c r="I3169" s="535" t="inlineStr">
        <is>
          <t>floor</t>
        </is>
      </c>
      <c r="J3169" s="511" t="inlineStr">
        <is>
          <t>kitchen</t>
        </is>
      </c>
      <c r="K3169" s="512" t="n"/>
      <c r="L3169" s="535" t="inlineStr">
        <is>
          <t>floor</t>
        </is>
      </c>
      <c r="M3169" s="513" t="inlineStr">
        <is>
          <t>kitchen</t>
        </is>
      </c>
      <c r="N3169" s="512" t="n"/>
      <c r="O3169" s="535" t="inlineStr">
        <is>
          <t>floor</t>
        </is>
      </c>
      <c r="P3169" s="513" t="inlineStr">
        <is>
          <t>kitchen</t>
        </is>
      </c>
    </row>
    <row r="3170" ht="15.75" customHeight="1" s="2">
      <c r="A3170" s="506" t="n"/>
      <c r="C3170" s="525" t="n"/>
      <c r="D3170" s="527" t="n"/>
      <c r="E3170" s="514" t="n"/>
      <c r="F3170" s="525" t="n"/>
      <c r="G3170" s="527" t="n"/>
      <c r="H3170" s="515" t="n"/>
      <c r="I3170" s="531" t="n"/>
      <c r="J3170" s="824" t="n"/>
      <c r="K3170" s="515" t="n"/>
      <c r="L3170" s="536" t="n"/>
      <c r="M3170" s="532" t="n"/>
      <c r="N3170" s="515" t="n"/>
      <c r="O3170" s="536" t="n"/>
      <c r="P3170" s="532" t="n"/>
    </row>
    <row r="3171" ht="15.75" customHeight="1" s="2">
      <c r="C3171" s="891" t="n"/>
      <c r="D3171" s="526" t="n"/>
      <c r="E3171" s="514" t="n"/>
      <c r="F3171" s="891" t="n"/>
      <c r="G3171" s="526" t="n"/>
      <c r="H3171" s="516" t="n"/>
      <c r="I3171" s="1656" t="n"/>
      <c r="J3171" s="530" t="n"/>
      <c r="K3171" s="516" t="n"/>
      <c r="L3171" s="542" t="n"/>
      <c r="M3171" s="530" t="n"/>
      <c r="N3171" s="516" t="n"/>
      <c r="O3171" s="542" t="n"/>
      <c r="P3171" s="530" t="n"/>
    </row>
    <row r="3172" ht="15.75" customHeight="1" s="2">
      <c r="C3172" s="550" t="n"/>
      <c r="D3172" s="527" t="n"/>
      <c r="E3172" s="514" t="n"/>
      <c r="F3172" s="531" t="n"/>
      <c r="G3172" s="530" t="n"/>
      <c r="H3172" s="516" t="n"/>
      <c r="I3172" s="537" t="n"/>
      <c r="J3172" s="530" t="n"/>
      <c r="K3172" s="516" t="n"/>
      <c r="L3172" s="1657" t="n"/>
      <c r="M3172" s="539" t="n"/>
      <c r="N3172" s="516" t="n"/>
      <c r="O3172" s="542" t="n"/>
      <c r="P3172" s="539" t="n"/>
    </row>
    <row r="3173" ht="15.75" customHeight="1" s="2">
      <c r="C3173" s="561" t="n"/>
      <c r="D3173" s="561" t="n"/>
      <c r="E3173" s="519" t="n"/>
      <c r="F3173" s="517" t="n"/>
      <c r="G3173" s="1659" t="n"/>
      <c r="H3173" s="516" t="n"/>
      <c r="I3173" s="537" t="n"/>
      <c r="J3173" s="530" t="n"/>
      <c r="K3173" s="516" t="n"/>
      <c r="L3173" s="537" t="n"/>
      <c r="M3173" s="539" t="n"/>
      <c r="N3173" s="516" t="n"/>
      <c r="O3173" s="537" t="n"/>
      <c r="P3173" s="539" t="n"/>
    </row>
    <row r="3174" ht="15.75" customHeight="1" s="2">
      <c r="C3174" s="551" t="n"/>
      <c r="D3174" s="528" t="n"/>
      <c r="E3174" s="519" t="n"/>
      <c r="F3174" s="517" t="n"/>
      <c r="G3174" s="518" t="n"/>
      <c r="H3174" s="516" t="n"/>
      <c r="I3174" s="537" t="n"/>
      <c r="J3174" s="533" t="n"/>
      <c r="K3174" s="516" t="n"/>
      <c r="L3174" s="537" t="n"/>
      <c r="M3174" s="540" t="n"/>
      <c r="N3174" s="516" t="n"/>
      <c r="O3174" s="537" t="n"/>
      <c r="P3174" s="540" t="n"/>
    </row>
    <row r="3178" ht="15.75" customHeight="1" s="2" thickBot="1"/>
    <row r="3179" ht="15.75" customHeight="1" s="2" thickBot="1">
      <c r="B3179" s="1482" t="n"/>
      <c r="C3179" s="1483" t="inlineStr">
        <is>
          <t>22.12.2025</t>
        </is>
      </c>
      <c r="D3179" s="1484" t="n"/>
      <c r="E3179" s="1485" t="n"/>
      <c r="F3179" s="1486" t="inlineStr">
        <is>
          <t>29.12.2025</t>
        </is>
      </c>
      <c r="G3179" s="1487" t="n"/>
      <c r="H3179" s="1485" t="n"/>
      <c r="I3179" s="1486" t="n"/>
      <c r="J3179" s="1487" t="n"/>
      <c r="K3179" s="1485" t="n"/>
      <c r="L3179" s="1486" t="n"/>
      <c r="M3179" s="1487" t="n"/>
      <c r="N3179" s="1488" t="n"/>
      <c r="O3179" s="1489" t="n"/>
      <c r="P3179" s="1490" t="n"/>
    </row>
    <row r="3180" ht="15.75" customHeight="1" s="2" thickBot="1">
      <c r="A3180" s="455" t="n"/>
      <c r="B3180" s="1217" t="inlineStr">
        <is>
          <t>LAST YEAR</t>
        </is>
      </c>
      <c r="C3180" s="1219" t="inlineStr">
        <is>
          <t>Projected</t>
        </is>
      </c>
      <c r="D3180" s="1218" t="inlineStr">
        <is>
          <t>Actual</t>
        </is>
      </c>
      <c r="E3180" s="1217" t="inlineStr">
        <is>
          <t>LAST YEAR</t>
        </is>
      </c>
      <c r="F3180" s="1219" t="inlineStr">
        <is>
          <t>Projected</t>
        </is>
      </c>
      <c r="G3180" s="1218" t="inlineStr">
        <is>
          <t>Actual</t>
        </is>
      </c>
      <c r="H3180" s="1217" t="inlineStr">
        <is>
          <t>LAST YEAR</t>
        </is>
      </c>
      <c r="I3180" s="1219" t="inlineStr">
        <is>
          <t>Projected</t>
        </is>
      </c>
      <c r="J3180" s="1218" t="inlineStr">
        <is>
          <t>Actual</t>
        </is>
      </c>
      <c r="K3180" s="1217" t="inlineStr">
        <is>
          <t>LAST YEAR</t>
        </is>
      </c>
      <c r="L3180" s="1219" t="inlineStr">
        <is>
          <t>Projected</t>
        </is>
      </c>
      <c r="M3180" s="1218" t="inlineStr">
        <is>
          <t>Actual</t>
        </is>
      </c>
      <c r="N3180" s="1217" t="inlineStr">
        <is>
          <t>LAST YEAR</t>
        </is>
      </c>
      <c r="O3180" s="1219" t="inlineStr">
        <is>
          <t>Projected</t>
        </is>
      </c>
      <c r="P3180" s="1218" t="inlineStr">
        <is>
          <t>Actual</t>
        </is>
      </c>
    </row>
    <row r="3181" ht="15.75" customHeight="1" s="2">
      <c r="A3181" s="459" t="inlineStr">
        <is>
          <t>Total Receipts</t>
        </is>
      </c>
      <c r="B3181" s="1645" t="n">
        <v>192772.2</v>
      </c>
      <c r="C3181" s="1692" t="n">
        <v>165103</v>
      </c>
      <c r="D3181" s="1622" t="n">
        <v>154794.76</v>
      </c>
      <c r="E3181" s="1645" t="n">
        <v>271579.38</v>
      </c>
      <c r="F3181" s="1692" t="n">
        <v>224123</v>
      </c>
      <c r="G3181" s="1622" t="n">
        <v>241347.04</v>
      </c>
      <c r="H3181" s="1643" t="n"/>
      <c r="I3181" s="1692" t="n"/>
      <c r="J3181" s="1622" t="n"/>
      <c r="K3181" s="1643" t="n"/>
      <c r="L3181" s="1692" t="n"/>
      <c r="M3181" s="1622" t="n"/>
      <c r="N3181" s="1643" t="n"/>
      <c r="O3181" s="1692" t="n"/>
      <c r="P3181" s="1622" t="n"/>
    </row>
    <row r="3182" ht="15.75" customHeight="1" s="2">
      <c r="A3182" s="462" t="inlineStr">
        <is>
          <t>Nett Sales</t>
        </is>
      </c>
      <c r="B3182" s="1625" t="n">
        <v>175247.45</v>
      </c>
      <c r="C3182" s="1694" t="n">
        <v>150093.6</v>
      </c>
      <c r="D3182" s="1625" t="n">
        <v>140722.51</v>
      </c>
      <c r="E3182" s="1637" t="n">
        <v>246890.35</v>
      </c>
      <c r="F3182" s="1694" t="n">
        <v>203748.2</v>
      </c>
      <c r="G3182" s="1625" t="n">
        <v>219406.4</v>
      </c>
      <c r="H3182" s="1632" t="n"/>
      <c r="I3182" s="1694" t="n"/>
      <c r="J3182" s="1625" t="n"/>
      <c r="K3182" s="1632" t="n"/>
      <c r="L3182" s="1694" t="n"/>
      <c r="M3182" s="1625" t="n"/>
      <c r="N3182" s="1632" t="n"/>
      <c r="O3182" s="1694" t="n"/>
      <c r="P3182" s="1625" t="n"/>
    </row>
    <row r="3183" ht="15.75" customHeight="1" s="2">
      <c r="A3183" s="462" t="inlineStr">
        <is>
          <t>Customers</t>
        </is>
      </c>
      <c r="B3183" s="466" t="n">
        <v>7503</v>
      </c>
      <c r="C3183" s="1333" t="n">
        <v>6635</v>
      </c>
      <c r="D3183" s="1655" t="n">
        <v>6276</v>
      </c>
      <c r="E3183" s="466" t="n">
        <v>10011</v>
      </c>
      <c r="F3183" s="1333" t="n">
        <v>8735</v>
      </c>
      <c r="G3183" s="1655" t="n">
        <v>9319</v>
      </c>
      <c r="H3183" s="565" t="n"/>
      <c r="I3183" s="1333" t="n"/>
      <c r="J3183" s="1655" t="n"/>
      <c r="K3183" s="565" t="n"/>
      <c r="L3183" s="1333" t="n"/>
      <c r="M3183" s="1655" t="n"/>
      <c r="N3183" s="565" t="n"/>
      <c r="O3183" s="1333" t="n"/>
      <c r="P3183" s="1655" t="n"/>
    </row>
    <row r="3184" ht="15.75" customHeight="1" s="2">
      <c r="A3184" s="462" t="inlineStr">
        <is>
          <t>Average Customer Spend</t>
        </is>
      </c>
      <c r="B3184" s="1649" t="n">
        <v>25.69</v>
      </c>
      <c r="C3184" s="1699" t="n">
        <v>24.88</v>
      </c>
      <c r="D3184" s="1628" t="n">
        <v>24.66</v>
      </c>
      <c r="E3184" s="1649" t="n">
        <v>27.12</v>
      </c>
      <c r="F3184" s="1699" t="n">
        <v>25.66</v>
      </c>
      <c r="G3184" s="1628" t="n">
        <v>25.89</v>
      </c>
      <c r="H3184" s="1647" t="n"/>
      <c r="I3184" s="1699" t="n"/>
      <c r="J3184" s="1628" t="n"/>
      <c r="K3184" s="1647" t="n"/>
      <c r="L3184" s="1699" t="n"/>
      <c r="M3184" s="1628" t="n"/>
      <c r="N3184" s="1647" t="n"/>
      <c r="O3184" s="1699" t="n"/>
      <c r="P3184" s="1628" t="n"/>
    </row>
    <row r="3185" ht="15.75" customHeight="1" s="2">
      <c r="A3185" s="462" t="inlineStr">
        <is>
          <t>Wage % to Total Receipts</t>
        </is>
      </c>
      <c r="B3185" s="863" t="n">
        <v>0.2809</v>
      </c>
      <c r="C3185" s="1337">
        <f>C3190/C3181</f>
        <v/>
      </c>
      <c r="D3185" s="1337">
        <f>D3190/D3181</f>
        <v/>
      </c>
      <c r="E3185" s="863" t="n">
        <v>0.3243</v>
      </c>
      <c r="F3185" s="1337">
        <f>F3190/F3181</f>
        <v/>
      </c>
      <c r="G3185" s="1337">
        <f>G3190/G3181</f>
        <v/>
      </c>
      <c r="H3185" s="860" t="n"/>
      <c r="I3185" s="1337">
        <f>I3190/I3181</f>
        <v/>
      </c>
      <c r="J3185" s="1337">
        <f>J3190/J3181</f>
        <v/>
      </c>
      <c r="K3185" s="860" t="n"/>
      <c r="L3185" s="1337">
        <f>L3190/L3181</f>
        <v/>
      </c>
      <c r="M3185" s="1337">
        <f>M3190/M3181</f>
        <v/>
      </c>
      <c r="N3185" s="860" t="n"/>
      <c r="O3185" s="1337">
        <f>O3190/O3181</f>
        <v/>
      </c>
      <c r="P3185" s="1337">
        <f>P3190/P3181</f>
        <v/>
      </c>
    </row>
    <row r="3186" ht="15.75" customHeight="1" s="2">
      <c r="A3186" s="462" t="inlineStr">
        <is>
          <t>Wage % to Nett Sales</t>
        </is>
      </c>
      <c r="B3186" s="863" t="n">
        <v>0.309</v>
      </c>
      <c r="C3186" s="1337">
        <f>C3190/C3182</f>
        <v/>
      </c>
      <c r="D3186" s="1337">
        <f>D3190/D3182</f>
        <v/>
      </c>
      <c r="E3186" s="863" t="n">
        <v>0.3567</v>
      </c>
      <c r="F3186" s="1337">
        <f>F3190/F3182</f>
        <v/>
      </c>
      <c r="G3186" s="1337">
        <f>G3190/G3182</f>
        <v/>
      </c>
      <c r="H3186" s="860" t="n"/>
      <c r="I3186" s="1337">
        <f>I3190/I3182</f>
        <v/>
      </c>
      <c r="J3186" s="1337">
        <f>J3190/J3182</f>
        <v/>
      </c>
      <c r="K3186" s="860" t="n"/>
      <c r="L3186" s="1337">
        <f>L3190/L3182</f>
        <v/>
      </c>
      <c r="M3186" s="1337">
        <f>M3190/M3182</f>
        <v/>
      </c>
      <c r="N3186" s="860" t="n"/>
      <c r="O3186" s="1337">
        <f>O3190/O3182</f>
        <v/>
      </c>
      <c r="P3186" s="1337">
        <f>P3190/P3182</f>
        <v/>
      </c>
    </row>
    <row r="3187" ht="15.75" customHeight="1" s="2">
      <c r="A3187" s="462" t="inlineStr">
        <is>
          <t>Productivity</t>
        </is>
      </c>
      <c r="B3187" s="472" t="n">
        <v>5.37</v>
      </c>
      <c r="C3187" s="1339">
        <f>C3183/C3189</f>
        <v/>
      </c>
      <c r="D3187" s="1339">
        <f>D3183/D3189</f>
        <v/>
      </c>
      <c r="E3187" s="472" t="n">
        <v>5.91</v>
      </c>
      <c r="F3187" s="1339">
        <f>F3183/F3189</f>
        <v/>
      </c>
      <c r="G3187" s="1339">
        <f>G3183/G3189</f>
        <v/>
      </c>
      <c r="H3187" s="568" t="n"/>
      <c r="I3187" s="1339">
        <f>I3183/I3189</f>
        <v/>
      </c>
      <c r="J3187" s="1339">
        <f>J3183/J3189</f>
        <v/>
      </c>
      <c r="K3187" s="568" t="n"/>
      <c r="L3187" s="1339">
        <f>L3183/L3189</f>
        <v/>
      </c>
      <c r="M3187" s="1339">
        <f>M3183/M3189</f>
        <v/>
      </c>
      <c r="N3187" s="568" t="n"/>
      <c r="O3187" s="1339">
        <f>O3183/O3189</f>
        <v/>
      </c>
      <c r="P3187" s="1339">
        <f>P3183/P3189</f>
        <v/>
      </c>
    </row>
    <row r="3188" ht="15.75" customHeight="1" s="2">
      <c r="A3188" s="462" t="inlineStr">
        <is>
          <t>Average Hourly Rate</t>
        </is>
      </c>
      <c r="B3188" s="1649" t="n">
        <v>38.77</v>
      </c>
      <c r="C3188" s="1339" t="n">
        <v>43</v>
      </c>
      <c r="D3188" s="1628" t="n">
        <v>41.21</v>
      </c>
      <c r="E3188" s="1649" t="n">
        <v>51.96</v>
      </c>
      <c r="F3188" s="1339" t="n">
        <v>55</v>
      </c>
      <c r="G3188" s="1628" t="n">
        <v>53.29</v>
      </c>
      <c r="H3188" s="568" t="n"/>
      <c r="I3188" s="1339" t="n"/>
      <c r="J3188" s="1628" t="n"/>
      <c r="K3188" s="568" t="n"/>
      <c r="L3188" s="1339" t="n"/>
      <c r="M3188" s="1628" t="n"/>
      <c r="N3188" s="568" t="n"/>
      <c r="O3188" s="1339" t="n"/>
      <c r="P3188" s="1628" t="n"/>
    </row>
    <row r="3189" ht="15.75" customHeight="1" s="2">
      <c r="A3189" s="462" t="inlineStr">
        <is>
          <t>Total hours for productivity</t>
        </is>
      </c>
      <c r="B3189" s="466" t="n">
        <v>1396.75</v>
      </c>
      <c r="C3189" s="1339" t="n">
        <v>1175</v>
      </c>
      <c r="D3189" s="466" t="n">
        <v>1154.5</v>
      </c>
      <c r="E3189" s="466" t="n">
        <v>1694.75</v>
      </c>
      <c r="F3189" s="1339" t="n">
        <v>1445</v>
      </c>
      <c r="G3189" s="466" t="n">
        <v>1436.25</v>
      </c>
      <c r="H3189" s="568" t="n"/>
      <c r="I3189" s="1339" t="n"/>
      <c r="J3189" s="466" t="n"/>
      <c r="K3189" s="568" t="n"/>
      <c r="L3189" s="1339" t="n"/>
      <c r="M3189" s="466" t="n"/>
      <c r="N3189" s="568" t="n"/>
      <c r="O3189" s="1339" t="n"/>
      <c r="P3189" s="466" t="n"/>
    </row>
    <row r="3190" ht="15.75" customHeight="1" s="2">
      <c r="A3190" s="462" t="inlineStr">
        <is>
          <t>wage costed</t>
        </is>
      </c>
      <c r="B3190" s="466" t="n">
        <v>91.5</v>
      </c>
      <c r="C3190" s="1340">
        <f>C3189*C3188</f>
        <v/>
      </c>
      <c r="D3190" s="1340">
        <f>D3189*D3188</f>
        <v/>
      </c>
      <c r="E3190" s="466" t="n">
        <v>8.5</v>
      </c>
      <c r="F3190" s="1340">
        <f>F3189*F3188</f>
        <v/>
      </c>
      <c r="G3190" s="1340">
        <f>G3189*G3188</f>
        <v/>
      </c>
      <c r="H3190" s="569" t="n"/>
      <c r="I3190" s="1340">
        <f>I3189*I3188</f>
        <v/>
      </c>
      <c r="J3190" s="1340">
        <f>J3189*J3188</f>
        <v/>
      </c>
      <c r="K3190" s="569" t="n"/>
      <c r="L3190" s="1340">
        <f>L3189*L3188</f>
        <v/>
      </c>
      <c r="M3190" s="1340">
        <f>M3189*M3188</f>
        <v/>
      </c>
      <c r="N3190" s="569" t="n"/>
      <c r="O3190" s="1340">
        <f>O3189*O3188</f>
        <v/>
      </c>
      <c r="P3190" s="1340">
        <f>P3189*P3188</f>
        <v/>
      </c>
    </row>
    <row r="3191" ht="15.75" customHeight="1" s="2" thickBot="1">
      <c r="A3191" s="474" t="inlineStr">
        <is>
          <t>Number of hours used to cover sick leave</t>
        </is>
      </c>
      <c r="B3191" s="476" t="n"/>
      <c r="C3191" s="1342" t="n"/>
      <c r="D3191" s="476" t="n"/>
      <c r="E3191" s="476" t="n">
        <v>16.5</v>
      </c>
      <c r="F3191" s="1342" t="n"/>
      <c r="G3191" s="476" t="n">
        <v>13</v>
      </c>
      <c r="H3191" s="1229" t="n"/>
      <c r="I3191" s="1342" t="n"/>
      <c r="J3191" s="476" t="n"/>
      <c r="K3191" s="1229" t="n"/>
      <c r="L3191" s="1342" t="n"/>
      <c r="M3191" s="476" t="n"/>
      <c r="N3191" s="1229" t="n"/>
      <c r="O3191" s="1342" t="n"/>
      <c r="P3191" s="476" t="n"/>
    </row>
    <row r="3192" ht="15.75" customHeight="1" s="2" thickBot="1">
      <c r="A3192" s="477" t="inlineStr">
        <is>
          <t xml:space="preserve">Minimum Hours </t>
        </is>
      </c>
      <c r="B3192" s="1171" t="n"/>
      <c r="C3192" s="816" t="inlineStr">
        <is>
          <t>Projected</t>
        </is>
      </c>
      <c r="D3192" s="935" t="inlineStr">
        <is>
          <t>Min Hrs</t>
        </is>
      </c>
      <c r="E3192" s="1171" t="n"/>
      <c r="F3192" s="816" t="inlineStr">
        <is>
          <t>Projected</t>
        </is>
      </c>
      <c r="G3192" s="935" t="inlineStr">
        <is>
          <t>Min Hrs</t>
        </is>
      </c>
      <c r="H3192" s="935" t="n"/>
      <c r="I3192" s="816" t="inlineStr">
        <is>
          <t>Projected</t>
        </is>
      </c>
      <c r="J3192" s="935" t="inlineStr">
        <is>
          <t>Min Hrs</t>
        </is>
      </c>
      <c r="K3192" s="935" t="n"/>
      <c r="L3192" s="816" t="inlineStr">
        <is>
          <t>Projected</t>
        </is>
      </c>
      <c r="M3192" s="935" t="inlineStr">
        <is>
          <t>Min Hrs</t>
        </is>
      </c>
      <c r="N3192" s="1171" t="n"/>
      <c r="O3192" s="816" t="inlineStr">
        <is>
          <t>Projected</t>
        </is>
      </c>
      <c r="P3192" s="935" t="inlineStr">
        <is>
          <t>Min Hrs</t>
        </is>
      </c>
    </row>
    <row r="3193" ht="15.75" customHeight="1" s="2">
      <c r="A3193" s="479" t="inlineStr">
        <is>
          <t>Floor</t>
        </is>
      </c>
      <c r="B3193" s="1172" t="n"/>
      <c r="C3193" s="810" t="n">
        <v>627</v>
      </c>
      <c r="D3193" s="811" t="n">
        <v>470</v>
      </c>
      <c r="E3193" s="1172" t="n"/>
      <c r="F3193" s="810" t="n">
        <v>774.5</v>
      </c>
      <c r="G3193" s="811" t="n">
        <v>432</v>
      </c>
      <c r="H3193" s="810" t="n"/>
      <c r="I3193" s="810" t="n"/>
      <c r="J3193" s="811" t="n"/>
      <c r="K3193" s="810" t="n"/>
      <c r="L3193" s="810" t="n"/>
      <c r="M3193" s="811" t="n"/>
      <c r="N3193" s="1172" t="n"/>
      <c r="O3193" s="810" t="n"/>
      <c r="P3193" s="811" t="n"/>
    </row>
    <row r="3194" ht="15.75" customHeight="1" s="2" thickBot="1">
      <c r="A3194" s="481" t="inlineStr">
        <is>
          <t>Kitchen</t>
        </is>
      </c>
      <c r="B3194" s="1173" t="n"/>
      <c r="C3194" s="813" t="n">
        <v>548</v>
      </c>
      <c r="D3194" s="814" t="n">
        <v>463</v>
      </c>
      <c r="E3194" s="1173" t="n"/>
      <c r="F3194" s="840" t="n">
        <v>670.5</v>
      </c>
      <c r="G3194" s="814" t="n">
        <v>463</v>
      </c>
      <c r="H3194" s="813" t="n"/>
      <c r="I3194" s="840" t="n"/>
      <c r="J3194" s="814" t="n"/>
      <c r="K3194" s="813" t="n"/>
      <c r="L3194" s="840" t="n"/>
      <c r="M3194" s="814" t="n"/>
      <c r="N3194" s="1173" t="n"/>
      <c r="O3194" s="813" t="n"/>
      <c r="P3194" s="814" t="n"/>
    </row>
    <row r="3195" ht="15.75" customHeight="1" s="2" thickBot="1">
      <c r="A3195" s="834" t="n"/>
      <c r="B3195" s="836" t="n"/>
      <c r="C3195" s="1220" t="n"/>
      <c r="D3195" s="1220" t="n"/>
      <c r="E3195" s="839" t="n"/>
      <c r="F3195" s="1220" t="n"/>
      <c r="G3195" s="1220" t="n"/>
      <c r="H3195" s="839" t="n"/>
      <c r="I3195" s="1220" t="n"/>
      <c r="J3195" s="1220" t="n"/>
      <c r="K3195" s="839" t="n"/>
      <c r="L3195" s="1220" t="n"/>
      <c r="M3195" s="1220" t="n"/>
      <c r="N3195" s="839" t="n"/>
      <c r="O3195" s="835" t="n"/>
      <c r="P3195" s="835" t="n"/>
    </row>
    <row r="3196" ht="15.75" customHeight="1" s="2">
      <c r="A3196" s="506" t="inlineStr">
        <is>
          <t>Training explanation</t>
        </is>
      </c>
      <c r="B3196" s="837" t="n"/>
      <c r="C3196" s="1220" t="n"/>
      <c r="D3196" s="1220" t="n"/>
      <c r="E3196" s="837" t="n"/>
      <c r="F3196" s="1220" t="n"/>
      <c r="G3196" s="1220" t="n"/>
      <c r="H3196" s="837" t="n"/>
      <c r="I3196" s="1220" t="n"/>
      <c r="J3196" s="1220" t="n"/>
      <c r="K3196" s="837" t="n"/>
      <c r="L3196" s="1220" t="n"/>
      <c r="M3196" s="1220" t="n"/>
      <c r="N3196" s="837" t="n"/>
      <c r="O3196" s="835" t="n"/>
      <c r="P3196" s="835" t="n"/>
    </row>
    <row r="3197" ht="15.75" customHeight="1" s="2" thickBot="1">
      <c r="A3197" s="506" t="inlineStr">
        <is>
          <t>Who is being Trained</t>
        </is>
      </c>
      <c r="B3197" s="838" t="n"/>
      <c r="C3197" s="1221" t="n"/>
      <c r="D3197" s="1221" t="n"/>
      <c r="E3197" s="838" t="n"/>
      <c r="F3197" s="1221" t="n"/>
      <c r="G3197" s="1221" t="n"/>
      <c r="H3197" s="838" t="n"/>
      <c r="I3197" s="1221" t="n"/>
      <c r="J3197" s="1221" t="n"/>
      <c r="K3197" s="838" t="n"/>
      <c r="L3197" s="1221" t="n"/>
      <c r="M3197" s="1221" t="n"/>
      <c r="N3197" s="838" t="n"/>
    </row>
    <row r="3198" ht="15.75" customHeight="1" s="2" thickBot="1">
      <c r="A3198" s="506" t="n"/>
      <c r="C3198" s="523" t="inlineStr">
        <is>
          <t>floor</t>
        </is>
      </c>
      <c r="D3198" s="524" t="inlineStr">
        <is>
          <t>kitchen</t>
        </is>
      </c>
      <c r="E3198" s="509" t="n"/>
      <c r="F3198" s="507" t="inlineStr">
        <is>
          <t>floor</t>
        </is>
      </c>
      <c r="G3198" s="508" t="inlineStr">
        <is>
          <t>kitchen</t>
        </is>
      </c>
      <c r="H3198" s="510" t="n"/>
      <c r="I3198" s="535" t="inlineStr">
        <is>
          <t>floor</t>
        </is>
      </c>
      <c r="J3198" s="511" t="inlineStr">
        <is>
          <t>kitchen</t>
        </is>
      </c>
      <c r="K3198" s="512" t="n"/>
      <c r="L3198" s="535" t="inlineStr">
        <is>
          <t>floor</t>
        </is>
      </c>
      <c r="M3198" s="513" t="inlineStr">
        <is>
          <t>kitchen</t>
        </is>
      </c>
      <c r="N3198" s="512" t="n"/>
      <c r="O3198" s="535" t="inlineStr">
        <is>
          <t>floor</t>
        </is>
      </c>
      <c r="P3198" s="513" t="inlineStr">
        <is>
          <t>kitchen</t>
        </is>
      </c>
    </row>
    <row r="3199" ht="15.75" customHeight="1" s="2">
      <c r="A3199" s="506" t="n"/>
      <c r="C3199" s="525" t="n"/>
      <c r="D3199" s="527" t="n"/>
      <c r="E3199" s="514" t="n"/>
      <c r="F3199" s="525" t="n"/>
      <c r="G3199" s="527" t="n"/>
      <c r="H3199" s="515" t="n"/>
      <c r="I3199" s="531" t="n"/>
      <c r="J3199" s="824" t="n"/>
      <c r="K3199" s="515" t="n"/>
      <c r="L3199" s="536" t="n"/>
      <c r="M3199" s="532" t="n"/>
      <c r="N3199" s="515" t="n"/>
      <c r="O3199" s="536" t="n"/>
      <c r="P3199" s="532" t="n"/>
    </row>
    <row r="3200" ht="15.75" customHeight="1" s="2">
      <c r="C3200" s="891" t="n"/>
      <c r="D3200" s="526" t="n"/>
      <c r="E3200" s="514" t="n"/>
      <c r="F3200" s="891" t="n"/>
      <c r="G3200" s="526" t="n"/>
      <c r="H3200" s="516" t="n"/>
      <c r="I3200" s="1656" t="n"/>
      <c r="J3200" s="530" t="n"/>
      <c r="K3200" s="516" t="n"/>
      <c r="L3200" s="542" t="n"/>
      <c r="M3200" s="530" t="n"/>
      <c r="N3200" s="516" t="n"/>
      <c r="O3200" s="542" t="n"/>
      <c r="P3200" s="530" t="n"/>
    </row>
    <row r="3201" ht="15.75" customHeight="1" s="2">
      <c r="C3201" s="550" t="n"/>
      <c r="D3201" s="527" t="n"/>
      <c r="E3201" s="514" t="n"/>
      <c r="F3201" s="531" t="n"/>
      <c r="G3201" s="530" t="n"/>
      <c r="H3201" s="516" t="n"/>
      <c r="I3201" s="537" t="n"/>
      <c r="J3201" s="530" t="n"/>
      <c r="K3201" s="516" t="n"/>
      <c r="L3201" s="1657" t="n"/>
      <c r="M3201" s="539" t="n"/>
      <c r="N3201" s="516" t="n"/>
      <c r="O3201" s="542" t="n"/>
      <c r="P3201" s="539" t="n"/>
    </row>
    <row r="3202" ht="15.75" customHeight="1" s="2">
      <c r="C3202" s="561" t="n"/>
      <c r="D3202" s="561" t="n"/>
      <c r="E3202" s="519" t="n"/>
      <c r="F3202" s="517" t="n"/>
      <c r="G3202" s="1659" t="n"/>
      <c r="H3202" s="516" t="n"/>
      <c r="I3202" s="537" t="n"/>
      <c r="J3202" s="530" t="n"/>
      <c r="K3202" s="516" t="n"/>
      <c r="L3202" s="537" t="n"/>
      <c r="M3202" s="539" t="n"/>
      <c r="N3202" s="516" t="n"/>
      <c r="O3202" s="537" t="n"/>
      <c r="P3202" s="539" t="n"/>
    </row>
    <row r="3203" ht="15.75" customHeight="1" s="2">
      <c r="C3203" s="551" t="n"/>
      <c r="D3203" s="528" t="n"/>
      <c r="E3203" s="519" t="n"/>
      <c r="F3203" s="517" t="n"/>
      <c r="G3203" s="518" t="n"/>
      <c r="H3203" s="516" t="n"/>
      <c r="I3203" s="537" t="n"/>
      <c r="J3203" s="533" t="n"/>
      <c r="K3203" s="516" t="n"/>
      <c r="L3203" s="537" t="n"/>
      <c r="M3203" s="540" t="n"/>
      <c r="N3203" s="516" t="n"/>
      <c r="O3203" s="537" t="n"/>
      <c r="P3203" s="540" t="n"/>
    </row>
    <row r="3205" ht="15.75" customHeight="1" s="2" thickBot="1"/>
    <row r="3206" ht="15.75" customHeight="1" s="2" thickBot="1">
      <c r="B3206" s="1482" t="n"/>
      <c r="C3206" s="1398" t="inlineStr">
        <is>
          <t>05.01.2026</t>
        </is>
      </c>
      <c r="D3206" s="1484" t="n"/>
      <c r="E3206" s="1485" t="n"/>
      <c r="F3206" s="1320" t="inlineStr">
        <is>
          <t>12.01.2026</t>
        </is>
      </c>
      <c r="G3206" s="1487" t="n"/>
      <c r="H3206" s="1485" t="n"/>
      <c r="I3206" s="1398" t="inlineStr">
        <is>
          <t>19.01.2026</t>
        </is>
      </c>
      <c r="J3206" s="1487" t="n"/>
      <c r="K3206" s="1485" t="n"/>
      <c r="L3206" s="1398" t="inlineStr">
        <is>
          <t>26.01.2026</t>
        </is>
      </c>
      <c r="M3206" s="1487" t="n"/>
      <c r="N3206" s="1488" t="n"/>
      <c r="O3206" s="1399" t="inlineStr">
        <is>
          <t>02.02.2026</t>
        </is>
      </c>
      <c r="P3206" s="1490" t="n"/>
    </row>
    <row r="3207" ht="15.75" customHeight="1" s="2" thickBot="1">
      <c r="A3207" s="455" t="n"/>
      <c r="B3207" s="1394" t="inlineStr">
        <is>
          <t>LAST YEAR</t>
        </is>
      </c>
      <c r="C3207" s="1395" t="inlineStr">
        <is>
          <t>Projected</t>
        </is>
      </c>
      <c r="D3207" s="1396" t="inlineStr">
        <is>
          <t>Actual</t>
        </is>
      </c>
      <c r="E3207" s="1394" t="inlineStr">
        <is>
          <t>LAST YEAR</t>
        </is>
      </c>
      <c r="F3207" s="1395" t="inlineStr">
        <is>
          <t>Projected</t>
        </is>
      </c>
      <c r="G3207" s="1396" t="inlineStr">
        <is>
          <t>Actual</t>
        </is>
      </c>
      <c r="H3207" s="1394" t="inlineStr">
        <is>
          <t>LAST YEAR</t>
        </is>
      </c>
      <c r="I3207" s="1395" t="inlineStr">
        <is>
          <t>Projected</t>
        </is>
      </c>
      <c r="J3207" s="1396" t="inlineStr">
        <is>
          <t>Actual</t>
        </is>
      </c>
      <c r="K3207" s="1394" t="inlineStr">
        <is>
          <t>LAST YEAR</t>
        </is>
      </c>
      <c r="L3207" s="1395" t="inlineStr">
        <is>
          <t>Projected</t>
        </is>
      </c>
      <c r="M3207" s="1396" t="inlineStr">
        <is>
          <t>Actual</t>
        </is>
      </c>
      <c r="N3207" s="1394" t="inlineStr">
        <is>
          <t>LAST YEAR</t>
        </is>
      </c>
      <c r="O3207" s="1395" t="inlineStr">
        <is>
          <t>Projected</t>
        </is>
      </c>
      <c r="P3207" s="1396" t="inlineStr">
        <is>
          <t>Actual</t>
        </is>
      </c>
    </row>
    <row r="3208" ht="15.75" customHeight="1" s="2">
      <c r="A3208" s="459" t="inlineStr">
        <is>
          <t>Total Receipts</t>
        </is>
      </c>
      <c r="B3208" s="1645" t="n">
        <v>235289.59</v>
      </c>
      <c r="C3208" s="1700" t="n">
        <v>210059</v>
      </c>
      <c r="D3208" s="1701" t="n">
        <v>204990.03</v>
      </c>
      <c r="E3208" s="1645" t="n">
        <v>164059.65</v>
      </c>
      <c r="F3208" s="1700" t="n">
        <v>157855</v>
      </c>
      <c r="G3208" s="1701" t="n">
        <v>127413.01</v>
      </c>
      <c r="H3208" s="1645" t="n">
        <v>162986.93</v>
      </c>
      <c r="I3208" s="1700" t="n">
        <v>148758</v>
      </c>
      <c r="J3208" s="1701" t="n">
        <v>127394.79</v>
      </c>
      <c r="K3208" s="1645" t="n">
        <v>194784.66</v>
      </c>
      <c r="L3208" s="1700" t="n">
        <v>177784</v>
      </c>
      <c r="M3208" s="1701" t="n">
        <v>164758.94</v>
      </c>
      <c r="N3208" s="1645" t="n">
        <v>180232.02</v>
      </c>
      <c r="O3208" s="1700" t="n">
        <v>134861</v>
      </c>
      <c r="P3208" s="1701" t="n">
        <v>113957.84</v>
      </c>
    </row>
    <row r="3209" ht="15.75" customHeight="1" s="2">
      <c r="A3209" s="462" t="inlineStr">
        <is>
          <t>Nett Sales</t>
        </is>
      </c>
      <c r="B3209" s="1625" t="n">
        <v>213899.4</v>
      </c>
      <c r="C3209" s="1702" t="n">
        <v>190962.7</v>
      </c>
      <c r="D3209" s="1703" t="n">
        <v>186354.57</v>
      </c>
      <c r="E3209" s="1637" t="n">
        <v>149145.14</v>
      </c>
      <c r="F3209" s="1702" t="n">
        <v>143504.5</v>
      </c>
      <c r="G3209" s="1703" t="n">
        <v>115830.01</v>
      </c>
      <c r="H3209" s="1625" t="n">
        <v>148169.94</v>
      </c>
      <c r="I3209" s="1702" t="n">
        <v>135234.5</v>
      </c>
      <c r="J3209" s="1703" t="n">
        <v>115813.44</v>
      </c>
      <c r="K3209" s="1625" t="n">
        <v>177076.96</v>
      </c>
      <c r="L3209" s="1702" t="n">
        <v>161621</v>
      </c>
      <c r="M3209" s="1703" t="n">
        <v>149780.85</v>
      </c>
      <c r="N3209" s="1625" t="n">
        <v>163847.29</v>
      </c>
      <c r="O3209" s="1702" t="n">
        <v>122600.9</v>
      </c>
      <c r="P3209" s="1703" t="n">
        <v>103598.04</v>
      </c>
    </row>
    <row r="3210" ht="15.75" customHeight="1" s="2">
      <c r="A3210" s="462" t="inlineStr">
        <is>
          <t>Customers</t>
        </is>
      </c>
      <c r="B3210" s="466" t="n">
        <v>8777</v>
      </c>
      <c r="C3210" s="1382" t="n">
        <v>8310</v>
      </c>
      <c r="D3210" s="1704" t="n">
        <v>7922</v>
      </c>
      <c r="E3210" s="466" t="n">
        <v>6512</v>
      </c>
      <c r="F3210" s="1382" t="n">
        <v>6385</v>
      </c>
      <c r="G3210" s="1704" t="n">
        <v>5068</v>
      </c>
      <c r="H3210" s="466" t="n">
        <v>6314</v>
      </c>
      <c r="I3210" s="1382" t="n">
        <v>6000</v>
      </c>
      <c r="J3210" s="1704" t="n">
        <v>5029</v>
      </c>
      <c r="K3210" s="466" t="n">
        <v>7315</v>
      </c>
      <c r="L3210" s="1382" t="n">
        <v>7015</v>
      </c>
      <c r="M3210" s="1704" t="n">
        <v>6335</v>
      </c>
      <c r="N3210" s="1655" t="n">
        <v>6651</v>
      </c>
      <c r="O3210" s="1382" t="n">
        <v>5385</v>
      </c>
      <c r="P3210" s="1704" t="n">
        <v>4415</v>
      </c>
    </row>
    <row r="3211" ht="15.75" customHeight="1" s="2">
      <c r="A3211" s="462" t="inlineStr">
        <is>
          <t>Average Customer Spend</t>
        </is>
      </c>
      <c r="B3211" s="1649" t="n">
        <v>26.8</v>
      </c>
      <c r="C3211" s="1705" t="n">
        <v>25.28</v>
      </c>
      <c r="D3211" s="1706" t="n">
        <v>25.87</v>
      </c>
      <c r="E3211" s="1649" t="n">
        <v>25.19</v>
      </c>
      <c r="F3211" s="1705" t="n">
        <v>24.72</v>
      </c>
      <c r="G3211" s="1706" t="n">
        <v>25.14</v>
      </c>
      <c r="H3211" s="1649" t="n">
        <v>25.81</v>
      </c>
      <c r="I3211" s="1705" t="n">
        <v>24.79</v>
      </c>
      <c r="J3211" s="1706" t="n">
        <v>25.33</v>
      </c>
      <c r="K3211" s="1649" t="n">
        <v>26.62</v>
      </c>
      <c r="L3211" s="1705" t="n">
        <v>25.34</v>
      </c>
      <c r="M3211" s="1706" t="n">
        <v>26</v>
      </c>
      <c r="N3211" s="1649" t="n">
        <v>27.09</v>
      </c>
      <c r="O3211" s="1705" t="n">
        <v>25.04</v>
      </c>
      <c r="P3211" s="1706" t="n">
        <v>25.81</v>
      </c>
    </row>
    <row r="3212" ht="15.75" customHeight="1" s="2">
      <c r="A3212" s="462" t="inlineStr">
        <is>
          <t>Wage % to Total Receipts</t>
        </is>
      </c>
      <c r="B3212" s="863" t="n">
        <v>0.3156</v>
      </c>
      <c r="C3212" s="1384">
        <f>C3217/C3208</f>
        <v/>
      </c>
      <c r="D3212" s="1375">
        <f>D3217/D3208</f>
        <v/>
      </c>
      <c r="E3212" s="863" t="n">
        <v>0.3026</v>
      </c>
      <c r="F3212" s="1384">
        <f>F3217/F3208</f>
        <v/>
      </c>
      <c r="G3212" s="1375">
        <f>G3217/G3208</f>
        <v/>
      </c>
      <c r="H3212" s="863" t="n">
        <v>0.306</v>
      </c>
      <c r="I3212" s="1384">
        <f>I3217/I3208</f>
        <v/>
      </c>
      <c r="J3212" s="1375">
        <f>J3217/J3208</f>
        <v/>
      </c>
      <c r="K3212" s="863" t="n">
        <v>0.317</v>
      </c>
      <c r="L3212" s="1384">
        <f>L3217/L3208</f>
        <v/>
      </c>
      <c r="M3212" s="1375">
        <f>M3217/M3208</f>
        <v/>
      </c>
      <c r="N3212" s="863" t="n">
        <v>0.2825</v>
      </c>
      <c r="O3212" s="1384">
        <f>O3217/O3208</f>
        <v/>
      </c>
      <c r="P3212" s="1375">
        <f>P3217/P3208</f>
        <v/>
      </c>
    </row>
    <row r="3213" ht="15.75" customHeight="1" s="2">
      <c r="A3213" s="462" t="inlineStr">
        <is>
          <t>Wage % to Nett Sales</t>
        </is>
      </c>
      <c r="B3213" s="863" t="n">
        <v>0.3472</v>
      </c>
      <c r="C3213" s="1384">
        <f>C3217/C3209</f>
        <v/>
      </c>
      <c r="D3213" s="1375">
        <f>D3217/D3209</f>
        <v/>
      </c>
      <c r="E3213" s="863" t="n">
        <v>0.3326</v>
      </c>
      <c r="F3213" s="1384">
        <f>F3217/F3209</f>
        <v/>
      </c>
      <c r="G3213" s="1375">
        <f>G3217/G3209</f>
        <v/>
      </c>
      <c r="H3213" s="863" t="n">
        <v>0.3366</v>
      </c>
      <c r="I3213" s="1384">
        <f>I3217/I3209</f>
        <v/>
      </c>
      <c r="J3213" s="1375">
        <f>J3217/J3209</f>
        <v/>
      </c>
      <c r="K3213" s="863" t="n">
        <v>0.3486</v>
      </c>
      <c r="L3213" s="1384">
        <f>L3217/L3209</f>
        <v/>
      </c>
      <c r="M3213" s="1375">
        <f>M3217/M3209</f>
        <v/>
      </c>
      <c r="N3213" s="863" t="n">
        <v>0.3107</v>
      </c>
      <c r="O3213" s="1384">
        <f>O3217/O3209</f>
        <v/>
      </c>
      <c r="P3213" s="1375">
        <f>P3217/P3209</f>
        <v/>
      </c>
    </row>
    <row r="3214" ht="15.75" customHeight="1" s="2">
      <c r="A3214" s="462" t="inlineStr">
        <is>
          <t>Productivity</t>
        </is>
      </c>
      <c r="B3214" s="472" t="n">
        <v>5.47</v>
      </c>
      <c r="C3214" s="1385">
        <f>C3210/C3216</f>
        <v/>
      </c>
      <c r="D3214" s="1376">
        <f>D3210/D3216</f>
        <v/>
      </c>
      <c r="E3214" s="472" t="n">
        <v>5.19</v>
      </c>
      <c r="F3214" s="1385">
        <f>F3210/F3216</f>
        <v/>
      </c>
      <c r="G3214" s="1376">
        <f>G3210/G3216</f>
        <v/>
      </c>
      <c r="H3214" s="472" t="n">
        <v>5.32</v>
      </c>
      <c r="I3214" s="1385">
        <f>I3210/I3216</f>
        <v/>
      </c>
      <c r="J3214" s="1376">
        <f>J3210/J3216</f>
        <v/>
      </c>
      <c r="K3214" s="472" t="n">
        <v>5.4</v>
      </c>
      <c r="L3214" s="1385">
        <f>L3210/L3216</f>
        <v/>
      </c>
      <c r="M3214" s="1376">
        <f>M3210/M3216</f>
        <v/>
      </c>
      <c r="N3214" s="472" t="n">
        <v>5.27</v>
      </c>
      <c r="O3214" s="1385">
        <f>O3210/O3216</f>
        <v/>
      </c>
      <c r="P3214" s="1376">
        <f>P3210/P3216</f>
        <v/>
      </c>
    </row>
    <row r="3215" ht="15.75" customHeight="1" s="2">
      <c r="A3215" s="462" t="inlineStr">
        <is>
          <t>Average Hourly Rate</t>
        </is>
      </c>
      <c r="B3215" s="1649" t="n">
        <v>46.25</v>
      </c>
      <c r="C3215" s="1385" t="n">
        <v>52</v>
      </c>
      <c r="D3215" s="1706" t="n">
        <v>47.47</v>
      </c>
      <c r="E3215" s="1649" t="n">
        <v>39.59</v>
      </c>
      <c r="F3215" s="1385" t="n">
        <v>43</v>
      </c>
      <c r="G3215" s="1706" t="n">
        <v>41.7</v>
      </c>
      <c r="H3215" s="1649" t="n">
        <v>42.06</v>
      </c>
      <c r="I3215" s="1385" t="n">
        <v>43</v>
      </c>
      <c r="J3215" s="1706" t="n">
        <v>44.04</v>
      </c>
      <c r="K3215" s="1649" t="n">
        <v>45.6</v>
      </c>
      <c r="L3215" s="1385" t="n">
        <v>52</v>
      </c>
      <c r="M3215" s="1706" t="n">
        <v>50.18</v>
      </c>
      <c r="N3215" s="1649" t="n">
        <v>40.36</v>
      </c>
      <c r="O3215" s="1385" t="n">
        <v>43</v>
      </c>
      <c r="P3215" s="1706" t="n">
        <v>45.65</v>
      </c>
    </row>
    <row r="3216" ht="15.75" customHeight="1" s="2">
      <c r="A3216" s="462" t="inlineStr">
        <is>
          <t>Total hours for productivity</t>
        </is>
      </c>
      <c r="B3216" s="466" t="n">
        <v>1605.75</v>
      </c>
      <c r="C3216" s="1385" t="n">
        <v>1354</v>
      </c>
      <c r="D3216" s="1377" t="n">
        <v>1336.25</v>
      </c>
      <c r="E3216" s="466" t="n">
        <v>1253.75</v>
      </c>
      <c r="F3216" s="1385" t="n">
        <v>1138.5</v>
      </c>
      <c r="G3216" s="1377" t="n">
        <v>1081.5</v>
      </c>
      <c r="H3216" s="472" t="n">
        <v>1185.75</v>
      </c>
      <c r="I3216" s="1385" t="n">
        <v>1088</v>
      </c>
      <c r="J3216" s="1377" t="n">
        <v>1037.25</v>
      </c>
      <c r="K3216" s="466" t="n">
        <v>1353.75</v>
      </c>
      <c r="L3216" s="1385" t="n">
        <v>1158</v>
      </c>
      <c r="M3216" s="1377" t="n">
        <v>1129.25</v>
      </c>
      <c r="N3216" s="466" t="n">
        <v>1261.25</v>
      </c>
      <c r="O3216" s="1385" t="n">
        <v>980</v>
      </c>
      <c r="P3216" s="1377" t="n">
        <v>965.75</v>
      </c>
    </row>
    <row r="3217" ht="15.75" customHeight="1" s="2">
      <c r="A3217" s="462" t="inlineStr">
        <is>
          <t>wage costed</t>
        </is>
      </c>
      <c r="B3217" s="466" t="n"/>
      <c r="C3217" s="1386">
        <f>C3216*C3215</f>
        <v/>
      </c>
      <c r="D3217" s="1378">
        <f>D3216*D3215</f>
        <v/>
      </c>
      <c r="E3217" s="466" t="n"/>
      <c r="F3217" s="1386">
        <f>F3216*F3215</f>
        <v/>
      </c>
      <c r="G3217" s="1378">
        <f>G3216*G3215</f>
        <v/>
      </c>
      <c r="H3217" s="466" t="n"/>
      <c r="I3217" s="1386">
        <f>I3216*I3215</f>
        <v/>
      </c>
      <c r="J3217" s="1378">
        <f>J3216*J3215</f>
        <v/>
      </c>
      <c r="K3217" s="466" t="n"/>
      <c r="L3217" s="1386">
        <f>L3216*L3215</f>
        <v/>
      </c>
      <c r="M3217" s="1378">
        <f>M3216*M3215</f>
        <v/>
      </c>
      <c r="N3217" s="466" t="n"/>
      <c r="O3217" s="1386">
        <f>O3216*O3215</f>
        <v/>
      </c>
      <c r="P3217" s="1378">
        <f>P3216*P3215</f>
        <v/>
      </c>
    </row>
    <row r="3218" ht="15.75" customHeight="1" s="2" thickBot="1">
      <c r="A3218" s="474" t="inlineStr">
        <is>
          <t>Number of hours used to cover sick leave</t>
        </is>
      </c>
      <c r="B3218" s="476" t="n"/>
      <c r="C3218" s="1387" t="n"/>
      <c r="D3218" s="1379" t="n">
        <v>16</v>
      </c>
      <c r="E3218" s="476" t="n">
        <v>18</v>
      </c>
      <c r="F3218" s="1387" t="n">
        <v>15.5</v>
      </c>
      <c r="G3218" s="1379" t="n"/>
      <c r="H3218" s="476" t="n">
        <v>57</v>
      </c>
      <c r="I3218" s="1387" t="n"/>
      <c r="J3218" s="1379" t="n">
        <v>41.5</v>
      </c>
      <c r="K3218" s="476" t="n">
        <v>44.75</v>
      </c>
      <c r="L3218" s="1387" t="n"/>
      <c r="M3218" s="1379" t="n">
        <v>40.75</v>
      </c>
      <c r="N3218" s="476" t="n">
        <v>35.5</v>
      </c>
      <c r="O3218" s="1387" t="n"/>
      <c r="P3218" s="1379" t="n">
        <v>45.5</v>
      </c>
    </row>
    <row r="3219" ht="15.75" customHeight="1" s="2" thickBot="1">
      <c r="A3219" s="477" t="inlineStr">
        <is>
          <t xml:space="preserve">Minimum Hours </t>
        </is>
      </c>
      <c r="B3219" s="935" t="n"/>
      <c r="C3219" s="1388" t="inlineStr">
        <is>
          <t>Projected</t>
        </is>
      </c>
      <c r="D3219" s="1391" t="inlineStr">
        <is>
          <t>Min Hrs</t>
        </is>
      </c>
      <c r="E3219" s="935" t="n"/>
      <c r="F3219" s="1388" t="inlineStr">
        <is>
          <t>Projected</t>
        </is>
      </c>
      <c r="G3219" s="1391" t="inlineStr">
        <is>
          <t>Min Hrs</t>
        </is>
      </c>
      <c r="H3219" s="935" t="n"/>
      <c r="I3219" s="1388" t="inlineStr">
        <is>
          <t>Projected</t>
        </is>
      </c>
      <c r="J3219" s="1391" t="inlineStr">
        <is>
          <t>Min Hrs</t>
        </is>
      </c>
      <c r="K3219" s="935" t="n"/>
      <c r="L3219" s="1388" t="inlineStr">
        <is>
          <t>Projected</t>
        </is>
      </c>
      <c r="M3219" s="1391" t="inlineStr">
        <is>
          <t>Min Hrs</t>
        </is>
      </c>
      <c r="N3219" s="935" t="n"/>
      <c r="O3219" s="1388" t="inlineStr">
        <is>
          <t>Projected</t>
        </is>
      </c>
      <c r="P3219" s="1391" t="inlineStr">
        <is>
          <t>Min Hrs</t>
        </is>
      </c>
    </row>
    <row r="3220" ht="15.75" customHeight="1" s="2">
      <c r="A3220" s="479" t="inlineStr">
        <is>
          <t>Floor</t>
        </is>
      </c>
      <c r="B3220" s="810" t="n"/>
      <c r="C3220" s="1389" t="n">
        <v>680.25</v>
      </c>
      <c r="D3220" s="1392" t="n">
        <v>432</v>
      </c>
      <c r="E3220" s="810" t="n"/>
      <c r="F3220" s="1389" t="n">
        <v>572</v>
      </c>
      <c r="G3220" s="1392" t="n">
        <v>432</v>
      </c>
      <c r="H3220" s="810" t="n"/>
      <c r="I3220" s="1389" t="n">
        <v>589</v>
      </c>
      <c r="J3220" s="1392" t="n">
        <v>470</v>
      </c>
      <c r="K3220" s="810" t="n"/>
      <c r="L3220" s="1389" t="n">
        <v>616.5</v>
      </c>
      <c r="M3220" s="1392" t="n">
        <v>432</v>
      </c>
      <c r="N3220" s="810" t="n"/>
      <c r="O3220" s="1389" t="n">
        <v>519.5</v>
      </c>
      <c r="P3220" s="1392" t="n">
        <v>407</v>
      </c>
    </row>
    <row r="3221" ht="15.75" customHeight="1" s="2" thickBot="1">
      <c r="A3221" s="481" t="inlineStr">
        <is>
          <t>Kitchen</t>
        </is>
      </c>
      <c r="B3221" s="813" t="n"/>
      <c r="C3221" s="1387" t="n">
        <v>628.25</v>
      </c>
      <c r="D3221" s="1393" t="n">
        <v>463</v>
      </c>
      <c r="E3221" s="813" t="n"/>
      <c r="F3221" s="1390" t="n">
        <v>566.5</v>
      </c>
      <c r="G3221" s="1393" t="n">
        <v>463</v>
      </c>
      <c r="H3221" s="813" t="n"/>
      <c r="I3221" s="1390" t="n">
        <v>499</v>
      </c>
      <c r="J3221" s="1393" t="n">
        <v>463</v>
      </c>
      <c r="K3221" s="813" t="n"/>
      <c r="L3221" s="1390" t="n">
        <v>541.5</v>
      </c>
      <c r="M3221" s="1393" t="n">
        <v>436</v>
      </c>
      <c r="N3221" s="813" t="n"/>
      <c r="O3221" s="1387" t="n">
        <v>460.5</v>
      </c>
      <c r="P3221" s="1393" t="n">
        <v>436</v>
      </c>
    </row>
    <row r="3222" ht="15.75" customHeight="1" s="2" thickBot="1">
      <c r="A3222" s="834" t="n"/>
      <c r="B3222" s="836" t="n"/>
      <c r="C3222" s="1220" t="n"/>
      <c r="D3222" s="1220" t="n"/>
      <c r="E3222" s="839" t="n"/>
      <c r="F3222" s="1220" t="n"/>
      <c r="G3222" s="1220" t="n"/>
      <c r="H3222" s="839" t="n"/>
      <c r="I3222" s="1220" t="n"/>
      <c r="J3222" s="1220" t="n"/>
      <c r="K3222" s="839" t="n"/>
      <c r="L3222" s="1220" t="n"/>
      <c r="M3222" s="1220" t="n"/>
      <c r="N3222" s="839" t="n"/>
      <c r="O3222" s="835" t="n"/>
      <c r="P3222" s="835" t="n"/>
    </row>
    <row r="3223" ht="15.75" customHeight="1" s="2">
      <c r="A3223" s="506" t="inlineStr">
        <is>
          <t>Training explanation</t>
        </is>
      </c>
      <c r="B3223" s="837" t="n"/>
      <c r="C3223" s="1220" t="n"/>
      <c r="D3223" s="1220" t="n"/>
      <c r="E3223" s="837" t="n"/>
      <c r="F3223" s="1220" t="n"/>
      <c r="G3223" s="1220" t="n"/>
      <c r="H3223" s="837" t="n"/>
      <c r="I3223" s="1220" t="n"/>
      <c r="J3223" s="1220" t="n"/>
      <c r="K3223" s="837" t="n"/>
      <c r="L3223" s="1220" t="n"/>
      <c r="M3223" s="1220" t="n"/>
      <c r="N3223" s="837" t="n"/>
      <c r="O3223" s="835" t="n"/>
      <c r="P3223" s="835" t="n"/>
    </row>
    <row r="3224" ht="15.75" customHeight="1" s="2" thickBot="1">
      <c r="A3224" s="506" t="inlineStr">
        <is>
          <t>Who is being Trained</t>
        </is>
      </c>
      <c r="B3224" s="838" t="n"/>
      <c r="C3224" s="1221" t="n"/>
      <c r="D3224" s="1221" t="n"/>
      <c r="E3224" s="838" t="n"/>
      <c r="F3224" s="1221" t="n"/>
      <c r="G3224" s="1221" t="n"/>
      <c r="H3224" s="838" t="n"/>
      <c r="I3224" s="1221" t="n"/>
      <c r="J3224" s="1221" t="n"/>
      <c r="K3224" s="838" t="n"/>
      <c r="L3224" s="1221" t="n"/>
      <c r="M3224" s="1221" t="n"/>
      <c r="N3224" s="838" t="n"/>
    </row>
    <row r="3225" ht="15.75" customHeight="1" s="2" thickBot="1">
      <c r="A3225" s="506" t="n"/>
      <c r="C3225" s="523" t="inlineStr">
        <is>
          <t>floor</t>
        </is>
      </c>
      <c r="D3225" s="524" t="inlineStr">
        <is>
          <t>kitchen</t>
        </is>
      </c>
      <c r="E3225" s="509" t="n"/>
      <c r="F3225" s="507" t="inlineStr">
        <is>
          <t>floor</t>
        </is>
      </c>
      <c r="G3225" s="508" t="inlineStr">
        <is>
          <t>kitchen</t>
        </is>
      </c>
      <c r="H3225" s="510" t="n"/>
      <c r="I3225" s="535" t="inlineStr">
        <is>
          <t>floor</t>
        </is>
      </c>
      <c r="J3225" s="511" t="inlineStr">
        <is>
          <t>kitchen</t>
        </is>
      </c>
      <c r="K3225" s="512" t="n"/>
      <c r="L3225" s="535" t="inlineStr">
        <is>
          <t>floor</t>
        </is>
      </c>
      <c r="M3225" s="513" t="inlineStr">
        <is>
          <t>kitchen</t>
        </is>
      </c>
      <c r="N3225" s="512" t="n"/>
      <c r="O3225" s="535" t="inlineStr">
        <is>
          <t>floor</t>
        </is>
      </c>
      <c r="P3225" s="513" t="inlineStr">
        <is>
          <t>kitchen</t>
        </is>
      </c>
    </row>
    <row r="3226" ht="15.75" customHeight="1" s="2">
      <c r="A3226" s="506" t="n"/>
      <c r="C3226" s="525" t="n"/>
      <c r="D3226" s="527" t="n"/>
      <c r="E3226" s="514" t="n"/>
      <c r="F3226" s="525" t="n"/>
      <c r="G3226" s="527" t="n"/>
      <c r="H3226" s="515" t="n"/>
      <c r="I3226" s="531" t="n"/>
      <c r="J3226" s="824" t="n"/>
      <c r="K3226" s="515" t="n"/>
      <c r="L3226" s="536" t="n"/>
      <c r="M3226" s="532" t="n"/>
      <c r="N3226" s="515" t="n"/>
      <c r="O3226" s="536" t="n"/>
      <c r="P3226" s="532" t="n"/>
    </row>
    <row r="3227" ht="15.75" customHeight="1" s="2">
      <c r="C3227" s="891" t="n"/>
      <c r="D3227" s="526" t="n"/>
      <c r="E3227" s="514" t="n"/>
      <c r="F3227" s="891" t="n"/>
      <c r="G3227" s="526" t="n"/>
      <c r="H3227" s="516" t="n"/>
      <c r="I3227" s="1656" t="n"/>
      <c r="J3227" s="530" t="n"/>
      <c r="K3227" s="516" t="n"/>
      <c r="L3227" s="542" t="n"/>
      <c r="M3227" s="530" t="n"/>
      <c r="N3227" s="516" t="n"/>
      <c r="O3227" s="542" t="n"/>
      <c r="P3227" s="530" t="n"/>
    </row>
    <row r="3228" ht="15.75" customHeight="1" s="2">
      <c r="C3228" s="550" t="n"/>
      <c r="D3228" s="527" t="n"/>
      <c r="E3228" s="514" t="n"/>
      <c r="F3228" s="531" t="n"/>
      <c r="G3228" s="530" t="n"/>
      <c r="H3228" s="516" t="n"/>
      <c r="I3228" s="537" t="n"/>
      <c r="J3228" s="530" t="n"/>
      <c r="K3228" s="516" t="n"/>
      <c r="L3228" s="1657" t="n"/>
      <c r="M3228" s="539" t="n"/>
      <c r="N3228" s="516" t="n"/>
      <c r="O3228" s="542" t="n"/>
      <c r="P3228" s="539" t="n"/>
    </row>
    <row r="3229" ht="15.75" customHeight="1" s="2">
      <c r="C3229" s="561" t="n"/>
      <c r="D3229" s="561" t="n"/>
      <c r="E3229" s="519" t="n"/>
      <c r="F3229" s="517" t="n"/>
      <c r="G3229" s="1659" t="n"/>
      <c r="H3229" s="516" t="n"/>
      <c r="I3229" s="537" t="n"/>
      <c r="J3229" s="530" t="n"/>
      <c r="K3229" s="516" t="n"/>
      <c r="L3229" s="537" t="n"/>
      <c r="M3229" s="539" t="n"/>
      <c r="N3229" s="516" t="n"/>
      <c r="O3229" s="537" t="n"/>
      <c r="P3229" s="539" t="n"/>
    </row>
    <row r="3230" ht="15.75" customHeight="1" s="2">
      <c r="C3230" s="551" t="n"/>
      <c r="D3230" s="528" t="n"/>
      <c r="E3230" s="519" t="n"/>
      <c r="F3230" s="517" t="n"/>
      <c r="G3230" s="518" t="n"/>
      <c r="H3230" s="516" t="n"/>
      <c r="I3230" s="537" t="n"/>
      <c r="J3230" s="533" t="n"/>
      <c r="K3230" s="516" t="n"/>
      <c r="L3230" s="537" t="n"/>
      <c r="M3230" s="540" t="n"/>
      <c r="N3230" s="516" t="n"/>
      <c r="O3230" s="537" t="n"/>
      <c r="P3230" s="540" t="n"/>
    </row>
    <row r="3231" ht="15.75" customHeight="1" s="2">
      <c r="C3231" s="550" t="n"/>
      <c r="D3231" s="527" t="n"/>
      <c r="E3231" s="514" t="n"/>
      <c r="F3231" s="531" t="n"/>
      <c r="G3231" s="530" t="n"/>
      <c r="H3231" s="516" t="n"/>
      <c r="I3231" s="537" t="n"/>
      <c r="J3231" s="530" t="n"/>
      <c r="K3231" s="516" t="n"/>
      <c r="L3231" s="1657" t="n"/>
      <c r="M3231" s="539" t="n"/>
      <c r="N3231" s="516" t="n"/>
      <c r="O3231" s="542" t="n"/>
      <c r="P3231" s="539" t="n"/>
    </row>
    <row r="3232" ht="15.75" customHeight="1" s="2">
      <c r="C3232" s="561" t="n"/>
      <c r="D3232" s="561" t="n"/>
      <c r="E3232" s="519" t="n"/>
      <c r="F3232" s="517" t="n"/>
      <c r="G3232" s="1659" t="n"/>
      <c r="H3232" s="516" t="n"/>
      <c r="I3232" s="537" t="n"/>
      <c r="J3232" s="530" t="n"/>
      <c r="K3232" s="516" t="n"/>
      <c r="L3232" s="537" t="n"/>
      <c r="M3232" s="539" t="n"/>
      <c r="N3232" s="516" t="n"/>
      <c r="O3232" s="537" t="n"/>
      <c r="P3232" s="539" t="n"/>
    </row>
    <row r="3233" ht="15.75" customHeight="1" s="2">
      <c r="C3233" s="551" t="n"/>
      <c r="D3233" s="528" t="n"/>
      <c r="E3233" s="519" t="n"/>
      <c r="F3233" s="517" t="n"/>
      <c r="G3233" s="518" t="n"/>
      <c r="H3233" s="516" t="n"/>
      <c r="I3233" s="537" t="n"/>
      <c r="J3233" s="533" t="n"/>
      <c r="K3233" s="516" t="n"/>
      <c r="L3233" s="537" t="n"/>
      <c r="M3233" s="540" t="n"/>
      <c r="N3233" s="516" t="n"/>
      <c r="O3233" s="537" t="n"/>
      <c r="P3233" s="540" t="n"/>
    </row>
    <row r="3235" ht="15.75" customHeight="1" s="2" thickBot="1"/>
    <row r="3236" ht="15.75" customHeight="1" s="2" thickBot="1">
      <c r="B3236" s="1482" t="n"/>
      <c r="C3236" s="1360" t="inlineStr">
        <is>
          <t>09.02.2026</t>
        </is>
      </c>
      <c r="D3236" s="1484" t="n"/>
      <c r="E3236" s="1485" t="n"/>
      <c r="F3236" s="1402" t="inlineStr">
        <is>
          <t>16.02.2026</t>
        </is>
      </c>
      <c r="G3236" s="1487" t="n"/>
      <c r="H3236" s="1485" t="n"/>
      <c r="I3236" s="1403" t="inlineStr">
        <is>
          <t>23.02.2026</t>
        </is>
      </c>
      <c r="J3236" s="1487" t="n"/>
      <c r="K3236" s="1485" t="n"/>
      <c r="L3236" s="1486" t="n"/>
      <c r="M3236" s="1404" t="inlineStr">
        <is>
          <t>02.03.2026</t>
        </is>
      </c>
      <c r="N3236" s="1488" t="n"/>
      <c r="O3236" s="1406" t="inlineStr">
        <is>
          <t>09.03.2026</t>
        </is>
      </c>
      <c r="P3236" s="1490" t="n"/>
    </row>
    <row r="3237" ht="15.75" customHeight="1" s="2" thickBot="1">
      <c r="A3237" s="455" t="n"/>
      <c r="B3237" s="1394" t="inlineStr">
        <is>
          <t>LAST YEAR</t>
        </is>
      </c>
      <c r="C3237" s="1395" t="inlineStr">
        <is>
          <t>Projected</t>
        </is>
      </c>
      <c r="D3237" s="1396" t="inlineStr">
        <is>
          <t>Actual</t>
        </is>
      </c>
      <c r="E3237" s="1394" t="inlineStr">
        <is>
          <t>LAST YEAR</t>
        </is>
      </c>
      <c r="F3237" s="1395" t="inlineStr">
        <is>
          <t>Projected</t>
        </is>
      </c>
      <c r="G3237" s="1396" t="inlineStr">
        <is>
          <t>Actual</t>
        </is>
      </c>
      <c r="H3237" s="1394" t="inlineStr">
        <is>
          <t>LAST YEAR</t>
        </is>
      </c>
      <c r="I3237" s="1395" t="inlineStr">
        <is>
          <t>Projected</t>
        </is>
      </c>
      <c r="J3237" s="1396" t="inlineStr">
        <is>
          <t>Actual</t>
        </is>
      </c>
      <c r="K3237" s="1394" t="inlineStr">
        <is>
          <t>LAST YEAR</t>
        </is>
      </c>
      <c r="L3237" s="1395" t="inlineStr">
        <is>
          <t>Projected</t>
        </is>
      </c>
      <c r="M3237" s="1396" t="inlineStr">
        <is>
          <t>Actual</t>
        </is>
      </c>
      <c r="N3237" s="1394" t="inlineStr">
        <is>
          <t>LAST YEAR</t>
        </is>
      </c>
      <c r="O3237" s="1395" t="inlineStr">
        <is>
          <t>Projected</t>
        </is>
      </c>
      <c r="P3237" s="1396" t="inlineStr">
        <is>
          <t>Actual</t>
        </is>
      </c>
    </row>
    <row r="3238" ht="15.75" customHeight="1" s="2">
      <c r="A3238" s="459" t="inlineStr">
        <is>
          <t>Total Receipts</t>
        </is>
      </c>
      <c r="B3238" s="1645" t="n">
        <v>128952.4</v>
      </c>
      <c r="C3238" s="1700" t="n">
        <v>131912</v>
      </c>
      <c r="D3238" s="1701" t="n">
        <v>115867.14</v>
      </c>
      <c r="E3238" s="1645" t="n">
        <v>139235.52</v>
      </c>
      <c r="F3238" s="1700" t="n">
        <v>127710</v>
      </c>
      <c r="G3238" s="1701" t="n">
        <v>168871.98</v>
      </c>
      <c r="H3238" s="1645" t="n">
        <v>132388.79</v>
      </c>
      <c r="I3238" s="1700" t="n">
        <v>142415</v>
      </c>
      <c r="J3238" s="1701" t="n">
        <v>156960.72</v>
      </c>
      <c r="K3238" s="1645" t="n">
        <v>118639.07</v>
      </c>
      <c r="L3238" s="1700" t="n">
        <v>116057</v>
      </c>
      <c r="M3238" s="1701" t="n">
        <v>121270.44</v>
      </c>
      <c r="N3238" s="1645" t="n">
        <v>141092.29</v>
      </c>
      <c r="O3238" s="1700" t="n">
        <v>123726</v>
      </c>
      <c r="P3238" s="1701" t="n">
        <v>101519.37</v>
      </c>
    </row>
    <row r="3239" ht="15.75" customHeight="1" s="2">
      <c r="A3239" s="462" t="inlineStr">
        <is>
          <t>Nett Sales</t>
        </is>
      </c>
      <c r="B3239" s="1625" t="n">
        <v>117229.45</v>
      </c>
      <c r="C3239" s="1702" t="n">
        <v>119919.5</v>
      </c>
      <c r="D3239" s="1703" t="n">
        <v>105333.76</v>
      </c>
      <c r="E3239" s="1637" t="n">
        <v>126577.75</v>
      </c>
      <c r="F3239" s="1702" t="n">
        <v>116100</v>
      </c>
      <c r="G3239" s="1703" t="n">
        <v>153519.98</v>
      </c>
      <c r="H3239" s="1625" t="n">
        <v>120353.45</v>
      </c>
      <c r="I3239" s="1702" t="n">
        <v>129468</v>
      </c>
      <c r="J3239" s="1703" t="n">
        <v>142691.56</v>
      </c>
      <c r="K3239" s="1625" t="n">
        <v>107853.7</v>
      </c>
      <c r="L3239" s="1702" t="n">
        <v>105505.9</v>
      </c>
      <c r="M3239" s="1703" t="n">
        <v>110245.85</v>
      </c>
      <c r="N3239" s="1625" t="n">
        <v>128265.72</v>
      </c>
      <c r="O3239" s="1702" t="n">
        <v>112478.2</v>
      </c>
      <c r="P3239" s="1703" t="n">
        <v>92290.34</v>
      </c>
    </row>
    <row r="3240" ht="15.75" customHeight="1" s="2">
      <c r="A3240" s="462" t="inlineStr">
        <is>
          <t>Customers</t>
        </is>
      </c>
      <c r="B3240" s="466" t="n">
        <v>4949</v>
      </c>
      <c r="C3240" s="1382" t="n">
        <v>5315</v>
      </c>
      <c r="D3240" s="1704" t="n">
        <v>4425</v>
      </c>
      <c r="E3240" s="466" t="n">
        <v>5166</v>
      </c>
      <c r="F3240" s="1382" t="n">
        <v>5140</v>
      </c>
      <c r="G3240" s="1704" t="n">
        <v>6090</v>
      </c>
      <c r="H3240" s="466" t="n">
        <v>4915</v>
      </c>
      <c r="I3240" s="1382" t="n">
        <v>5735</v>
      </c>
      <c r="J3240" s="1704" t="n">
        <v>5519</v>
      </c>
      <c r="K3240" s="466" t="n">
        <v>4449</v>
      </c>
      <c r="L3240" s="1382" t="n">
        <v>4685</v>
      </c>
      <c r="M3240" s="1704" t="n">
        <v>4464</v>
      </c>
      <c r="N3240" s="1655" t="n">
        <v>5235</v>
      </c>
      <c r="O3240" s="1382" t="n">
        <v>4990</v>
      </c>
      <c r="P3240" s="1704" t="n">
        <v>3896</v>
      </c>
    </row>
    <row r="3241" ht="15.75" customHeight="1" s="2">
      <c r="A3241" s="462" t="inlineStr">
        <is>
          <t>Average Customer Spend</t>
        </is>
      </c>
      <c r="B3241" s="1649" t="n">
        <v>26.05</v>
      </c>
      <c r="C3241" s="1705" t="n">
        <v>24.82</v>
      </c>
      <c r="D3241" s="1706" t="n">
        <v>26.18</v>
      </c>
      <c r="E3241" s="1649" t="n">
        <v>26.95</v>
      </c>
      <c r="F3241" s="1705" t="n">
        <v>24.85</v>
      </c>
      <c r="G3241" s="1706" t="n">
        <v>27.72</v>
      </c>
      <c r="H3241" s="1649" t="n">
        <v>26.93</v>
      </c>
      <c r="I3241" s="1705" t="n">
        <v>24.83</v>
      </c>
      <c r="J3241" s="1706" t="n">
        <v>28.44</v>
      </c>
      <c r="K3241" s="1649" t="n">
        <v>26.66</v>
      </c>
      <c r="L3241" s="1705" t="n">
        <v>24.77</v>
      </c>
      <c r="M3241" s="1706" t="n">
        <v>27.16</v>
      </c>
      <c r="N3241" s="1649" t="n">
        <v>26.95</v>
      </c>
      <c r="O3241" s="1705" t="n">
        <v>24.79</v>
      </c>
      <c r="P3241" s="1706" t="n">
        <v>26.05</v>
      </c>
    </row>
    <row r="3242" ht="15.75" customHeight="1" s="2">
      <c r="A3242" s="462" t="inlineStr">
        <is>
          <t>Wage % to Total Receipts</t>
        </is>
      </c>
      <c r="B3242" s="863" t="n">
        <v>0.3472</v>
      </c>
      <c r="C3242" s="1384">
        <f>C3247/C3238</f>
        <v/>
      </c>
      <c r="D3242" s="1375">
        <f>D3247/D3238</f>
        <v/>
      </c>
      <c r="E3242" s="863" t="n">
        <v>0.3045</v>
      </c>
      <c r="F3242" s="1384">
        <f>F3247/F3238</f>
        <v/>
      </c>
      <c r="G3242" s="1375">
        <f>G3247/G3238</f>
        <v/>
      </c>
      <c r="H3242" s="863" t="n">
        <v>0.3182</v>
      </c>
      <c r="I3242" s="1384">
        <f>I3247/I3238</f>
        <v/>
      </c>
      <c r="J3242" s="1375">
        <f>J3247/J3238</f>
        <v/>
      </c>
      <c r="K3242" s="863" t="n">
        <v>0.3425</v>
      </c>
      <c r="L3242" s="1384">
        <f>L3247/L3238</f>
        <v/>
      </c>
      <c r="M3242" s="1375" t="n">
        <v>0.3314</v>
      </c>
      <c r="N3242" s="863" t="n">
        <v>0.3087</v>
      </c>
      <c r="O3242" s="1384">
        <f>O3247/O3238</f>
        <v/>
      </c>
      <c r="P3242" s="1375">
        <f>P3247/P3238</f>
        <v/>
      </c>
    </row>
    <row r="3243" ht="15.75" customHeight="1" s="2">
      <c r="A3243" s="462" t="inlineStr">
        <is>
          <t>Wage % to Nett Sales</t>
        </is>
      </c>
      <c r="B3243" s="863" t="n">
        <v>0.382</v>
      </c>
      <c r="C3243" s="1384">
        <f>C3247/C3239</f>
        <v/>
      </c>
      <c r="D3243" s="1375">
        <f>D3247/D3239</f>
        <v/>
      </c>
      <c r="E3243" s="863" t="n">
        <v>0.335</v>
      </c>
      <c r="F3243" s="1384">
        <f>F3247/F3239</f>
        <v/>
      </c>
      <c r="G3243" s="1375">
        <f>G3247/G3239</f>
        <v/>
      </c>
      <c r="H3243" s="863" t="n">
        <v>0.35</v>
      </c>
      <c r="I3243" s="1384">
        <f>I3247/I3239</f>
        <v/>
      </c>
      <c r="J3243" s="1375">
        <f>J3247/J3239</f>
        <v/>
      </c>
      <c r="K3243" s="863" t="n">
        <v>0.3767</v>
      </c>
      <c r="L3243" s="1384">
        <f>L3247/L3239</f>
        <v/>
      </c>
      <c r="M3243" s="1375" t="n">
        <v>0.3646</v>
      </c>
      <c r="N3243" s="863" t="n">
        <v>0.3396</v>
      </c>
      <c r="O3243" s="1384">
        <f>O3247/O3239</f>
        <v/>
      </c>
      <c r="P3243" s="1375">
        <f>P3247/P3239</f>
        <v/>
      </c>
    </row>
    <row r="3244" ht="15.75" customHeight="1" s="2">
      <c r="A3244" s="462" t="inlineStr">
        <is>
          <t>Productivity</t>
        </is>
      </c>
      <c r="B3244" s="472" t="n">
        <v>4.51</v>
      </c>
      <c r="C3244" s="1385">
        <f>C3240/C3246</f>
        <v/>
      </c>
      <c r="D3244" s="1376">
        <f>D3240/D3246</f>
        <v/>
      </c>
      <c r="E3244" s="472" t="n">
        <v>5.01</v>
      </c>
      <c r="F3244" s="1385">
        <f>F3240/F3246</f>
        <v/>
      </c>
      <c r="G3244" s="1376">
        <f>G3240/G3246</f>
        <v/>
      </c>
      <c r="H3244" s="472" t="n">
        <v>4.97</v>
      </c>
      <c r="I3244" s="1385">
        <f>I3240/I3246</f>
        <v/>
      </c>
      <c r="J3244" s="1376">
        <f>J3240/J3246</f>
        <v/>
      </c>
      <c r="K3244" s="472" t="n">
        <v>4.49</v>
      </c>
      <c r="L3244" s="1385">
        <f>L3240/L3246</f>
        <v/>
      </c>
      <c r="M3244" s="1376">
        <f>M3240/M3246</f>
        <v/>
      </c>
      <c r="N3244" s="472" t="n">
        <v>4.96</v>
      </c>
      <c r="O3244" s="1385">
        <f>O3240/O3246</f>
        <v/>
      </c>
      <c r="P3244" s="1376">
        <f>P3240/P3246</f>
        <v/>
      </c>
    </row>
    <row r="3245" ht="15.75" customHeight="1" s="2">
      <c r="A3245" s="462" t="inlineStr">
        <is>
          <t>Average Hourly Rate</t>
        </is>
      </c>
      <c r="B3245" s="1649" t="n">
        <v>40.85</v>
      </c>
      <c r="C3245" s="1385" t="n">
        <v>43</v>
      </c>
      <c r="D3245" s="1706" t="n">
        <v>44.46</v>
      </c>
      <c r="E3245" s="1649" t="n">
        <v>41.14</v>
      </c>
      <c r="F3245" s="1385" t="n">
        <v>43</v>
      </c>
      <c r="G3245" s="1706" t="n">
        <v>42.43</v>
      </c>
      <c r="H3245" s="1649" t="n">
        <v>42.6</v>
      </c>
      <c r="I3245" s="1385" t="n">
        <v>43</v>
      </c>
      <c r="J3245" s="1706" t="n">
        <v>42.11</v>
      </c>
      <c r="K3245" s="1649" t="n">
        <v>40.99</v>
      </c>
      <c r="L3245" s="1385" t="n">
        <v>43</v>
      </c>
      <c r="M3245" s="1706" t="n">
        <v>44.79</v>
      </c>
      <c r="N3245" s="1649" t="n">
        <v>41.25</v>
      </c>
      <c r="O3245" s="1385" t="n">
        <v>43</v>
      </c>
      <c r="P3245" s="1706" t="n">
        <v>43.16</v>
      </c>
    </row>
    <row r="3246" ht="15.75" customHeight="1" s="2">
      <c r="A3246" s="462" t="inlineStr">
        <is>
          <t>Total hours for productivity</t>
        </is>
      </c>
      <c r="B3246" s="466" t="n">
        <v>1096.25</v>
      </c>
      <c r="C3246" s="1385" t="n">
        <v>1017.5</v>
      </c>
      <c r="D3246" s="1377" t="n">
        <v>934.25</v>
      </c>
      <c r="E3246" s="466" t="n">
        <v>1030.5</v>
      </c>
      <c r="F3246" s="1385" t="n">
        <v>954.5</v>
      </c>
      <c r="G3246" s="1377" t="n">
        <v>1019</v>
      </c>
      <c r="H3246" s="472" t="n">
        <v>989</v>
      </c>
      <c r="I3246" s="1385" t="n">
        <v>1024</v>
      </c>
      <c r="J3246" s="1377" t="n">
        <v>1016.75</v>
      </c>
      <c r="K3246" s="466" t="n">
        <v>991.25</v>
      </c>
      <c r="L3246" s="1385" t="n">
        <v>919</v>
      </c>
      <c r="M3246" s="1377" t="n">
        <v>897.5</v>
      </c>
      <c r="N3246" s="466" t="n">
        <v>1056</v>
      </c>
      <c r="O3246" s="1385" t="n">
        <v>905.5</v>
      </c>
      <c r="P3246" s="1377" t="n">
        <v>879</v>
      </c>
    </row>
    <row r="3247" ht="15.75" customHeight="1" s="2">
      <c r="A3247" s="462" t="inlineStr">
        <is>
          <t>wage costed</t>
        </is>
      </c>
      <c r="B3247" s="466" t="n"/>
      <c r="C3247" s="1386">
        <f>C3246*C3245</f>
        <v/>
      </c>
      <c r="D3247" s="1378">
        <f>D3246*D3245</f>
        <v/>
      </c>
      <c r="E3247" s="466" t="n"/>
      <c r="F3247" s="1386">
        <f>F3246*F3245</f>
        <v/>
      </c>
      <c r="G3247" s="1378">
        <f>G3246*G3245</f>
        <v/>
      </c>
      <c r="H3247" s="466" t="n"/>
      <c r="I3247" s="1386">
        <f>I3246*I3245</f>
        <v/>
      </c>
      <c r="J3247" s="1378">
        <f>J3246*J3245</f>
        <v/>
      </c>
      <c r="K3247" s="466" t="n"/>
      <c r="L3247" s="1386">
        <f>L3246*L3245</f>
        <v/>
      </c>
      <c r="M3247" s="1378" t="n">
        <v>33712</v>
      </c>
      <c r="N3247" s="466" t="n"/>
      <c r="O3247" s="1386">
        <f>O3246*O3245</f>
        <v/>
      </c>
      <c r="P3247" s="1378">
        <f>P3246*P3245</f>
        <v/>
      </c>
    </row>
    <row r="3248" ht="15.75" customHeight="1" s="2" thickBot="1">
      <c r="A3248" s="474" t="inlineStr">
        <is>
          <t>Number of hours used to cover sick leave</t>
        </is>
      </c>
      <c r="B3248" s="476" t="n">
        <v>22.5</v>
      </c>
      <c r="C3248" s="1387" t="n"/>
      <c r="D3248" s="1379" t="n">
        <v>22</v>
      </c>
      <c r="E3248" s="476" t="n">
        <v>32.5</v>
      </c>
      <c r="F3248" s="1387" t="n"/>
      <c r="G3248" s="1379" t="n">
        <v>5</v>
      </c>
      <c r="H3248" s="476" t="n">
        <v>49.25</v>
      </c>
      <c r="I3248" s="1387" t="n"/>
      <c r="J3248" s="1379" t="n">
        <v>23.75</v>
      </c>
      <c r="K3248" s="476" t="n">
        <v>19</v>
      </c>
      <c r="L3248" s="1387" t="n"/>
      <c r="M3248" s="1379" t="n">
        <v>42.25</v>
      </c>
      <c r="N3248" s="476" t="n">
        <v>25.5</v>
      </c>
      <c r="O3248" s="1387" t="n"/>
      <c r="P3248" s="1379" t="n">
        <v>19.75</v>
      </c>
    </row>
    <row r="3249" ht="15.75" customHeight="1" s="2" thickBot="1">
      <c r="A3249" s="477" t="inlineStr">
        <is>
          <t xml:space="preserve">Minimum Hours </t>
        </is>
      </c>
      <c r="B3249" s="935" t="n"/>
      <c r="C3249" s="1388" t="inlineStr">
        <is>
          <t>Projected</t>
        </is>
      </c>
      <c r="D3249" s="1391" t="inlineStr">
        <is>
          <t>Min Hrs</t>
        </is>
      </c>
      <c r="E3249" s="935" t="n"/>
      <c r="F3249" s="1388" t="inlineStr">
        <is>
          <t>Projected</t>
        </is>
      </c>
      <c r="G3249" s="1391" t="inlineStr">
        <is>
          <t>Min Hrs</t>
        </is>
      </c>
      <c r="H3249" s="935" t="n"/>
      <c r="I3249" s="1388" t="inlineStr">
        <is>
          <t>Projected</t>
        </is>
      </c>
      <c r="J3249" s="1391" t="inlineStr">
        <is>
          <t>Min Hrs</t>
        </is>
      </c>
      <c r="K3249" s="935" t="n"/>
      <c r="L3249" s="1388" t="inlineStr">
        <is>
          <t>Projected</t>
        </is>
      </c>
      <c r="M3249" s="1391" t="inlineStr">
        <is>
          <t>Min Hrs</t>
        </is>
      </c>
      <c r="N3249" s="935" t="n"/>
      <c r="O3249" s="1388" t="inlineStr">
        <is>
          <t>Projected</t>
        </is>
      </c>
      <c r="P3249" s="1391" t="n"/>
    </row>
    <row r="3250" ht="15.75" customHeight="1" s="2">
      <c r="A3250" s="479" t="inlineStr">
        <is>
          <t>Floor</t>
        </is>
      </c>
      <c r="B3250" s="810" t="n"/>
      <c r="C3250" s="1389" t="n">
        <v>512.5</v>
      </c>
      <c r="D3250" s="1392" t="n">
        <v>407</v>
      </c>
      <c r="E3250" s="810" t="n"/>
      <c r="F3250" s="1389" t="n">
        <v>508.5</v>
      </c>
      <c r="G3250" s="1392" t="n">
        <v>400</v>
      </c>
      <c r="H3250" s="810" t="n"/>
      <c r="I3250" s="1389" t="n">
        <v>563</v>
      </c>
      <c r="J3250" s="1392" t="n">
        <v>420</v>
      </c>
      <c r="K3250" s="810" t="n"/>
      <c r="L3250" s="1389" t="n">
        <v>483</v>
      </c>
      <c r="M3250" s="1392" t="n">
        <v>420</v>
      </c>
      <c r="N3250" s="810" t="n"/>
      <c r="O3250" s="1389" t="n">
        <v>468.5</v>
      </c>
      <c r="P3250" s="1392" t="n">
        <v>420</v>
      </c>
    </row>
    <row r="3251" ht="15.75" customHeight="1" s="2" thickBot="1">
      <c r="A3251" s="481" t="inlineStr">
        <is>
          <t>Kitchen</t>
        </is>
      </c>
      <c r="B3251" s="813" t="n"/>
      <c r="C3251" s="1387" t="n">
        <v>505</v>
      </c>
      <c r="D3251" s="1393" t="n">
        <v>436</v>
      </c>
      <c r="E3251" s="813" t="n"/>
      <c r="F3251" s="1390" t="n">
        <v>446</v>
      </c>
      <c r="G3251" s="1393" t="n">
        <v>378</v>
      </c>
      <c r="H3251" s="813" t="n"/>
      <c r="I3251" s="1390" t="n">
        <v>461</v>
      </c>
      <c r="J3251" s="1393" t="n">
        <v>378</v>
      </c>
      <c r="K3251" s="813" t="n"/>
      <c r="L3251" s="1390" t="n">
        <v>436</v>
      </c>
      <c r="M3251" s="1393" t="n">
        <v>378</v>
      </c>
      <c r="N3251" s="813" t="n"/>
      <c r="O3251" s="1387" t="n">
        <v>437</v>
      </c>
      <c r="P3251" s="1393" t="n">
        <v>378</v>
      </c>
    </row>
    <row r="3252" ht="15.75" customHeight="1" s="2" thickBot="1">
      <c r="A3252" s="834" t="n"/>
      <c r="B3252" s="836" t="n"/>
      <c r="C3252" s="1220" t="n"/>
      <c r="D3252" s="1220" t="n"/>
      <c r="E3252" s="839" t="n"/>
      <c r="F3252" s="1220" t="n"/>
      <c r="G3252" s="1220" t="n"/>
      <c r="H3252" s="839" t="n"/>
      <c r="I3252" s="1220" t="n"/>
      <c r="J3252" s="1220" t="n"/>
      <c r="K3252" s="839" t="n"/>
      <c r="L3252" s="1220" t="n"/>
      <c r="M3252" s="1220" t="n"/>
      <c r="N3252" s="839" t="n"/>
      <c r="O3252" s="835" t="n"/>
      <c r="P3252" s="835" t="n"/>
    </row>
    <row r="3253" ht="15.75" customHeight="1" s="2">
      <c r="A3253" s="506" t="inlineStr">
        <is>
          <t>Training explanation</t>
        </is>
      </c>
      <c r="B3253" s="837" t="n"/>
      <c r="C3253" s="1220" t="n"/>
      <c r="D3253" s="1220" t="n"/>
      <c r="E3253" s="837" t="n"/>
      <c r="F3253" s="1220" t="n"/>
      <c r="G3253" s="1220" t="n"/>
      <c r="H3253" s="837" t="n"/>
      <c r="I3253" s="1220" t="n"/>
      <c r="J3253" s="1220" t="n"/>
      <c r="K3253" s="837" t="n"/>
      <c r="L3253" s="1220" t="n"/>
      <c r="M3253" s="1220" t="n"/>
      <c r="N3253" s="837" t="n"/>
      <c r="O3253" s="835" t="n"/>
      <c r="P3253" s="835" t="n"/>
    </row>
    <row r="3254" ht="15.75" customHeight="1" s="2" thickBot="1">
      <c r="A3254" s="506" t="inlineStr">
        <is>
          <t>Who is being Trained</t>
        </is>
      </c>
      <c r="B3254" s="838" t="n"/>
      <c r="C3254" s="1221" t="n"/>
      <c r="D3254" s="1221" t="n"/>
      <c r="E3254" s="838" t="n"/>
      <c r="F3254" s="1221" t="n"/>
      <c r="G3254" s="1221" t="n"/>
      <c r="H3254" s="838" t="n"/>
      <c r="I3254" s="1221" t="n"/>
      <c r="J3254" s="1221" t="n"/>
      <c r="K3254" s="838" t="n"/>
      <c r="L3254" s="1221" t="n"/>
      <c r="M3254" s="1221" t="n"/>
      <c r="N3254" s="838" t="n"/>
    </row>
    <row r="3255" ht="15.75" customHeight="1" s="2" thickBot="1">
      <c r="A3255" s="506" t="n"/>
      <c r="C3255" s="523" t="inlineStr">
        <is>
          <t>floor</t>
        </is>
      </c>
      <c r="D3255" s="524" t="inlineStr">
        <is>
          <t>kitchen</t>
        </is>
      </c>
      <c r="E3255" s="509" t="n"/>
      <c r="F3255" s="507" t="inlineStr">
        <is>
          <t>floor</t>
        </is>
      </c>
      <c r="G3255" s="508" t="inlineStr">
        <is>
          <t>kitchen</t>
        </is>
      </c>
      <c r="H3255" s="510" t="n"/>
      <c r="I3255" s="535" t="inlineStr">
        <is>
          <t>floor</t>
        </is>
      </c>
      <c r="J3255" s="511" t="inlineStr">
        <is>
          <t>kitchen</t>
        </is>
      </c>
      <c r="K3255" s="512" t="n"/>
      <c r="L3255" s="535" t="inlineStr">
        <is>
          <t>floor</t>
        </is>
      </c>
      <c r="M3255" s="513" t="inlineStr">
        <is>
          <t>kitchen</t>
        </is>
      </c>
      <c r="N3255" s="512" t="n"/>
      <c r="O3255" s="535" t="inlineStr">
        <is>
          <t>floor</t>
        </is>
      </c>
      <c r="P3255" s="513" t="inlineStr">
        <is>
          <t>kitchen</t>
        </is>
      </c>
    </row>
    <row r="3256" ht="15.75" customHeight="1" s="2">
      <c r="A3256" s="506" t="n"/>
      <c r="C3256" s="525" t="n"/>
      <c r="D3256" s="527" t="n"/>
      <c r="E3256" s="514" t="n"/>
      <c r="F3256" s="525" t="n"/>
      <c r="G3256" s="527" t="n"/>
      <c r="H3256" s="515" t="n"/>
      <c r="I3256" s="531" t="n"/>
      <c r="J3256" s="824" t="n"/>
      <c r="K3256" s="515" t="n"/>
      <c r="L3256" s="536" t="n"/>
      <c r="M3256" s="532" t="n"/>
      <c r="N3256" s="515" t="n"/>
      <c r="O3256" s="536" t="n"/>
      <c r="P3256" s="532" t="n"/>
    </row>
    <row r="3257" ht="15.75" customHeight="1" s="2">
      <c r="C3257" s="891" t="n"/>
      <c r="D3257" s="526" t="n"/>
      <c r="E3257" s="514" t="n"/>
      <c r="F3257" s="891" t="n"/>
      <c r="G3257" s="526" t="n"/>
      <c r="H3257" s="516" t="n"/>
      <c r="I3257" s="1656" t="n"/>
      <c r="J3257" s="530" t="n"/>
      <c r="K3257" s="516" t="n"/>
      <c r="L3257" s="542" t="n"/>
      <c r="M3257" s="530" t="n"/>
      <c r="N3257" s="516" t="n"/>
      <c r="O3257" s="542" t="n"/>
      <c r="P3257" s="530" t="n"/>
    </row>
    <row r="3258" ht="15.75" customHeight="1" s="2">
      <c r="C3258" s="550" t="n"/>
      <c r="D3258" s="527" t="n"/>
      <c r="E3258" s="514" t="n"/>
      <c r="F3258" s="531" t="n"/>
      <c r="G3258" s="530" t="n"/>
      <c r="H3258" s="516" t="n"/>
      <c r="I3258" s="537" t="n"/>
      <c r="J3258" s="530" t="n"/>
      <c r="K3258" s="516" t="n"/>
      <c r="L3258" s="1657" t="n"/>
      <c r="M3258" s="539" t="n"/>
      <c r="N3258" s="516" t="n"/>
      <c r="O3258" s="542" t="n"/>
      <c r="P3258" s="539" t="n"/>
    </row>
    <row r="3259" ht="15.75" customHeight="1" s="2">
      <c r="C3259" s="561" t="n"/>
      <c r="D3259" s="561" t="n"/>
      <c r="E3259" s="519" t="n"/>
      <c r="F3259" s="517" t="n"/>
      <c r="G3259" s="1659" t="n"/>
      <c r="H3259" s="516" t="n"/>
      <c r="I3259" s="537" t="n"/>
      <c r="J3259" s="530" t="n"/>
      <c r="K3259" s="516" t="n"/>
      <c r="L3259" s="537" t="n"/>
      <c r="M3259" s="539" t="n"/>
      <c r="N3259" s="516" t="n"/>
      <c r="O3259" s="537" t="n"/>
      <c r="P3259" s="539" t="n"/>
    </row>
    <row r="3260" ht="15.75" customHeight="1" s="2">
      <c r="C3260" s="551" t="n"/>
      <c r="D3260" s="528" t="n"/>
      <c r="E3260" s="519" t="n"/>
      <c r="F3260" s="517" t="n"/>
      <c r="G3260" s="518" t="n"/>
      <c r="H3260" s="516" t="n"/>
      <c r="I3260" s="537" t="n"/>
      <c r="J3260" s="533" t="n"/>
      <c r="K3260" s="516" t="n"/>
      <c r="L3260" s="537" t="n"/>
      <c r="M3260" s="540" t="n"/>
      <c r="N3260" s="516" t="n"/>
      <c r="O3260" s="537" t="n"/>
      <c r="P3260" s="540" t="n"/>
    </row>
    <row r="3261" ht="15.75" customHeight="1" s="2">
      <c r="C3261" s="550" t="n"/>
      <c r="D3261" s="527" t="n"/>
      <c r="E3261" s="514" t="n"/>
      <c r="F3261" s="531" t="n"/>
      <c r="G3261" s="530" t="n"/>
      <c r="H3261" s="516" t="n"/>
      <c r="I3261" s="537" t="n"/>
      <c r="J3261" s="530" t="n"/>
      <c r="K3261" s="516" t="n"/>
      <c r="L3261" s="1657" t="n"/>
      <c r="M3261" s="539" t="n"/>
      <c r="N3261" s="516" t="n"/>
      <c r="O3261" s="542" t="n"/>
      <c r="P3261" s="539" t="n"/>
    </row>
    <row r="3262" ht="15.75" customHeight="1" s="2">
      <c r="C3262" s="561" t="n"/>
      <c r="D3262" s="561" t="n"/>
      <c r="E3262" s="519" t="n"/>
      <c r="F3262" s="517" t="n"/>
      <c r="G3262" s="1659" t="n"/>
      <c r="H3262" s="516" t="n"/>
      <c r="I3262" s="537" t="n"/>
      <c r="J3262" s="530" t="n"/>
      <c r="K3262" s="516" t="n"/>
      <c r="L3262" s="537" t="n"/>
      <c r="M3262" s="539" t="n"/>
      <c r="N3262" s="516" t="n"/>
      <c r="O3262" s="537" t="n"/>
      <c r="P3262" s="539" t="n"/>
    </row>
    <row r="3263" ht="15.75" customHeight="1" s="2">
      <c r="C3263" s="551" t="n"/>
      <c r="D3263" s="528" t="n"/>
      <c r="E3263" s="519" t="n"/>
      <c r="F3263" s="517" t="n"/>
      <c r="G3263" s="518" t="n"/>
      <c r="H3263" s="516" t="n"/>
      <c r="I3263" s="537" t="n"/>
      <c r="J3263" s="533" t="n"/>
      <c r="K3263" s="516" t="n"/>
      <c r="L3263" s="537" t="n"/>
      <c r="M3263" s="540" t="n"/>
      <c r="N3263" s="516" t="n"/>
      <c r="O3263" s="537" t="n"/>
      <c r="P3263" s="540" t="n"/>
    </row>
    <row r="3266" ht="15.75" customHeight="1" s="2" thickBot="1"/>
    <row r="3267" ht="15.75" customHeight="1" s="2" thickBot="1">
      <c r="B3267" s="1482" t="n"/>
      <c r="C3267" s="1407" t="inlineStr">
        <is>
          <t>16.03.2026</t>
        </is>
      </c>
      <c r="D3267" s="1484" t="n"/>
      <c r="E3267" s="1485" t="n"/>
      <c r="F3267" s="1403" t="inlineStr">
        <is>
          <t>23.03.2026</t>
        </is>
      </c>
      <c r="G3267" s="1487" t="n"/>
      <c r="H3267" s="1485" t="n"/>
      <c r="I3267" s="1403" t="inlineStr">
        <is>
          <t>30.03.2026</t>
        </is>
      </c>
      <c r="J3267" s="1487" t="n"/>
      <c r="K3267" s="1485" t="n"/>
      <c r="L3267" s="1410" t="inlineStr">
        <is>
          <t>06.04.2026</t>
        </is>
      </c>
      <c r="M3267" s="1487" t="n"/>
      <c r="N3267" s="1488" t="n"/>
      <c r="O3267" s="1406" t="inlineStr">
        <is>
          <t>13.04.2026</t>
        </is>
      </c>
      <c r="P3267" s="1490" t="n"/>
    </row>
    <row r="3268" ht="15.75" customHeight="1" s="2" thickBot="1">
      <c r="A3268" s="455" t="n"/>
      <c r="B3268" s="1394" t="inlineStr">
        <is>
          <t>LAST YEAR</t>
        </is>
      </c>
      <c r="C3268" s="1395" t="inlineStr">
        <is>
          <t>Projected</t>
        </is>
      </c>
      <c r="D3268" s="1396" t="inlineStr">
        <is>
          <t>Actual</t>
        </is>
      </c>
      <c r="E3268" s="1394" t="inlineStr">
        <is>
          <t>LAST YEAR</t>
        </is>
      </c>
      <c r="F3268" s="1395" t="inlineStr">
        <is>
          <t>Projected</t>
        </is>
      </c>
      <c r="G3268" s="1396" t="inlineStr">
        <is>
          <t>Actual</t>
        </is>
      </c>
      <c r="H3268" s="1394" t="inlineStr">
        <is>
          <t>LAST YEAR</t>
        </is>
      </c>
      <c r="I3268" s="1395" t="inlineStr">
        <is>
          <t>Projected</t>
        </is>
      </c>
      <c r="J3268" s="1396" t="inlineStr">
        <is>
          <t>Actual</t>
        </is>
      </c>
      <c r="K3268" s="1394" t="inlineStr">
        <is>
          <t>LAST YEAR</t>
        </is>
      </c>
      <c r="L3268" s="1395" t="inlineStr">
        <is>
          <t>Projected</t>
        </is>
      </c>
      <c r="M3268" s="1396" t="inlineStr">
        <is>
          <t>Actual</t>
        </is>
      </c>
      <c r="N3268" s="1394" t="inlineStr">
        <is>
          <t>LAST YEAR</t>
        </is>
      </c>
      <c r="O3268" s="1395" t="inlineStr">
        <is>
          <t>Projected</t>
        </is>
      </c>
      <c r="P3268" s="1396" t="inlineStr">
        <is>
          <t>Actual</t>
        </is>
      </c>
    </row>
    <row r="3269" ht="15.75" customHeight="1" s="2">
      <c r="A3269" s="459" t="inlineStr">
        <is>
          <t>Total Receipts</t>
        </is>
      </c>
      <c r="B3269" s="1645" t="n">
        <v>133107.01</v>
      </c>
      <c r="C3269" s="1700" t="n">
        <v>133777</v>
      </c>
      <c r="D3269" s="1701" t="n">
        <v>122744.85</v>
      </c>
      <c r="E3269" s="1645" t="n">
        <v>134525.26</v>
      </c>
      <c r="F3269" s="1700" t="n">
        <v>117825</v>
      </c>
      <c r="G3269" s="1701" t="n">
        <v>116532.57</v>
      </c>
      <c r="H3269" s="1645" t="n">
        <v>126998.95</v>
      </c>
      <c r="I3269" s="1700" t="n">
        <v>118709</v>
      </c>
      <c r="J3269" s="1701" t="n">
        <v>101756.42</v>
      </c>
      <c r="K3269" s="1645" t="n">
        <v>139344.81</v>
      </c>
      <c r="L3269" s="1700" t="n">
        <v>178435</v>
      </c>
      <c r="M3269" s="1701" t="n">
        <v>170322.49</v>
      </c>
      <c r="N3269" s="1645" t="n">
        <v>138740.22</v>
      </c>
      <c r="O3269" s="1700" t="n">
        <v>161048</v>
      </c>
      <c r="P3269" s="1701" t="n">
        <v>135083.53</v>
      </c>
    </row>
    <row r="3270" ht="15.75" customHeight="1" s="2">
      <c r="A3270" s="462" t="inlineStr">
        <is>
          <t>Nett Sales</t>
        </is>
      </c>
      <c r="B3270" s="1625" t="n">
        <v>121006.37</v>
      </c>
      <c r="C3270" s="1702" t="n">
        <v>121615.4</v>
      </c>
      <c r="D3270" s="1703" t="n">
        <v>111586.23</v>
      </c>
      <c r="E3270" s="1637" t="n">
        <v>122295.69</v>
      </c>
      <c r="F3270" s="1702" t="n">
        <v>107113.2</v>
      </c>
      <c r="G3270" s="1703" t="n">
        <v>105938.7</v>
      </c>
      <c r="H3270" s="1625" t="n">
        <v>115453.59</v>
      </c>
      <c r="I3270" s="1702" t="n">
        <v>107916.8</v>
      </c>
      <c r="J3270" s="1703" t="n">
        <v>92505.84</v>
      </c>
      <c r="K3270" s="1625" t="n">
        <v>126677.1</v>
      </c>
      <c r="L3270" s="1702" t="n">
        <v>162213.2</v>
      </c>
      <c r="M3270" s="1703" t="n">
        <v>154838.63</v>
      </c>
      <c r="N3270" s="1625" t="n">
        <v>126127.47</v>
      </c>
      <c r="O3270" s="1702" t="n">
        <v>146406.8</v>
      </c>
      <c r="P3270" s="1703" t="n">
        <v>122803.21</v>
      </c>
    </row>
    <row r="3271" ht="15.75" customHeight="1" s="2">
      <c r="A3271" s="462" t="inlineStr">
        <is>
          <t>Customers</t>
        </is>
      </c>
      <c r="B3271" s="466" t="n">
        <v>5234</v>
      </c>
      <c r="C3271" s="1382" t="n">
        <v>5400</v>
      </c>
      <c r="D3271" s="1704" t="n">
        <v>4539</v>
      </c>
      <c r="E3271" s="466" t="n">
        <v>5315</v>
      </c>
      <c r="F3271" s="1382" t="n">
        <v>4755</v>
      </c>
      <c r="G3271" s="1704" t="n">
        <v>4395</v>
      </c>
      <c r="H3271" s="466" t="n">
        <v>5069</v>
      </c>
      <c r="I3271" s="1382" t="n">
        <v>4790</v>
      </c>
      <c r="J3271" s="1704" t="n">
        <v>3931</v>
      </c>
      <c r="K3271" s="466" t="n">
        <v>5598</v>
      </c>
      <c r="L3271" s="1382" t="n">
        <v>6675</v>
      </c>
      <c r="M3271" s="1704" t="n">
        <v>5899</v>
      </c>
      <c r="N3271" s="1655" t="n">
        <v>5461</v>
      </c>
      <c r="O3271" s="1382" t="n">
        <v>6375</v>
      </c>
      <c r="P3271" s="1704" t="n">
        <v>5206</v>
      </c>
    </row>
    <row r="3272" ht="15.75" customHeight="1" s="2">
      <c r="A3272" s="462" t="inlineStr">
        <is>
          <t>Average Customer Spend</t>
        </is>
      </c>
      <c r="B3272" s="1649" t="n">
        <v>25.43</v>
      </c>
      <c r="C3272" s="1705" t="n">
        <v>24.77</v>
      </c>
      <c r="D3272" s="1706" t="n">
        <v>27.04</v>
      </c>
      <c r="E3272" s="1649" t="n">
        <v>25.31</v>
      </c>
      <c r="F3272" s="1705" t="n">
        <v>24.78</v>
      </c>
      <c r="G3272" s="1706" t="n">
        <v>26.51</v>
      </c>
      <c r="H3272" s="1649" t="n">
        <v>25.05</v>
      </c>
      <c r="I3272" s="1705" t="n">
        <v>24.78</v>
      </c>
      <c r="J3272" s="1706" t="n">
        <v>25.88</v>
      </c>
      <c r="K3272" s="1649" t="n">
        <v>24.89</v>
      </c>
      <c r="L3272" s="1705" t="n">
        <v>26.73</v>
      </c>
      <c r="M3272" s="1706" t="n">
        <v>28.87</v>
      </c>
      <c r="N3272" s="1649" t="n">
        <v>25.4</v>
      </c>
      <c r="O3272" s="1705" t="n">
        <v>25.26</v>
      </c>
      <c r="P3272" s="1706" t="n">
        <v>25.94</v>
      </c>
    </row>
    <row r="3273" ht="15.75" customHeight="1" s="2">
      <c r="A3273" s="462" t="inlineStr">
        <is>
          <t>Wage % to Total Receipts</t>
        </is>
      </c>
      <c r="B3273" s="863" t="n">
        <v>0.3135</v>
      </c>
      <c r="C3273" s="1384">
        <f>C3278/C3269</f>
        <v/>
      </c>
      <c r="D3273" s="1375">
        <f>D3278/D3269</f>
        <v/>
      </c>
      <c r="E3273" s="863" t="n">
        <v>0.3106</v>
      </c>
      <c r="F3273" s="1384">
        <f>F3278/F3269</f>
        <v/>
      </c>
      <c r="G3273" s="1375">
        <f>G3278/G3269</f>
        <v/>
      </c>
      <c r="H3273" s="863" t="n">
        <v>0.3266</v>
      </c>
      <c r="I3273" s="1384">
        <f>I3278/I3269</f>
        <v/>
      </c>
      <c r="J3273" s="1375">
        <f>J3278/J3269</f>
        <v/>
      </c>
      <c r="K3273" s="863" t="n">
        <v>0.3203</v>
      </c>
      <c r="L3273" s="1384">
        <f>L3278/L3269</f>
        <v/>
      </c>
      <c r="M3273" s="1375">
        <f>M3278/M3269</f>
        <v/>
      </c>
      <c r="N3273" s="863" t="n">
        <v>0.3152</v>
      </c>
      <c r="O3273" s="1384">
        <f>O3278/O3269</f>
        <v/>
      </c>
      <c r="P3273" s="1375">
        <f>P3278/P3269</f>
        <v/>
      </c>
    </row>
    <row r="3274" ht="15.75" customHeight="1" s="2">
      <c r="A3274" s="462" t="inlineStr">
        <is>
          <t>Wage % to Nett Sales</t>
        </is>
      </c>
      <c r="B3274" s="863" t="n">
        <v>0.3448</v>
      </c>
      <c r="C3274" s="1384">
        <f>C3278/C3270</f>
        <v/>
      </c>
      <c r="D3274" s="1375">
        <f>D3278/D3270</f>
        <v/>
      </c>
      <c r="E3274" s="863" t="n">
        <v>0.3417</v>
      </c>
      <c r="F3274" s="1384">
        <f>F3278/F3270</f>
        <v/>
      </c>
      <c r="G3274" s="1375">
        <f>G3278/G3270</f>
        <v/>
      </c>
      <c r="H3274" s="863" t="n">
        <v>0.3593</v>
      </c>
      <c r="I3274" s="1384">
        <f>I3278/I3270</f>
        <v/>
      </c>
      <c r="J3274" s="1375">
        <f>J3278/J3270</f>
        <v/>
      </c>
      <c r="K3274" s="863" t="n">
        <v>0.3524</v>
      </c>
      <c r="L3274" s="1384">
        <f>L3278/L3270</f>
        <v/>
      </c>
      <c r="M3274" s="1375">
        <f>M3278/M3270</f>
        <v/>
      </c>
      <c r="N3274" s="863" t="n">
        <v>0.3468</v>
      </c>
      <c r="O3274" s="1384">
        <f>O3278/O3270</f>
        <v/>
      </c>
      <c r="P3274" s="1375">
        <f>P3278/P3270</f>
        <v/>
      </c>
    </row>
    <row r="3275" ht="15.75" customHeight="1" s="2">
      <c r="A3275" s="462" t="inlineStr">
        <is>
          <t>Productivity</t>
        </is>
      </c>
      <c r="B3275" s="472" t="n">
        <v>5.25</v>
      </c>
      <c r="C3275" s="1385">
        <f>C3271/C3277</f>
        <v/>
      </c>
      <c r="D3275" s="1376">
        <f>D3271/D3277</f>
        <v/>
      </c>
      <c r="E3275" s="472" t="n">
        <v>5.19</v>
      </c>
      <c r="F3275" s="1385">
        <f>F3271/F3277</f>
        <v/>
      </c>
      <c r="G3275" s="1376">
        <f>G3271/G3277</f>
        <v/>
      </c>
      <c r="H3275" s="472" t="n">
        <v>4.99</v>
      </c>
      <c r="I3275" s="1385">
        <f>I3271/I3277</f>
        <v/>
      </c>
      <c r="J3275" s="1376">
        <f>J3271/J3277</f>
        <v/>
      </c>
      <c r="K3275" s="472" t="n">
        <v>5.26</v>
      </c>
      <c r="L3275" s="1385">
        <f>L3271/L3277</f>
        <v/>
      </c>
      <c r="M3275" s="1376">
        <f>M3271/M3277</f>
        <v/>
      </c>
      <c r="N3275" s="472" t="n">
        <v>5.01</v>
      </c>
      <c r="O3275" s="1385">
        <f>O3271/O3277</f>
        <v/>
      </c>
      <c r="P3275" s="1376">
        <f>P3271/P3277</f>
        <v/>
      </c>
    </row>
    <row r="3276" ht="15.75" customHeight="1" s="2">
      <c r="A3276" s="462" t="inlineStr">
        <is>
          <t>Average Hourly Rate</t>
        </is>
      </c>
      <c r="B3276" s="1649" t="n">
        <v>41.87</v>
      </c>
      <c r="C3276" s="1385" t="n">
        <v>43</v>
      </c>
      <c r="D3276" s="1706" t="n">
        <v>43.6</v>
      </c>
      <c r="E3276" s="1649" t="n">
        <v>40.79</v>
      </c>
      <c r="F3276" s="1385" t="n">
        <v>43</v>
      </c>
      <c r="G3276" s="1706" t="n">
        <v>45.57</v>
      </c>
      <c r="H3276" s="1649" t="n">
        <v>40.81</v>
      </c>
      <c r="I3276" s="1385" t="n">
        <v>43</v>
      </c>
      <c r="J3276" s="1706" t="n">
        <v>43.77</v>
      </c>
      <c r="K3276" s="1649" t="n">
        <v>41.95</v>
      </c>
      <c r="L3276" s="1385" t="n">
        <v>56</v>
      </c>
      <c r="M3276" s="1706" t="n">
        <v>63</v>
      </c>
      <c r="N3276" s="1649" t="n">
        <v>40.11</v>
      </c>
      <c r="O3276" s="1385" t="n">
        <v>43</v>
      </c>
      <c r="P3276" s="1706" t="n">
        <v>43.29</v>
      </c>
    </row>
    <row r="3277" ht="15.75" customHeight="1" s="2">
      <c r="A3277" s="462" t="inlineStr">
        <is>
          <t>Total hours for productivity</t>
        </is>
      </c>
      <c r="B3277" s="466" t="n">
        <v>996.5</v>
      </c>
      <c r="C3277" s="1385" t="n">
        <v>964</v>
      </c>
      <c r="D3277" s="1377" t="n">
        <v>976.25</v>
      </c>
      <c r="E3277" s="466" t="n">
        <v>1024.25</v>
      </c>
      <c r="F3277" s="1385" t="n">
        <v>884.5</v>
      </c>
      <c r="G3277" s="1377" t="n">
        <v>983</v>
      </c>
      <c r="H3277" s="472" t="n">
        <v>1016.25</v>
      </c>
      <c r="I3277" s="1385" t="n">
        <v>927</v>
      </c>
      <c r="J3277" s="1377" t="n">
        <v>954.75</v>
      </c>
      <c r="K3277" s="466" t="n">
        <v>1064</v>
      </c>
      <c r="L3277" s="1385" t="n">
        <v>1214</v>
      </c>
      <c r="M3277" s="1377" t="n">
        <v>1195</v>
      </c>
      <c r="N3277" s="466" t="n">
        <v>1090.5</v>
      </c>
      <c r="O3277" s="1385" t="n">
        <v>1138</v>
      </c>
      <c r="P3277" s="1377" t="n">
        <v>1073.75</v>
      </c>
    </row>
    <row r="3278" ht="15.75" customHeight="1" s="2">
      <c r="A3278" s="462" t="inlineStr">
        <is>
          <t>wage costed</t>
        </is>
      </c>
      <c r="B3278" s="466" t="n"/>
      <c r="C3278" s="1386">
        <f>C3277*C3276</f>
        <v/>
      </c>
      <c r="D3278" s="1378">
        <f>D3277*D3276</f>
        <v/>
      </c>
      <c r="E3278" s="466" t="n"/>
      <c r="F3278" s="1386">
        <f>F3277*F3276</f>
        <v/>
      </c>
      <c r="G3278" s="1378">
        <f>G3277*G3276</f>
        <v/>
      </c>
      <c r="H3278" s="466" t="n"/>
      <c r="I3278" s="1386">
        <f>I3277*I3276</f>
        <v/>
      </c>
      <c r="J3278" s="1378">
        <f>J3277*J3276</f>
        <v/>
      </c>
      <c r="K3278" s="466" t="n"/>
      <c r="L3278" s="1386">
        <f>L3277*L3276</f>
        <v/>
      </c>
      <c r="M3278" s="1378">
        <f>M3277*M3276</f>
        <v/>
      </c>
      <c r="N3278" s="466" t="n"/>
      <c r="O3278" s="1386">
        <f>O3277*O3276</f>
        <v/>
      </c>
      <c r="P3278" s="1378">
        <f>P3277*P3276</f>
        <v/>
      </c>
    </row>
    <row r="3279" ht="15.75" customHeight="1" s="2" thickBot="1">
      <c r="A3279" s="474" t="inlineStr">
        <is>
          <t>Number of hours used to cover sick leave</t>
        </is>
      </c>
      <c r="B3279" s="476" t="n">
        <v>13</v>
      </c>
      <c r="C3279" s="1387" t="n"/>
      <c r="D3279" s="1379" t="n">
        <v>33</v>
      </c>
      <c r="E3279" s="476" t="n">
        <v>15</v>
      </c>
      <c r="F3279" s="1387" t="n"/>
      <c r="G3279" s="1379" t="n">
        <v>40.75</v>
      </c>
      <c r="H3279" s="476" t="n">
        <v>3</v>
      </c>
      <c r="I3279" s="1387" t="n"/>
      <c r="J3279" s="1379" t="n"/>
      <c r="K3279" s="476" t="n">
        <v>32.75</v>
      </c>
      <c r="L3279" s="1387" t="n"/>
      <c r="M3279" s="1379" t="n"/>
      <c r="N3279" s="476" t="n">
        <v>16.25</v>
      </c>
      <c r="O3279" s="1387" t="n"/>
      <c r="P3279" s="1379" t="n"/>
    </row>
    <row r="3280" ht="15.75" customHeight="1" s="2" thickBot="1">
      <c r="A3280" s="477" t="inlineStr">
        <is>
          <t xml:space="preserve">Minimum Hours </t>
        </is>
      </c>
      <c r="B3280" s="935" t="n"/>
      <c r="C3280" s="1388" t="inlineStr">
        <is>
          <t>Projected</t>
        </is>
      </c>
      <c r="D3280" s="1391" t="inlineStr">
        <is>
          <t>Min Hrs</t>
        </is>
      </c>
      <c r="E3280" s="935" t="n"/>
      <c r="F3280" s="1388" t="inlineStr">
        <is>
          <t>Projected</t>
        </is>
      </c>
      <c r="G3280" s="1391" t="inlineStr">
        <is>
          <t>Min Hrs</t>
        </is>
      </c>
      <c r="H3280" s="935" t="n"/>
      <c r="I3280" s="1388" t="inlineStr">
        <is>
          <t>Projected</t>
        </is>
      </c>
      <c r="J3280" s="1391" t="inlineStr">
        <is>
          <t>Min Hrs</t>
        </is>
      </c>
      <c r="K3280" s="935" t="n"/>
      <c r="L3280" s="1388" t="inlineStr">
        <is>
          <t>Projected</t>
        </is>
      </c>
      <c r="M3280" s="1391" t="inlineStr">
        <is>
          <t>Min Hrs</t>
        </is>
      </c>
      <c r="N3280" s="935" t="n"/>
      <c r="O3280" s="1388" t="inlineStr">
        <is>
          <t>Projected</t>
        </is>
      </c>
      <c r="P3280" s="1391" t="inlineStr">
        <is>
          <t>Min Hrs</t>
        </is>
      </c>
    </row>
    <row r="3281" ht="15.75" customHeight="1" s="2">
      <c r="A3281" s="479" t="inlineStr">
        <is>
          <t>Floor</t>
        </is>
      </c>
      <c r="B3281" s="810" t="n"/>
      <c r="C3281" s="1389" t="n">
        <v>530</v>
      </c>
      <c r="D3281" s="1392" t="n">
        <v>420</v>
      </c>
      <c r="E3281" s="810" t="n"/>
      <c r="F3281" s="1389" t="n">
        <v>460</v>
      </c>
      <c r="G3281" s="1392" t="n">
        <v>420</v>
      </c>
      <c r="H3281" s="810" t="n"/>
      <c r="I3281" s="1389" t="n">
        <v>495.5</v>
      </c>
      <c r="J3281" s="1392" t="n">
        <v>414</v>
      </c>
      <c r="K3281" s="810" t="n"/>
      <c r="L3281" s="1389" t="n">
        <v>643</v>
      </c>
      <c r="M3281" s="1392" t="n">
        <v>414</v>
      </c>
      <c r="N3281" s="810" t="n"/>
      <c r="O3281" s="1389" t="n">
        <v>626</v>
      </c>
      <c r="P3281" s="1392" t="n">
        <v>414</v>
      </c>
    </row>
    <row r="3282" ht="15.75" customHeight="1" s="2" thickBot="1">
      <c r="A3282" s="481" t="inlineStr">
        <is>
          <t>Kitchen</t>
        </is>
      </c>
      <c r="B3282" s="813" t="n"/>
      <c r="C3282" s="1387" t="n">
        <v>434</v>
      </c>
      <c r="D3282" s="1393" t="n">
        <v>378</v>
      </c>
      <c r="E3282" s="813" t="n"/>
      <c r="F3282" s="1390" t="n">
        <v>424.5</v>
      </c>
      <c r="G3282" s="1393" t="n">
        <v>382</v>
      </c>
      <c r="H3282" s="813" t="n"/>
      <c r="I3282" s="1390" t="n">
        <v>431.5</v>
      </c>
      <c r="J3282" s="1393" t="n">
        <v>378</v>
      </c>
      <c r="K3282" s="813" t="n"/>
      <c r="L3282" s="1390" t="n">
        <v>571</v>
      </c>
      <c r="M3282" s="1393" t="n">
        <v>378</v>
      </c>
      <c r="N3282" s="813" t="n"/>
      <c r="O3282" s="1387" t="n">
        <v>512</v>
      </c>
      <c r="P3282" s="1393" t="n">
        <v>385</v>
      </c>
    </row>
    <row r="3283" ht="15.75" customHeight="1" s="2" thickBot="1">
      <c r="A3283" s="834" t="n"/>
      <c r="B3283" s="836" t="n"/>
      <c r="C3283" s="1220" t="n"/>
      <c r="D3283" s="1220" t="n"/>
      <c r="E3283" s="839" t="n"/>
      <c r="F3283" s="1220" t="n"/>
      <c r="G3283" s="1220" t="n"/>
      <c r="H3283" s="839" t="n"/>
      <c r="I3283" s="1220" t="n"/>
      <c r="J3283" s="1220" t="n"/>
      <c r="K3283" s="839" t="n"/>
      <c r="L3283" s="1220" t="n"/>
      <c r="M3283" s="1220" t="n"/>
      <c r="N3283" s="839" t="n"/>
      <c r="O3283" s="835" t="n"/>
      <c r="P3283" s="835" t="n"/>
    </row>
    <row r="3284" ht="15.75" customHeight="1" s="2">
      <c r="A3284" s="506" t="inlineStr">
        <is>
          <t>Training explanation</t>
        </is>
      </c>
      <c r="B3284" s="837" t="n"/>
      <c r="C3284" s="1220" t="n"/>
      <c r="D3284" s="1220" t="n"/>
      <c r="E3284" s="837" t="n"/>
      <c r="F3284" s="1220" t="n"/>
      <c r="G3284" s="1220" t="n"/>
      <c r="H3284" s="837" t="n"/>
      <c r="I3284" s="1220" t="n"/>
      <c r="J3284" s="1220" t="n"/>
      <c r="K3284" s="837" t="n"/>
      <c r="L3284" s="1220" t="n"/>
      <c r="M3284" s="1220" t="n"/>
      <c r="N3284" s="837" t="n"/>
      <c r="O3284" s="835" t="n"/>
      <c r="P3284" s="835" t="n"/>
    </row>
    <row r="3285" ht="15.75" customHeight="1" s="2" thickBot="1">
      <c r="A3285" s="506" t="inlineStr">
        <is>
          <t>Who is being Trained</t>
        </is>
      </c>
      <c r="B3285" s="838" t="n"/>
      <c r="C3285" s="1221" t="n"/>
      <c r="D3285" s="1221" t="n"/>
      <c r="E3285" s="838" t="n"/>
      <c r="F3285" s="1221" t="n"/>
      <c r="G3285" s="1221" t="n"/>
      <c r="H3285" s="838" t="n"/>
      <c r="I3285" s="1221" t="n"/>
      <c r="J3285" s="1221" t="n"/>
      <c r="K3285" s="838" t="n"/>
      <c r="L3285" s="1221" t="n"/>
      <c r="M3285" s="1221" t="n"/>
      <c r="N3285" s="838" t="n"/>
    </row>
    <row r="3286" ht="15.75" customHeight="1" s="2" thickBot="1">
      <c r="A3286" s="506" t="n"/>
      <c r="C3286" s="523" t="inlineStr">
        <is>
          <t>floor</t>
        </is>
      </c>
      <c r="D3286" s="524" t="inlineStr">
        <is>
          <t>kitchen</t>
        </is>
      </c>
      <c r="E3286" s="509" t="n"/>
      <c r="F3286" s="507" t="inlineStr">
        <is>
          <t>floor</t>
        </is>
      </c>
      <c r="G3286" s="508" t="inlineStr">
        <is>
          <t>kitchen</t>
        </is>
      </c>
      <c r="H3286" s="510" t="n"/>
      <c r="I3286" s="535" t="inlineStr">
        <is>
          <t>floor</t>
        </is>
      </c>
      <c r="J3286" s="511" t="inlineStr">
        <is>
          <t>kitchen</t>
        </is>
      </c>
      <c r="K3286" s="512" t="n"/>
      <c r="L3286" s="535" t="inlineStr">
        <is>
          <t>floor</t>
        </is>
      </c>
      <c r="M3286" s="513" t="inlineStr">
        <is>
          <t>kitchen</t>
        </is>
      </c>
      <c r="N3286" s="512" t="n"/>
      <c r="O3286" s="535" t="inlineStr">
        <is>
          <t>floor</t>
        </is>
      </c>
      <c r="P3286" s="513" t="inlineStr">
        <is>
          <t>kitchen</t>
        </is>
      </c>
    </row>
    <row r="3287" ht="15.75" customHeight="1" s="2">
      <c r="A3287" s="506" t="n"/>
      <c r="C3287" s="525" t="n"/>
      <c r="D3287" s="527" t="n"/>
      <c r="E3287" s="514" t="n"/>
      <c r="F3287" s="525" t="n"/>
      <c r="G3287" s="527" t="n"/>
      <c r="H3287" s="515" t="n"/>
      <c r="I3287" s="531" t="n"/>
      <c r="J3287" s="824" t="n"/>
      <c r="K3287" s="515" t="n"/>
      <c r="L3287" s="536" t="n"/>
      <c r="M3287" s="532" t="n"/>
      <c r="N3287" s="515" t="n"/>
      <c r="O3287" s="536" t="n"/>
      <c r="P3287" s="532" t="n"/>
    </row>
    <row r="3288" ht="15.75" customHeight="1" s="2">
      <c r="C3288" s="891" t="n"/>
      <c r="D3288" s="526" t="n"/>
      <c r="E3288" s="514" t="n"/>
      <c r="F3288" s="891" t="n"/>
      <c r="G3288" s="526" t="n"/>
      <c r="H3288" s="516" t="n"/>
      <c r="I3288" s="1656" t="n"/>
      <c r="J3288" s="530" t="n"/>
      <c r="K3288" s="516" t="n"/>
      <c r="L3288" s="542" t="n"/>
      <c r="M3288" s="530" t="n"/>
      <c r="N3288" s="516" t="n"/>
      <c r="O3288" s="542" t="n"/>
      <c r="P3288" s="530" t="n"/>
    </row>
    <row r="3289" ht="15.75" customHeight="1" s="2">
      <c r="C3289" s="550" t="n"/>
      <c r="D3289" s="527" t="n"/>
      <c r="E3289" s="514" t="n"/>
      <c r="F3289" s="531" t="n"/>
      <c r="G3289" s="530" t="n"/>
      <c r="H3289" s="516" t="n"/>
      <c r="I3289" s="537" t="n"/>
      <c r="J3289" s="530" t="n"/>
      <c r="K3289" s="516" t="n"/>
      <c r="L3289" s="1657" t="n"/>
      <c r="M3289" s="539" t="n"/>
      <c r="N3289" s="516" t="n"/>
      <c r="O3289" s="542" t="n"/>
      <c r="P3289" s="539" t="n"/>
    </row>
    <row r="3290" ht="15.75" customHeight="1" s="2">
      <c r="C3290" s="561" t="n"/>
      <c r="D3290" s="561" t="n"/>
      <c r="E3290" s="519" t="n"/>
      <c r="F3290" s="517" t="n"/>
      <c r="G3290" s="1659" t="n"/>
      <c r="H3290" s="516" t="n"/>
      <c r="I3290" s="537" t="n"/>
      <c r="J3290" s="530" t="n"/>
      <c r="K3290" s="516" t="n"/>
      <c r="L3290" s="537" t="n"/>
      <c r="M3290" s="539" t="n"/>
      <c r="N3290" s="516" t="n"/>
      <c r="O3290" s="537" t="n"/>
      <c r="P3290" s="539" t="n"/>
    </row>
    <row r="3291" ht="15.75" customHeight="1" s="2">
      <c r="C3291" s="551" t="n"/>
      <c r="D3291" s="528" t="n"/>
      <c r="E3291" s="519" t="n"/>
      <c r="F3291" s="517" t="n"/>
      <c r="G3291" s="518" t="n"/>
      <c r="H3291" s="516" t="n"/>
      <c r="I3291" s="537" t="n"/>
      <c r="J3291" s="533" t="n"/>
      <c r="K3291" s="516" t="n"/>
      <c r="L3291" s="537" t="n"/>
      <c r="M3291" s="540" t="n"/>
      <c r="N3291" s="516" t="n"/>
      <c r="O3291" s="537" t="n"/>
      <c r="P3291" s="540" t="n"/>
    </row>
    <row r="3292" ht="15.75" customHeight="1" s="2">
      <c r="C3292" s="550" t="n"/>
      <c r="D3292" s="527" t="n"/>
      <c r="E3292" s="514" t="n"/>
      <c r="F3292" s="531" t="n"/>
      <c r="G3292" s="530" t="n"/>
      <c r="H3292" s="516" t="n"/>
      <c r="I3292" s="537" t="n"/>
      <c r="J3292" s="530" t="n"/>
      <c r="K3292" s="516" t="n"/>
      <c r="L3292" s="1657" t="n"/>
      <c r="M3292" s="539" t="n"/>
      <c r="N3292" s="516" t="n"/>
      <c r="O3292" s="542" t="n"/>
      <c r="P3292" s="539" t="n"/>
    </row>
    <row r="3293" ht="15.75" customHeight="1" s="2">
      <c r="C3293" s="561" t="n"/>
      <c r="D3293" s="561" t="n"/>
      <c r="E3293" s="519" t="n"/>
      <c r="F3293" s="517" t="n"/>
      <c r="G3293" s="1659" t="n"/>
      <c r="H3293" s="516" t="n"/>
      <c r="I3293" s="537" t="n"/>
      <c r="J3293" s="530" t="n"/>
      <c r="K3293" s="516" t="n"/>
      <c r="L3293" s="537" t="n"/>
      <c r="M3293" s="539" t="n"/>
      <c r="N3293" s="516" t="n"/>
      <c r="O3293" s="537" t="n"/>
      <c r="P3293" s="539" t="n"/>
    </row>
    <row r="3294" ht="15.75" customHeight="1" s="2">
      <c r="C3294" s="551" t="n"/>
      <c r="D3294" s="528" t="n"/>
      <c r="E3294" s="519" t="n"/>
      <c r="F3294" s="517" t="n"/>
      <c r="G3294" s="518" t="n"/>
      <c r="H3294" s="516" t="n"/>
      <c r="I3294" s="537" t="n"/>
      <c r="J3294" s="533" t="n"/>
      <c r="K3294" s="516" t="n"/>
      <c r="L3294" s="537" t="n"/>
      <c r="M3294" s="540" t="n"/>
      <c r="N3294" s="516" t="n"/>
      <c r="O3294" s="537" t="n"/>
      <c r="P3294" s="540" t="n"/>
    </row>
    <row r="3297" ht="15.75" customHeight="1" s="2" thickBot="1"/>
    <row r="3298" ht="15.75" customHeight="1" s="2" thickBot="1">
      <c r="B3298" s="1482" t="n"/>
      <c r="C3298" s="1407" t="inlineStr">
        <is>
          <t>20.04.2026</t>
        </is>
      </c>
      <c r="D3298" s="1484" t="n"/>
      <c r="E3298" s="1485" t="n"/>
      <c r="F3298" s="1403" t="inlineStr">
        <is>
          <t>27.04.2026</t>
        </is>
      </c>
      <c r="G3298" s="1487" t="n"/>
      <c r="H3298" s="1485" t="n"/>
      <c r="I3298" s="1410" t="inlineStr">
        <is>
          <t>04.05.2026</t>
        </is>
      </c>
      <c r="J3298" s="1487" t="n"/>
      <c r="K3298" s="1485" t="n"/>
      <c r="L3298" s="1403" t="inlineStr">
        <is>
          <t>11.05.2026</t>
        </is>
      </c>
      <c r="M3298" s="1487" t="n"/>
      <c r="N3298" s="1488" t="n"/>
      <c r="O3298" s="1406" t="inlineStr">
        <is>
          <t>18.05.2026</t>
        </is>
      </c>
      <c r="P3298" s="1490" t="n"/>
    </row>
    <row r="3299" ht="15.75" customHeight="1" s="2" thickBot="1">
      <c r="A3299" s="455" t="n"/>
      <c r="B3299" s="1394" t="inlineStr">
        <is>
          <t>LAST YEAR</t>
        </is>
      </c>
      <c r="C3299" s="1395" t="inlineStr">
        <is>
          <t>Projected</t>
        </is>
      </c>
      <c r="D3299" s="1396" t="inlineStr">
        <is>
          <t>Actual</t>
        </is>
      </c>
      <c r="E3299" s="1394" t="inlineStr">
        <is>
          <t>LAST YEAR</t>
        </is>
      </c>
      <c r="F3299" s="1395" t="inlineStr">
        <is>
          <t>Projected</t>
        </is>
      </c>
      <c r="G3299" s="1396" t="inlineStr">
        <is>
          <t>Actual</t>
        </is>
      </c>
      <c r="H3299" s="1394" t="inlineStr">
        <is>
          <t>LAST YEAR</t>
        </is>
      </c>
      <c r="I3299" s="1395" t="inlineStr">
        <is>
          <t>Projected</t>
        </is>
      </c>
      <c r="J3299" s="1396" t="inlineStr">
        <is>
          <t>Actual</t>
        </is>
      </c>
      <c r="K3299" s="1394" t="inlineStr">
        <is>
          <t>LAST YEAR</t>
        </is>
      </c>
      <c r="L3299" s="1395" t="inlineStr">
        <is>
          <t>Projected</t>
        </is>
      </c>
      <c r="M3299" s="1396" t="inlineStr">
        <is>
          <t>Actual</t>
        </is>
      </c>
      <c r="N3299" s="1394" t="inlineStr">
        <is>
          <t>LAST YEAR</t>
        </is>
      </c>
      <c r="O3299" s="1395" t="inlineStr">
        <is>
          <t>Projected</t>
        </is>
      </c>
      <c r="P3299" s="1396" t="inlineStr">
        <is>
          <t>Actual</t>
        </is>
      </c>
    </row>
    <row r="3300" ht="15.75" customHeight="1" s="2">
      <c r="A3300" s="459" t="inlineStr">
        <is>
          <t>Total Receipts</t>
        </is>
      </c>
      <c r="B3300" s="1645" t="n">
        <v>207933.2</v>
      </c>
      <c r="C3300" s="1700" t="n">
        <v>140466</v>
      </c>
      <c r="D3300" s="1701" t="n">
        <v>134988.55</v>
      </c>
      <c r="E3300" s="1645" t="n">
        <v>153819.48</v>
      </c>
      <c r="F3300" s="1700" t="n">
        <v>141659</v>
      </c>
      <c r="G3300" s="1701" t="n">
        <v>143375.21</v>
      </c>
      <c r="H3300" s="1645" t="n">
        <v>122795.34</v>
      </c>
      <c r="I3300" s="1700" t="n">
        <v>114798</v>
      </c>
      <c r="J3300" s="1701" t="n">
        <v>123408.67</v>
      </c>
      <c r="K3300" s="1645" t="n">
        <v>114030.5</v>
      </c>
      <c r="L3300" s="1700" t="n">
        <v>111168</v>
      </c>
      <c r="M3300" s="1701" t="n">
        <v>111106</v>
      </c>
      <c r="N3300" s="1645" t="n">
        <v>111327.37</v>
      </c>
      <c r="O3300" s="1700" t="n">
        <v>113915</v>
      </c>
      <c r="P3300" s="1701" t="n">
        <v>97396.66</v>
      </c>
    </row>
    <row r="3301" ht="15.75" customHeight="1" s="2">
      <c r="A3301" s="462" t="inlineStr">
        <is>
          <t>Nett Sales</t>
        </is>
      </c>
      <c r="B3301" s="1625" t="n">
        <v>189030.18</v>
      </c>
      <c r="C3301" s="1702" t="n">
        <v>127696.4</v>
      </c>
      <c r="D3301" s="1703" t="n">
        <v>122726.86</v>
      </c>
      <c r="E3301" s="1637" t="n">
        <v>139835.89</v>
      </c>
      <c r="F3301" s="1702" t="n">
        <v>128780.5</v>
      </c>
      <c r="G3301" s="1703" t="n">
        <v>130341.1</v>
      </c>
      <c r="H3301" s="1625" t="n">
        <v>111632.13</v>
      </c>
      <c r="I3301" s="1702" t="n">
        <v>104361.4</v>
      </c>
      <c r="J3301" s="1703" t="n">
        <v>112189.7</v>
      </c>
      <c r="K3301" s="1625" t="n">
        <v>103664.09</v>
      </c>
      <c r="L3301" s="1702" t="n">
        <v>101061.4</v>
      </c>
      <c r="M3301" s="1703" t="n">
        <v>101005.86</v>
      </c>
      <c r="N3301" s="1625" t="n">
        <v>101206.7</v>
      </c>
      <c r="O3301" s="1702" t="n">
        <v>103559.1</v>
      </c>
      <c r="P3301" s="1703" t="n">
        <v>88542.42</v>
      </c>
    </row>
    <row r="3302" ht="15.75" customHeight="1" s="2">
      <c r="A3302" s="462" t="inlineStr">
        <is>
          <t>Customers</t>
        </is>
      </c>
      <c r="B3302" s="466" t="n">
        <v>7267</v>
      </c>
      <c r="C3302" s="1382" t="n">
        <v>5570</v>
      </c>
      <c r="D3302" s="1704" t="n">
        <v>5172</v>
      </c>
      <c r="E3302" s="466" t="n">
        <v>6008</v>
      </c>
      <c r="F3302" s="1382" t="n">
        <v>5405</v>
      </c>
      <c r="G3302" s="1704" t="n">
        <v>5186</v>
      </c>
      <c r="H3302" s="466" t="n">
        <v>4633</v>
      </c>
      <c r="I3302" s="1382" t="n">
        <v>4480</v>
      </c>
      <c r="J3302" s="1704" t="n">
        <v>4671</v>
      </c>
      <c r="K3302" s="466" t="n">
        <v>4401</v>
      </c>
      <c r="L3302" s="1382" t="n">
        <v>4340</v>
      </c>
      <c r="M3302" s="1704" t="n">
        <v>4260</v>
      </c>
      <c r="N3302" s="1655" t="n">
        <v>4394</v>
      </c>
      <c r="O3302" s="1382" t="n">
        <v>4445</v>
      </c>
      <c r="P3302" s="1704" t="n">
        <v>3690</v>
      </c>
    </row>
    <row r="3303" ht="15.75" customHeight="1" s="2">
      <c r="A3303" s="462" t="inlineStr">
        <is>
          <t>Average Customer Spend</t>
        </is>
      </c>
      <c r="B3303" s="1649" t="n">
        <v>28.57</v>
      </c>
      <c r="C3303" s="1705" t="n">
        <v>25.22</v>
      </c>
      <c r="D3303" s="1706" t="n">
        <v>26.09</v>
      </c>
      <c r="E3303" s="1649" t="n">
        <v>25.6</v>
      </c>
      <c r="F3303" s="1705" t="n">
        <v>26.21</v>
      </c>
      <c r="G3303" s="1706" t="n">
        <v>27.64</v>
      </c>
      <c r="H3303" s="1649" t="n">
        <v>26.5</v>
      </c>
      <c r="I3303" s="1705" t="n">
        <v>25.62</v>
      </c>
      <c r="J3303" s="1706" t="n">
        <v>26.42</v>
      </c>
      <c r="K3303" s="1649" t="n">
        <v>25.91</v>
      </c>
      <c r="L3303" s="1705" t="n">
        <v>25.61</v>
      </c>
      <c r="M3303" s="1706" t="n">
        <v>26.08</v>
      </c>
      <c r="N3303" s="1649" t="n">
        <v>25.33</v>
      </c>
      <c r="O3303" s="1705" t="n">
        <v>25.63</v>
      </c>
      <c r="P3303" s="1706" t="n">
        <v>26.39</v>
      </c>
    </row>
    <row r="3304" ht="15.75" customHeight="1" s="2">
      <c r="A3304" s="462" t="inlineStr">
        <is>
          <t>Wage % to Total Receipts</t>
        </is>
      </c>
      <c r="B3304" s="863" t="n">
        <v>0.41</v>
      </c>
      <c r="C3304" s="1384">
        <f>C3309/C3300</f>
        <v/>
      </c>
      <c r="D3304" s="1375">
        <f>D3309/D3300</f>
        <v/>
      </c>
      <c r="E3304" s="863" t="n">
        <v>0.3842</v>
      </c>
      <c r="F3304" s="1384">
        <f>F3309/F3300</f>
        <v/>
      </c>
      <c r="G3304" s="1375" t="n">
        <v>0.4223</v>
      </c>
      <c r="H3304" s="863" t="n">
        <v>0.3543</v>
      </c>
      <c r="I3304" s="1384">
        <f>I3309/I3300</f>
        <v/>
      </c>
      <c r="J3304" s="1375">
        <f>J3309/J3300</f>
        <v/>
      </c>
      <c r="K3304" s="863" t="n">
        <v>0.3617</v>
      </c>
      <c r="L3304" s="1384">
        <f>L3309/L3300</f>
        <v/>
      </c>
      <c r="M3304" s="1375">
        <f>M3309/M3300</f>
        <v/>
      </c>
      <c r="N3304" s="863" t="n">
        <v>0.3766</v>
      </c>
      <c r="O3304" s="1384">
        <f>O3309/O3300</f>
        <v/>
      </c>
      <c r="P3304" s="1375">
        <f>P3309/P3300</f>
        <v/>
      </c>
    </row>
    <row r="3305" ht="15.75" customHeight="1" s="2">
      <c r="A3305" s="462" t="inlineStr">
        <is>
          <t>Wage % to Nett Sales</t>
        </is>
      </c>
      <c r="B3305" s="863" t="n">
        <v>0.451</v>
      </c>
      <c r="C3305" s="1384">
        <f>C3309/C3301</f>
        <v/>
      </c>
      <c r="D3305" s="1375">
        <f>D3309/D3301</f>
        <v/>
      </c>
      <c r="E3305" s="863" t="n">
        <v>0.4226</v>
      </c>
      <c r="F3305" s="1384">
        <f>F3309/F3301</f>
        <v/>
      </c>
      <c r="G3305" s="1375" t="n">
        <v>0.4645</v>
      </c>
      <c r="H3305" s="863" t="n">
        <v>0.3898</v>
      </c>
      <c r="I3305" s="1384">
        <f>I3309/I3301</f>
        <v/>
      </c>
      <c r="J3305" s="1375">
        <f>J3309/J3301</f>
        <v/>
      </c>
      <c r="K3305" s="863" t="n">
        <v>0.3979</v>
      </c>
      <c r="L3305" s="1384">
        <f>L3309/L3301</f>
        <v/>
      </c>
      <c r="M3305" s="1375">
        <f>M3309/M3301</f>
        <v/>
      </c>
      <c r="N3305" s="863" t="n">
        <v>0.4142</v>
      </c>
      <c r="O3305" s="1384">
        <f>O3309/O3301</f>
        <v/>
      </c>
      <c r="P3305" s="1375">
        <f>P3309/P3301</f>
        <v/>
      </c>
    </row>
    <row r="3306" ht="15.75" customHeight="1" s="2">
      <c r="A3306" s="462" t="inlineStr">
        <is>
          <t>Productivity</t>
        </is>
      </c>
      <c r="B3306" s="472" t="n">
        <v>5.18</v>
      </c>
      <c r="C3306" s="1385">
        <f>C3302/C3308</f>
        <v/>
      </c>
      <c r="D3306" s="1376">
        <f>D3302/D3308</f>
        <v/>
      </c>
      <c r="E3306" s="472" t="n">
        <v>4.98</v>
      </c>
      <c r="F3306" s="1385">
        <f>F3302/F3308</f>
        <v/>
      </c>
      <c r="G3306" s="1376" t="n">
        <v>4.94</v>
      </c>
      <c r="H3306" s="472" t="n">
        <v>4.49</v>
      </c>
      <c r="I3306" s="1385">
        <f>I3302/I3308</f>
        <v/>
      </c>
      <c r="J3306" s="1376">
        <f>J3302/J3308</f>
        <v/>
      </c>
      <c r="K3306" s="472" t="n">
        <v>4.35</v>
      </c>
      <c r="L3306" s="1385">
        <f>L3302/L3308</f>
        <v/>
      </c>
      <c r="M3306" s="1376">
        <f>M3302/M3308</f>
        <v/>
      </c>
      <c r="N3306" s="472" t="n">
        <v>4.38</v>
      </c>
      <c r="O3306" s="1385">
        <f>O3302/O3308</f>
        <v/>
      </c>
      <c r="P3306" s="1376">
        <f>P3302/P3308</f>
        <v/>
      </c>
    </row>
    <row r="3307" ht="15.75" customHeight="1" s="2">
      <c r="A3307" s="462" t="inlineStr">
        <is>
          <t>Average Hourly Rate</t>
        </is>
      </c>
      <c r="B3307" s="1649" t="n">
        <v>60.78</v>
      </c>
      <c r="C3307" s="1385" t="n">
        <v>43</v>
      </c>
      <c r="D3307" s="1706" t="n">
        <v>42.03</v>
      </c>
      <c r="E3307" s="1649" t="n">
        <v>48.95</v>
      </c>
      <c r="F3307" s="1385" t="n">
        <v>57</v>
      </c>
      <c r="G3307" s="1706" t="n">
        <v>57.62</v>
      </c>
      <c r="H3307" s="1649" t="n">
        <v>4.49</v>
      </c>
      <c r="I3307" s="1385" t="n">
        <v>43</v>
      </c>
      <c r="J3307" s="1706" t="n">
        <v>42.58</v>
      </c>
      <c r="K3307" s="1649" t="n">
        <v>40.78</v>
      </c>
      <c r="L3307" s="1385" t="n">
        <v>43</v>
      </c>
      <c r="M3307" s="1706" t="n">
        <v>42.74</v>
      </c>
      <c r="N3307" s="1649" t="n">
        <v>41.81</v>
      </c>
      <c r="O3307" s="1385" t="n">
        <v>43</v>
      </c>
      <c r="P3307" s="1706" t="n">
        <v>42.73</v>
      </c>
    </row>
    <row r="3308" ht="15.75" customHeight="1" s="2">
      <c r="A3308" s="462" t="inlineStr">
        <is>
          <t>Total hours for productivity</t>
        </is>
      </c>
      <c r="B3308" s="466" t="n">
        <v>1402.75</v>
      </c>
      <c r="C3308" s="1385" t="n">
        <v>1069</v>
      </c>
      <c r="D3308" s="1377" t="n">
        <v>1049</v>
      </c>
      <c r="E3308" s="466" t="n">
        <v>1207.25</v>
      </c>
      <c r="F3308" s="1385" t="n">
        <v>1068.25</v>
      </c>
      <c r="G3308" s="1377" t="n">
        <v>1050.75</v>
      </c>
      <c r="H3308" s="472" t="n">
        <v>1031.75</v>
      </c>
      <c r="I3308" s="1385" t="n">
        <v>945</v>
      </c>
      <c r="J3308" s="1377" t="n">
        <v>950.75</v>
      </c>
      <c r="K3308" s="466" t="n">
        <v>1011.5</v>
      </c>
      <c r="L3308" s="1385" t="n">
        <v>967.5</v>
      </c>
      <c r="M3308" s="1377" t="n">
        <v>957</v>
      </c>
      <c r="N3308" s="466" t="n">
        <v>1002.75</v>
      </c>
      <c r="O3308" s="1385">
        <f>476+490</f>
        <v/>
      </c>
      <c r="P3308" s="1377" t="n">
        <v>922.75</v>
      </c>
    </row>
    <row r="3309" ht="15.75" customHeight="1" s="2">
      <c r="A3309" s="462" t="inlineStr">
        <is>
          <t>wage costed</t>
        </is>
      </c>
      <c r="B3309" s="466" t="n"/>
      <c r="C3309" s="1386">
        <f>C3308*C3307</f>
        <v/>
      </c>
      <c r="D3309" s="1378">
        <f>D3308*D3307</f>
        <v/>
      </c>
      <c r="E3309" s="466" t="n"/>
      <c r="F3309" s="1386">
        <f>F3308*F3307</f>
        <v/>
      </c>
      <c r="G3309" s="1378">
        <f>G3308*G3307</f>
        <v/>
      </c>
      <c r="H3309" s="466" t="n">
        <v>440</v>
      </c>
      <c r="I3309" s="1386">
        <f>I3308*I3307</f>
        <v/>
      </c>
      <c r="J3309" s="1378">
        <f>J3308*J3307</f>
        <v/>
      </c>
      <c r="K3309" s="466" t="n"/>
      <c r="L3309" s="1386">
        <f>L3308*L3307</f>
        <v/>
      </c>
      <c r="M3309" s="1378">
        <f>M3308*M3307</f>
        <v/>
      </c>
      <c r="N3309" s="466" t="n"/>
      <c r="O3309" s="1386">
        <f>O3308*O3307</f>
        <v/>
      </c>
      <c r="P3309" s="1378">
        <f>P3308*P3307</f>
        <v/>
      </c>
    </row>
    <row r="3310" ht="15.75" customHeight="1" s="2" thickBot="1">
      <c r="A3310" s="474" t="inlineStr">
        <is>
          <t>Number of hours used to cover sick leave</t>
        </is>
      </c>
      <c r="B3310" s="476" t="n">
        <v>7</v>
      </c>
      <c r="C3310" s="1387" t="n"/>
      <c r="D3310" s="1379" t="n">
        <v>7</v>
      </c>
      <c r="E3310" s="476" t="n">
        <v>23</v>
      </c>
      <c r="F3310" s="1387" t="n"/>
      <c r="G3310" s="1379" t="n">
        <v>39.75</v>
      </c>
      <c r="H3310" s="476" t="n">
        <v>25.75</v>
      </c>
      <c r="I3310" s="1387" t="n"/>
      <c r="J3310" s="1379" t="n">
        <v>15</v>
      </c>
      <c r="K3310" s="476" t="n"/>
      <c r="L3310" s="1387" t="n"/>
      <c r="M3310" s="1379" t="n">
        <v>9.5</v>
      </c>
      <c r="N3310" s="476" t="n">
        <v>23</v>
      </c>
      <c r="O3310" s="1387" t="n"/>
      <c r="P3310" s="1379" t="n">
        <v>24.25</v>
      </c>
    </row>
    <row r="3311" ht="15.75" customHeight="1" s="2" thickBot="1">
      <c r="A3311" s="477" t="inlineStr">
        <is>
          <t xml:space="preserve">Minimum Hours </t>
        </is>
      </c>
      <c r="B3311" s="935" t="n"/>
      <c r="C3311" s="1388" t="inlineStr">
        <is>
          <t>Projected</t>
        </is>
      </c>
      <c r="D3311" s="1391" t="inlineStr">
        <is>
          <t>Min Hrs</t>
        </is>
      </c>
      <c r="E3311" s="935" t="n"/>
      <c r="F3311" s="1388" t="inlineStr">
        <is>
          <t>Projected</t>
        </is>
      </c>
      <c r="G3311" s="1391" t="inlineStr">
        <is>
          <t>Min Hrs</t>
        </is>
      </c>
      <c r="H3311" s="935" t="n"/>
      <c r="I3311" s="1388" t="inlineStr">
        <is>
          <t>Projected</t>
        </is>
      </c>
      <c r="J3311" s="1391" t="inlineStr">
        <is>
          <t>Min Hrs</t>
        </is>
      </c>
      <c r="K3311" s="935" t="n"/>
      <c r="L3311" s="1388" t="inlineStr">
        <is>
          <t>Projected</t>
        </is>
      </c>
      <c r="M3311" s="1391" t="inlineStr">
        <is>
          <t>Min Hrs</t>
        </is>
      </c>
      <c r="N3311" s="935" t="n"/>
      <c r="O3311" s="1388" t="inlineStr">
        <is>
          <t>Projected</t>
        </is>
      </c>
      <c r="P3311" s="1391" t="inlineStr">
        <is>
          <t>Min Hrs</t>
        </is>
      </c>
    </row>
    <row r="3312" ht="15.75" customHeight="1" s="2">
      <c r="A3312" s="479" t="inlineStr">
        <is>
          <t>Floor</t>
        </is>
      </c>
      <c r="B3312" s="810" t="n"/>
      <c r="C3312" s="1389" t="n">
        <v>562</v>
      </c>
      <c r="D3312" s="1392" t="n">
        <v>420</v>
      </c>
      <c r="E3312" s="810" t="n"/>
      <c r="F3312" s="1389" t="n">
        <v>551.75</v>
      </c>
      <c r="G3312" s="1392" t="n">
        <v>531</v>
      </c>
      <c r="H3312" s="810" t="n"/>
      <c r="I3312" s="1389" t="n">
        <v>484.5</v>
      </c>
      <c r="J3312" s="1392" t="n">
        <v>498</v>
      </c>
      <c r="K3312" s="810" t="n"/>
      <c r="L3312" s="1389" t="n">
        <v>490</v>
      </c>
      <c r="M3312" s="1392" t="n">
        <v>498</v>
      </c>
      <c r="N3312" s="810" t="n"/>
      <c r="O3312" s="1389" t="n">
        <v>490</v>
      </c>
      <c r="P3312" s="1392" t="n">
        <v>504</v>
      </c>
    </row>
    <row r="3313" ht="15.75" customHeight="1" s="2" thickBot="1">
      <c r="A3313" s="481" t="inlineStr">
        <is>
          <t>Kitchen</t>
        </is>
      </c>
      <c r="B3313" s="813" t="n"/>
      <c r="C3313" s="1387" t="n">
        <v>507</v>
      </c>
      <c r="D3313" s="1393" t="n">
        <v>385</v>
      </c>
      <c r="E3313" s="813" t="n"/>
      <c r="F3313" s="1390" t="n">
        <v>516.5</v>
      </c>
      <c r="G3313" s="1393" t="n">
        <v>434</v>
      </c>
      <c r="H3313" s="813" t="n"/>
      <c r="I3313" s="1390" t="n">
        <v>461</v>
      </c>
      <c r="J3313" s="1393" t="n">
        <v>385</v>
      </c>
      <c r="K3313" s="813" t="n"/>
      <c r="L3313" s="1390" t="n">
        <v>477.5</v>
      </c>
      <c r="M3313" s="1393" t="n">
        <v>434</v>
      </c>
      <c r="N3313" s="813" t="n"/>
      <c r="O3313" s="1387" t="n">
        <v>476</v>
      </c>
      <c r="P3313" s="1393" t="n">
        <v>444</v>
      </c>
    </row>
    <row r="3314" ht="15.75" customHeight="1" s="2" thickBot="1">
      <c r="A3314" s="834" t="n"/>
      <c r="B3314" s="836" t="n"/>
      <c r="C3314" s="1220" t="n"/>
      <c r="D3314" s="1220" t="n"/>
      <c r="E3314" s="839" t="n"/>
      <c r="F3314" s="1220" t="n"/>
      <c r="G3314" s="1220" t="n"/>
      <c r="H3314" s="839" t="n"/>
      <c r="I3314" s="1220" t="n"/>
      <c r="J3314" s="1220" t="n"/>
      <c r="K3314" s="839" t="n"/>
      <c r="L3314" s="1220" t="n"/>
      <c r="M3314" s="1220" t="n"/>
      <c r="N3314" s="839" t="n"/>
      <c r="O3314" s="835" t="n"/>
      <c r="P3314" s="835" t="n"/>
    </row>
    <row r="3315" ht="15.75" customHeight="1" s="2">
      <c r="A3315" s="506" t="inlineStr">
        <is>
          <t>Training explanation</t>
        </is>
      </c>
      <c r="B3315" s="837" t="n"/>
      <c r="C3315" s="1220" t="n"/>
      <c r="D3315" s="1220" t="n"/>
      <c r="E3315" s="837" t="n"/>
      <c r="F3315" s="1220" t="n"/>
      <c r="G3315" s="1220" t="n"/>
      <c r="H3315" s="837" t="n"/>
      <c r="I3315" s="1220" t="n"/>
      <c r="J3315" s="1220" t="n"/>
      <c r="K3315" s="837" t="n"/>
      <c r="L3315" s="1220" t="n"/>
      <c r="M3315" s="1220" t="n"/>
      <c r="N3315" s="837" t="n"/>
      <c r="O3315" s="835" t="n"/>
      <c r="P3315" s="835" t="n"/>
    </row>
    <row r="3316" ht="15.75" customHeight="1" s="2" thickBot="1">
      <c r="A3316" s="506" t="inlineStr">
        <is>
          <t>Who is being Trained</t>
        </is>
      </c>
      <c r="B3316" s="838" t="n"/>
      <c r="C3316" s="1221" t="n"/>
      <c r="D3316" s="1221" t="n"/>
      <c r="E3316" s="838" t="n"/>
      <c r="F3316" s="1221" t="n"/>
      <c r="G3316" s="1221" t="n"/>
      <c r="H3316" s="838" t="n"/>
      <c r="I3316" s="1221" t="n"/>
      <c r="J3316" s="1221" t="n"/>
      <c r="K3316" s="838" t="n"/>
      <c r="L3316" s="1221" t="n"/>
      <c r="M3316" s="1221" t="n"/>
      <c r="N3316" s="838" t="n"/>
    </row>
    <row r="3317" ht="15.75" customHeight="1" s="2" thickBot="1">
      <c r="A3317" s="506" t="n"/>
      <c r="C3317" s="523" t="inlineStr">
        <is>
          <t>floor</t>
        </is>
      </c>
      <c r="D3317" s="524" t="inlineStr">
        <is>
          <t>kitchen</t>
        </is>
      </c>
      <c r="E3317" s="509" t="n"/>
      <c r="F3317" s="507" t="inlineStr">
        <is>
          <t>floor</t>
        </is>
      </c>
      <c r="G3317" s="508" t="inlineStr">
        <is>
          <t>kitchen</t>
        </is>
      </c>
      <c r="H3317" s="510" t="n"/>
      <c r="I3317" s="535" t="inlineStr">
        <is>
          <t>floor</t>
        </is>
      </c>
      <c r="J3317" s="511" t="inlineStr">
        <is>
          <t>kitchen</t>
        </is>
      </c>
      <c r="K3317" s="512" t="n"/>
      <c r="L3317" s="535" t="inlineStr">
        <is>
          <t>floor</t>
        </is>
      </c>
      <c r="M3317" s="513" t="inlineStr">
        <is>
          <t>kitchen</t>
        </is>
      </c>
      <c r="N3317" s="512" t="n"/>
      <c r="O3317" s="535" t="inlineStr">
        <is>
          <t>floor</t>
        </is>
      </c>
      <c r="P3317" s="513" t="inlineStr">
        <is>
          <t>kitchen</t>
        </is>
      </c>
    </row>
    <row r="3318" ht="15.75" customHeight="1" s="2">
      <c r="A3318" s="506" t="n"/>
      <c r="C3318" s="525" t="n"/>
      <c r="D3318" s="527" t="n"/>
      <c r="E3318" s="514" t="n"/>
      <c r="F3318" s="525" t="n"/>
      <c r="G3318" s="527" t="n"/>
      <c r="H3318" s="515" t="n"/>
      <c r="I3318" s="531" t="n"/>
      <c r="J3318" s="824" t="n"/>
      <c r="K3318" s="515" t="n"/>
      <c r="L3318" s="1430" t="inlineStr">
        <is>
          <t>Bar- 9Hrs</t>
        </is>
      </c>
      <c r="M3318" s="1431" t="inlineStr">
        <is>
          <t>Prep-16Hrs</t>
        </is>
      </c>
      <c r="N3318" s="515" t="n"/>
      <c r="O3318" s="536" t="n"/>
      <c r="P3318" s="532" t="n"/>
    </row>
    <row r="3319" ht="15.75" customHeight="1" s="2">
      <c r="C3319" s="891" t="n"/>
      <c r="D3319" s="526" t="n"/>
      <c r="E3319" s="514" t="n"/>
      <c r="F3319" s="891" t="n"/>
      <c r="G3319" s="526" t="n"/>
      <c r="H3319" s="516" t="n"/>
      <c r="I3319" s="1656" t="n"/>
      <c r="J3319" s="530" t="n"/>
      <c r="K3319" s="516" t="n"/>
      <c r="L3319" s="1432" t="n"/>
      <c r="M3319" s="1433" t="inlineStr">
        <is>
          <t>Creping-10Hrs</t>
        </is>
      </c>
      <c r="N3319" s="516" t="n"/>
      <c r="O3319" s="542" t="n"/>
      <c r="P3319" s="530" t="n"/>
    </row>
    <row r="3320" ht="15.75" customHeight="1" s="2">
      <c r="C3320" s="550" t="n"/>
      <c r="D3320" s="527" t="n"/>
      <c r="E3320" s="514" t="n"/>
      <c r="F3320" s="531" t="n"/>
      <c r="G3320" s="530" t="n"/>
      <c r="H3320" s="516" t="n"/>
      <c r="I3320" s="537" t="n"/>
      <c r="J3320" s="530" t="n"/>
      <c r="K3320" s="516" t="n"/>
      <c r="L3320" s="1707" t="n"/>
      <c r="M3320" s="1435" t="inlineStr">
        <is>
          <t xml:space="preserve">Closing </t>
        </is>
      </c>
      <c r="N3320" s="516" t="n"/>
      <c r="O3320" s="542" t="n"/>
      <c r="P3320" s="539" t="n"/>
    </row>
    <row r="3321" ht="15.75" customHeight="1" s="2">
      <c r="C3321" s="561" t="n"/>
      <c r="D3321" s="561" t="n"/>
      <c r="E3321" s="519" t="n"/>
      <c r="F3321" s="517" t="n"/>
      <c r="G3321" s="1659" t="n"/>
      <c r="H3321" s="516" t="n"/>
      <c r="I3321" s="537" t="n"/>
      <c r="J3321" s="530" t="n"/>
      <c r="K3321" s="516" t="n"/>
      <c r="L3321" s="1436" t="n"/>
      <c r="M3321" s="1437" t="n"/>
      <c r="N3321" s="516" t="n"/>
      <c r="O3321" s="537" t="n"/>
      <c r="P3321" s="539" t="n"/>
    </row>
    <row r="3322" ht="15.75" customHeight="1" s="2">
      <c r="C3322" s="551" t="n"/>
      <c r="D3322" s="528" t="n"/>
      <c r="E3322" s="519" t="n"/>
      <c r="F3322" s="517" t="n"/>
      <c r="G3322" s="518" t="n"/>
      <c r="H3322" s="516" t="n"/>
      <c r="I3322" s="537" t="n"/>
      <c r="J3322" s="533" t="n"/>
      <c r="K3322" s="516" t="n"/>
      <c r="L3322" s="537" t="n"/>
      <c r="M3322" s="540" t="n"/>
      <c r="N3322" s="516" t="n"/>
      <c r="O3322" s="537" t="n"/>
      <c r="P3322" s="540" t="n"/>
    </row>
    <row r="3323" ht="15.75" customHeight="1" s="2">
      <c r="C3323" s="550" t="n"/>
      <c r="D3323" s="527" t="n"/>
      <c r="E3323" s="514" t="n"/>
      <c r="F3323" s="531" t="n"/>
      <c r="G3323" s="530" t="n"/>
      <c r="H3323" s="516" t="n"/>
      <c r="I3323" s="537" t="n"/>
      <c r="J3323" s="530" t="n"/>
      <c r="K3323" s="516" t="n"/>
      <c r="L3323" s="1657" t="n"/>
      <c r="M3323" s="539" t="n"/>
      <c r="N3323" s="516" t="n"/>
      <c r="O3323" s="542" t="n"/>
      <c r="P3323" s="539" t="n"/>
    </row>
    <row r="3324" ht="15.75" customHeight="1" s="2">
      <c r="C3324" s="561" t="n"/>
      <c r="D3324" s="561" t="n"/>
      <c r="E3324" s="519" t="n"/>
      <c r="F3324" s="517" t="n"/>
      <c r="G3324" s="1659" t="n"/>
      <c r="H3324" s="516" t="n"/>
      <c r="I3324" s="537" t="n"/>
      <c r="J3324" s="530" t="n"/>
      <c r="K3324" s="516" t="n"/>
      <c r="L3324" s="537" t="n"/>
      <c r="M3324" s="539" t="n"/>
      <c r="N3324" s="516" t="n"/>
      <c r="O3324" s="537" t="n"/>
      <c r="P3324" s="539" t="n"/>
    </row>
    <row r="3325" ht="15.75" customHeight="1" s="2">
      <c r="C3325" s="551" t="n"/>
      <c r="D3325" s="528" t="n"/>
      <c r="E3325" s="519" t="n"/>
      <c r="F3325" s="517" t="n"/>
      <c r="G3325" s="518" t="n"/>
      <c r="H3325" s="516" t="n"/>
      <c r="I3325" s="537" t="n"/>
      <c r="J3325" s="533" t="n"/>
      <c r="K3325" s="516" t="n"/>
      <c r="L3325" s="537" t="n"/>
      <c r="M3325" s="540" t="n"/>
      <c r="N3325" s="516" t="n"/>
      <c r="O3325" s="537" t="n"/>
      <c r="P3325" s="540" t="n"/>
    </row>
    <row r="3327" ht="15.75" customHeight="1" s="2" thickBot="1"/>
    <row r="3328" ht="15.75" customHeight="1" s="2" thickBot="1">
      <c r="B3328" s="1482" t="n"/>
      <c r="C3328" s="1402" t="inlineStr">
        <is>
          <t>25.05.2026</t>
        </is>
      </c>
      <c r="D3328" s="1484" t="n"/>
      <c r="E3328" s="1485" t="n"/>
      <c r="F3328" s="1410" t="inlineStr">
        <is>
          <t>01.06.2026</t>
        </is>
      </c>
      <c r="G3328" s="1487" t="n"/>
      <c r="H3328" s="1485" t="n"/>
      <c r="I3328" s="1410" t="inlineStr">
        <is>
          <t>08.06.2026</t>
        </is>
      </c>
      <c r="J3328" s="1487" t="n"/>
      <c r="K3328" s="1485" t="n"/>
      <c r="L3328" s="1403" t="inlineStr">
        <is>
          <t>15.06.2026</t>
        </is>
      </c>
      <c r="M3328" s="1487" t="n"/>
      <c r="N3328" s="1488" t="n"/>
      <c r="O3328" s="1406" t="inlineStr">
        <is>
          <t>22.06.2026</t>
        </is>
      </c>
      <c r="P3328" s="1490" t="n"/>
    </row>
    <row r="3329" ht="15.75" customHeight="1" s="2" thickBot="1">
      <c r="A3329" s="455" t="n"/>
      <c r="B3329" s="1394" t="inlineStr">
        <is>
          <t>LAST YEAR</t>
        </is>
      </c>
      <c r="C3329" s="1395" t="inlineStr">
        <is>
          <t>Projected</t>
        </is>
      </c>
      <c r="D3329" s="1396" t="inlineStr">
        <is>
          <t>Actual</t>
        </is>
      </c>
      <c r="E3329" s="1394" t="inlineStr">
        <is>
          <t>LAST YEAR</t>
        </is>
      </c>
      <c r="F3329" s="1395" t="inlineStr">
        <is>
          <t>Projected</t>
        </is>
      </c>
      <c r="G3329" s="1396" t="inlineStr">
        <is>
          <t>Actual</t>
        </is>
      </c>
      <c r="H3329" s="1394" t="inlineStr">
        <is>
          <t>LAST YEAR</t>
        </is>
      </c>
      <c r="I3329" s="1395" t="inlineStr">
        <is>
          <t>Projected</t>
        </is>
      </c>
      <c r="J3329" s="1396" t="inlineStr">
        <is>
          <t>Actual</t>
        </is>
      </c>
      <c r="K3329" s="1394" t="inlineStr">
        <is>
          <t>LAST YEAR</t>
        </is>
      </c>
      <c r="L3329" s="1395" t="inlineStr">
        <is>
          <t>Projected</t>
        </is>
      </c>
      <c r="M3329" s="1396" t="inlineStr">
        <is>
          <t>Actual</t>
        </is>
      </c>
      <c r="N3329" s="1394" t="inlineStr">
        <is>
          <t>LAST YEAR</t>
        </is>
      </c>
      <c r="O3329" s="1395" t="inlineStr">
        <is>
          <t>Projected</t>
        </is>
      </c>
      <c r="P3329" s="1396" t="inlineStr">
        <is>
          <t>Actual</t>
        </is>
      </c>
    </row>
    <row r="3330" ht="15.75" customHeight="1" s="2">
      <c r="A3330" s="459" t="inlineStr">
        <is>
          <t>Total Receipts</t>
        </is>
      </c>
      <c r="B3330" s="1645" t="n">
        <v>137044.12</v>
      </c>
      <c r="C3330" s="1700" t="n">
        <v>141010</v>
      </c>
      <c r="D3330" s="1701" t="n">
        <v>120192</v>
      </c>
      <c r="E3330" s="1645" t="n">
        <v>186706.97</v>
      </c>
      <c r="F3330" s="1700" t="n">
        <v>144805</v>
      </c>
      <c r="G3330" s="1701" t="n">
        <v>146734.89</v>
      </c>
      <c r="H3330" s="1645" t="n">
        <v>218453.14</v>
      </c>
      <c r="I3330" s="1700" t="n">
        <v>189481</v>
      </c>
      <c r="J3330" s="1701" t="n">
        <v>192288.86</v>
      </c>
      <c r="K3330" s="1645" t="n">
        <v>169165.32</v>
      </c>
      <c r="L3330" s="1700" t="n">
        <v>142434</v>
      </c>
      <c r="M3330" s="1701" t="n">
        <v>134807.87</v>
      </c>
      <c r="N3330" s="1645" t="n">
        <v>137596.87</v>
      </c>
      <c r="O3330" s="1700" t="n">
        <v>117689</v>
      </c>
      <c r="P3330" s="1701" t="n">
        <v>104357.64</v>
      </c>
    </row>
    <row r="3331" ht="15.75" customHeight="1" s="2">
      <c r="A3331" s="462" t="inlineStr">
        <is>
          <t>Nett Sales</t>
        </is>
      </c>
      <c r="B3331" s="1625" t="n">
        <v>124585.56</v>
      </c>
      <c r="C3331" s="1702" t="n">
        <v>128190.9</v>
      </c>
      <c r="D3331" s="1703" t="n">
        <v>109266</v>
      </c>
      <c r="E3331" s="1637" t="n">
        <v>169733.61</v>
      </c>
      <c r="F3331" s="1702" t="n">
        <v>131640.9</v>
      </c>
      <c r="G3331" s="1703" t="n">
        <v>133395.35</v>
      </c>
      <c r="H3331" s="1625" t="n">
        <v>198593.76</v>
      </c>
      <c r="I3331" s="1702" t="n">
        <v>172255</v>
      </c>
      <c r="J3331" s="1703" t="n">
        <v>174808.05</v>
      </c>
      <c r="K3331" s="1625" t="n">
        <v>153786.77</v>
      </c>
      <c r="L3331" s="1702" t="n">
        <v>129485.5</v>
      </c>
      <c r="M3331" s="1703" t="n">
        <v>122552.61</v>
      </c>
      <c r="N3331" s="1625" t="n">
        <v>125085.34</v>
      </c>
      <c r="O3331" s="1702" t="n">
        <v>106990</v>
      </c>
      <c r="P3331" s="1703" t="n">
        <v>94870.58</v>
      </c>
    </row>
    <row r="3332" ht="15.75" customHeight="1" s="2">
      <c r="A3332" s="462" t="inlineStr">
        <is>
          <t>Customers</t>
        </is>
      </c>
      <c r="B3332" s="466" t="n">
        <v>5393</v>
      </c>
      <c r="C3332" s="1382" t="n">
        <v>5455</v>
      </c>
      <c r="D3332" s="1704" t="n">
        <v>4810</v>
      </c>
      <c r="E3332" s="466" t="n">
        <v>7245</v>
      </c>
      <c r="F3332" s="1382" t="n">
        <v>5627</v>
      </c>
      <c r="G3332" s="1704" t="n">
        <v>5872</v>
      </c>
      <c r="H3332" s="466" t="n">
        <v>8246</v>
      </c>
      <c r="I3332" s="1382" t="n">
        <v>7280</v>
      </c>
      <c r="J3332" s="1704" t="n">
        <v>7102</v>
      </c>
      <c r="K3332" s="466" t="n">
        <v>6418</v>
      </c>
      <c r="L3332" s="1382" t="n">
        <v>5535</v>
      </c>
      <c r="M3332" s="1704" t="n">
        <v>5071</v>
      </c>
      <c r="N3332" s="1655" t="n">
        <v>5388</v>
      </c>
      <c r="O3332" s="1382" t="n">
        <v>4625</v>
      </c>
      <c r="P3332" s="1704" t="n">
        <v>4064</v>
      </c>
    </row>
    <row r="3333" ht="15.75" customHeight="1" s="2">
      <c r="A3333" s="462" t="inlineStr">
        <is>
          <t>Average Customer Spend</t>
        </is>
      </c>
      <c r="B3333" s="1649" t="n">
        <v>25.41</v>
      </c>
      <c r="C3333" s="1705" t="n">
        <v>25.85</v>
      </c>
      <c r="D3333" s="1706" t="n">
        <v>24.98</v>
      </c>
      <c r="E3333" s="1649" t="n">
        <v>25.77</v>
      </c>
      <c r="F3333" s="1705" t="n">
        <v>25.73</v>
      </c>
      <c r="G3333" s="1706" t="n">
        <v>24.98</v>
      </c>
      <c r="H3333" s="1649" t="n">
        <v>26.49</v>
      </c>
      <c r="I3333" s="1705" t="n">
        <v>26.03</v>
      </c>
      <c r="J3333" s="1706" t="n">
        <v>27.07</v>
      </c>
      <c r="K3333" s="1649" t="n">
        <v>26.35</v>
      </c>
      <c r="L3333" s="1705" t="n">
        <v>25.73</v>
      </c>
      <c r="M3333" s="1706" t="n">
        <v>26.58</v>
      </c>
      <c r="N3333" s="1649" t="n">
        <v>25.53</v>
      </c>
      <c r="O3333" s="1705" t="n">
        <v>25.45</v>
      </c>
      <c r="P3333" s="1706" t="n">
        <v>25.67</v>
      </c>
    </row>
    <row r="3334" ht="15.75" customHeight="1" s="2">
      <c r="A3334" s="462" t="inlineStr">
        <is>
          <t>Wage % to Total Receipts</t>
        </is>
      </c>
      <c r="B3334" s="863" t="n">
        <v>0.3229</v>
      </c>
      <c r="C3334" s="1384">
        <f>C3339/C3330</f>
        <v/>
      </c>
      <c r="D3334" s="1375" t="n">
        <v>0.3564</v>
      </c>
      <c r="E3334" s="863" t="n">
        <v>0.2682</v>
      </c>
      <c r="F3334" s="1384">
        <f>F3339/F3330</f>
        <v/>
      </c>
      <c r="G3334" s="1375">
        <f>G3339/G3330</f>
        <v/>
      </c>
      <c r="H3334" s="863" t="n">
        <v>0.2912</v>
      </c>
      <c r="I3334" s="1384">
        <f>I3339/I3330</f>
        <v/>
      </c>
      <c r="J3334" s="1375">
        <f>J3339/J3330</f>
        <v/>
      </c>
      <c r="K3334" s="863" t="n">
        <v>0.2957</v>
      </c>
      <c r="L3334" s="1384">
        <f>L3339/L3330</f>
        <v/>
      </c>
      <c r="M3334" s="1375">
        <f>M3339/M3330</f>
        <v/>
      </c>
      <c r="N3334" s="863" t="n">
        <v>0.3053</v>
      </c>
      <c r="O3334" s="1384">
        <f>O3339/O3330</f>
        <v/>
      </c>
      <c r="P3334" s="1375">
        <f>P3339/P3330</f>
        <v/>
      </c>
    </row>
    <row r="3335" ht="15.75" customHeight="1" s="2">
      <c r="A3335" s="462" t="inlineStr">
        <is>
          <t>Wage % to Nett Sales</t>
        </is>
      </c>
      <c r="B3335" s="863" t="n">
        <v>0.3552</v>
      </c>
      <c r="C3335" s="1384">
        <f>C3339/C3331</f>
        <v/>
      </c>
      <c r="D3335" s="1375" t="n">
        <v>0.392</v>
      </c>
      <c r="E3335" s="863" t="n">
        <v>0.295</v>
      </c>
      <c r="F3335" s="1384">
        <f>F3339/F3331</f>
        <v/>
      </c>
      <c r="G3335" s="1375">
        <f>G3339/G3331</f>
        <v/>
      </c>
      <c r="H3335" s="863" t="n">
        <v>0.3203</v>
      </c>
      <c r="I3335" s="1384">
        <f>I3339/I3331</f>
        <v/>
      </c>
      <c r="J3335" s="1375">
        <f>J3339/J3331</f>
        <v/>
      </c>
      <c r="K3335" s="863" t="n">
        <v>0.3253</v>
      </c>
      <c r="L3335" s="1384">
        <f>L3339/L3331</f>
        <v/>
      </c>
      <c r="M3335" s="1375">
        <f>M3339/M3331</f>
        <v/>
      </c>
      <c r="N3335" s="863" t="n">
        <v>0.3358</v>
      </c>
      <c r="O3335" s="1384">
        <f>O3339/O3331</f>
        <v/>
      </c>
      <c r="P3335" s="1375">
        <f>P3339/P3331</f>
        <v/>
      </c>
    </row>
    <row r="3336" ht="15.75" customHeight="1" s="2">
      <c r="A3336" s="462" t="inlineStr">
        <is>
          <t>Productivity</t>
        </is>
      </c>
      <c r="B3336" s="472" t="n">
        <v>5.09</v>
      </c>
      <c r="C3336" s="1385">
        <f>C3332/C3338</f>
        <v/>
      </c>
      <c r="D3336" s="1376" t="n">
        <v>4.74</v>
      </c>
      <c r="E3336" s="472" t="n">
        <v>5.94</v>
      </c>
      <c r="F3336" s="1385">
        <f>F3332/F3338</f>
        <v/>
      </c>
      <c r="G3336" s="1376">
        <f>G3332/G3338</f>
        <v/>
      </c>
      <c r="H3336" s="472" t="n">
        <v>6.23</v>
      </c>
      <c r="I3336" s="1385">
        <f>I3332/I3338</f>
        <v/>
      </c>
      <c r="J3336" s="1376">
        <f>J3332/J3338</f>
        <v/>
      </c>
      <c r="K3336" s="472" t="n">
        <v>5.38</v>
      </c>
      <c r="L3336" s="1385">
        <f>L3332/L3338</f>
        <v/>
      </c>
      <c r="M3336" s="1376">
        <f>M3332/M3338</f>
        <v/>
      </c>
      <c r="N3336" s="472" t="n">
        <v>5.35</v>
      </c>
      <c r="O3336" s="1385">
        <f>O3332/O3338</f>
        <v/>
      </c>
      <c r="P3336" s="1376">
        <f>P3332/P3338</f>
        <v/>
      </c>
    </row>
    <row r="3337" ht="15.75" customHeight="1" s="2">
      <c r="A3337" s="462" t="inlineStr">
        <is>
          <t>Average Hourly Rate</t>
        </is>
      </c>
      <c r="B3337" s="1649" t="n">
        <v>41.71</v>
      </c>
      <c r="C3337" s="1385" t="n">
        <v>43</v>
      </c>
      <c r="D3337" s="1706" t="n">
        <v>42.21</v>
      </c>
      <c r="E3337" s="1649" t="n">
        <v>41.09</v>
      </c>
      <c r="F3337" s="1385" t="n">
        <v>43</v>
      </c>
      <c r="G3337" s="1706" t="n">
        <v>42.85</v>
      </c>
      <c r="H3337" s="1649" t="n">
        <v>48.07</v>
      </c>
      <c r="I3337" s="1385" t="n">
        <v>50.5</v>
      </c>
      <c r="J3337" s="1706" t="n">
        <v>47.91</v>
      </c>
      <c r="K3337" s="1649" t="n">
        <v>42</v>
      </c>
      <c r="L3337" s="1385" t="n">
        <v>43</v>
      </c>
      <c r="M3337" s="1706" t="n">
        <v>42.91</v>
      </c>
      <c r="N3337" s="1649" t="n">
        <v>41.67</v>
      </c>
      <c r="O3337" s="1385" t="n">
        <v>43</v>
      </c>
      <c r="P3337" s="1706" t="n">
        <v>44.13</v>
      </c>
    </row>
    <row r="3338" ht="15.75" customHeight="1" s="2">
      <c r="A3338" s="462" t="inlineStr">
        <is>
          <t>Total hours for productivity</t>
        </is>
      </c>
      <c r="B3338" s="466" t="n">
        <v>1058.75</v>
      </c>
      <c r="C3338" s="1385">
        <f>532+488</f>
        <v/>
      </c>
      <c r="D3338" s="1377" t="n">
        <v>1014.75</v>
      </c>
      <c r="E3338" s="466" t="n">
        <v>1218.75</v>
      </c>
      <c r="F3338" s="1385" t="n">
        <v>1050.5</v>
      </c>
      <c r="G3338" s="1377" t="n">
        <v>1047.25</v>
      </c>
      <c r="H3338" s="472" t="n">
        <v>1323.5</v>
      </c>
      <c r="I3338" s="1385" t="n">
        <v>1176.5</v>
      </c>
      <c r="J3338" s="1377" t="n">
        <v>1214.25</v>
      </c>
      <c r="K3338" s="466" t="n">
        <v>1192.5</v>
      </c>
      <c r="L3338" s="1385" t="n">
        <v>1039.5</v>
      </c>
      <c r="M3338" s="1377" t="n">
        <v>988.5</v>
      </c>
      <c r="N3338" s="466" t="n">
        <v>1008</v>
      </c>
      <c r="O3338" s="1385" t="n">
        <v>910.5</v>
      </c>
      <c r="P3338" s="1377" t="n">
        <v>843.75</v>
      </c>
    </row>
    <row r="3339" ht="15.75" customHeight="1" s="2">
      <c r="A3339" s="462" t="inlineStr">
        <is>
          <t>wage costed</t>
        </is>
      </c>
      <c r="B3339" s="466" t="n"/>
      <c r="C3339" s="1386">
        <f>C3338*C3337</f>
        <v/>
      </c>
      <c r="D3339" s="1378">
        <f>D3338*D3337</f>
        <v/>
      </c>
      <c r="E3339" s="466" t="n"/>
      <c r="F3339" s="1386">
        <f>F3338*F3337</f>
        <v/>
      </c>
      <c r="G3339" s="1378">
        <f>G3338*G3337</f>
        <v/>
      </c>
      <c r="H3339" s="466" t="n"/>
      <c r="I3339" s="1386">
        <f>I3338*I3337</f>
        <v/>
      </c>
      <c r="J3339" s="1378">
        <f>J3338*J3337</f>
        <v/>
      </c>
      <c r="K3339" s="466" t="n"/>
      <c r="L3339" s="1386">
        <f>L3338*L3337</f>
        <v/>
      </c>
      <c r="M3339" s="1378">
        <f>M3338*M3337</f>
        <v/>
      </c>
      <c r="N3339" s="466" t="n"/>
      <c r="O3339" s="1386">
        <f>O3338*O3337</f>
        <v/>
      </c>
      <c r="P3339" s="1378">
        <f>P3338*P3337</f>
        <v/>
      </c>
    </row>
    <row r="3340" ht="15.75" customHeight="1" s="2" thickBot="1">
      <c r="A3340" s="474" t="inlineStr">
        <is>
          <t>Number of hours used to cover sick leave</t>
        </is>
      </c>
      <c r="B3340" s="476" t="n">
        <v>14</v>
      </c>
      <c r="C3340" s="1387" t="n"/>
      <c r="D3340" s="1379" t="n">
        <v>0</v>
      </c>
      <c r="E3340" s="476" t="n">
        <v>17.5</v>
      </c>
      <c r="F3340" s="1387" t="n"/>
      <c r="G3340" s="1379" t="n"/>
      <c r="H3340" s="476" t="n">
        <v>29.5</v>
      </c>
      <c r="I3340" s="1387" t="n"/>
      <c r="J3340" s="1379" t="n">
        <v>25.25</v>
      </c>
      <c r="K3340" s="476" t="n">
        <v>38.25</v>
      </c>
      <c r="L3340" s="1387" t="n"/>
      <c r="M3340" s="1379" t="n">
        <v>22.5</v>
      </c>
      <c r="N3340" s="476" t="n">
        <v>15</v>
      </c>
      <c r="O3340" s="1387" t="n"/>
      <c r="P3340" s="1379" t="n">
        <v>23</v>
      </c>
    </row>
    <row r="3341" ht="15.75" customHeight="1" s="2" thickBot="1">
      <c r="A3341" s="477" t="inlineStr">
        <is>
          <t xml:space="preserve">Minimum Hours </t>
        </is>
      </c>
      <c r="B3341" s="935" t="n"/>
      <c r="C3341" s="1388" t="inlineStr">
        <is>
          <t>Projected</t>
        </is>
      </c>
      <c r="D3341" s="1391" t="inlineStr">
        <is>
          <t>Min Hrs</t>
        </is>
      </c>
      <c r="E3341" s="935" t="n"/>
      <c r="F3341" s="1388" t="inlineStr">
        <is>
          <t>Projected</t>
        </is>
      </c>
      <c r="G3341" s="1391" t="inlineStr">
        <is>
          <t>Min Hrs</t>
        </is>
      </c>
      <c r="H3341" s="935" t="n"/>
      <c r="I3341" s="1388" t="inlineStr">
        <is>
          <t>Projected</t>
        </is>
      </c>
      <c r="J3341" s="1391" t="inlineStr">
        <is>
          <t>Min Hrs</t>
        </is>
      </c>
      <c r="K3341" s="935" t="n"/>
      <c r="L3341" s="1388" t="inlineStr">
        <is>
          <t>Projected</t>
        </is>
      </c>
      <c r="M3341" s="1391" t="inlineStr">
        <is>
          <t>Min Hrs</t>
        </is>
      </c>
      <c r="N3341" s="935" t="n"/>
      <c r="O3341" s="1388" t="inlineStr">
        <is>
          <t>Projected</t>
        </is>
      </c>
      <c r="P3341" s="1391" t="inlineStr">
        <is>
          <t>Min Hrs</t>
        </is>
      </c>
    </row>
    <row r="3342" ht="15.75" customHeight="1" s="2">
      <c r="A3342" s="479" t="inlineStr">
        <is>
          <t>Floor</t>
        </is>
      </c>
      <c r="B3342" s="810" t="n"/>
      <c r="C3342" s="1389" t="n">
        <v>577</v>
      </c>
      <c r="D3342" s="1392" t="n">
        <v>504</v>
      </c>
      <c r="E3342" s="810" t="n"/>
      <c r="F3342" s="1389" t="n">
        <v>548</v>
      </c>
      <c r="G3342" s="1392" t="n">
        <v>525</v>
      </c>
      <c r="H3342" s="810" t="n"/>
      <c r="I3342" s="1389" t="n">
        <v>620.5</v>
      </c>
      <c r="J3342" s="1392" t="n">
        <v>525</v>
      </c>
      <c r="K3342" s="810" t="n"/>
      <c r="L3342" s="1389" t="n">
        <v>543.5</v>
      </c>
      <c r="M3342" s="1392" t="n">
        <v>504</v>
      </c>
      <c r="N3342" s="810" t="n"/>
      <c r="O3342" s="1389" t="n">
        <v>476.5</v>
      </c>
      <c r="P3342" s="1392" t="n">
        <v>504</v>
      </c>
    </row>
    <row r="3343" ht="15.75" customHeight="1" s="2" thickBot="1">
      <c r="A3343" s="481" t="inlineStr">
        <is>
          <t>Kitchen</t>
        </is>
      </c>
      <c r="B3343" s="813" t="n"/>
      <c r="C3343" s="1387" t="n">
        <v>472</v>
      </c>
      <c r="D3343" s="1393" t="n">
        <v>482</v>
      </c>
      <c r="E3343" s="813" t="n"/>
      <c r="F3343" s="1390" t="n">
        <v>502.5</v>
      </c>
      <c r="G3343" s="1393" t="n">
        <v>480</v>
      </c>
      <c r="H3343" s="813" t="n"/>
      <c r="I3343" s="1390" t="n">
        <v>556</v>
      </c>
      <c r="J3343" s="1393" t="n">
        <v>480</v>
      </c>
      <c r="K3343" s="813" t="n"/>
      <c r="L3343" s="1390" t="n">
        <v>496</v>
      </c>
      <c r="M3343" s="1393" t="n">
        <v>556</v>
      </c>
      <c r="N3343" s="813" t="n"/>
      <c r="O3343" s="1387" t="n">
        <v>434</v>
      </c>
      <c r="P3343" s="1393" t="n">
        <v>458</v>
      </c>
    </row>
    <row r="3344" ht="15.75" customHeight="1" s="2" thickBot="1">
      <c r="A3344" s="834" t="n"/>
      <c r="B3344" s="836" t="n"/>
      <c r="C3344" s="1220" t="n"/>
      <c r="D3344" s="1220" t="n"/>
      <c r="E3344" s="839" t="n"/>
      <c r="F3344" s="1220" t="n"/>
      <c r="G3344" s="1220" t="n"/>
      <c r="H3344" s="839" t="n"/>
      <c r="I3344" s="1220" t="n"/>
      <c r="J3344" s="1220" t="n"/>
      <c r="K3344" s="839" t="n"/>
      <c r="L3344" s="1220" t="n"/>
      <c r="M3344" s="1220" t="n"/>
      <c r="N3344" s="839" t="n"/>
      <c r="O3344" s="835" t="n"/>
      <c r="P3344" s="835" t="n"/>
    </row>
    <row r="3345" ht="15.75" customHeight="1" s="2">
      <c r="A3345" s="506" t="inlineStr">
        <is>
          <t>Training explanation</t>
        </is>
      </c>
      <c r="B3345" s="837" t="n"/>
      <c r="C3345" s="1220" t="n"/>
      <c r="D3345" s="1220" t="n"/>
      <c r="E3345" s="837" t="n"/>
      <c r="F3345" s="1220" t="n"/>
      <c r="G3345" s="1220" t="n"/>
      <c r="H3345" s="837" t="n"/>
      <c r="I3345" s="1220" t="n"/>
      <c r="J3345" s="1220" t="n"/>
      <c r="K3345" s="837" t="n"/>
      <c r="L3345" s="1220" t="n"/>
      <c r="M3345" s="1220" t="n"/>
      <c r="N3345" s="837" t="n"/>
      <c r="O3345" s="835" t="n"/>
      <c r="P3345" s="835" t="n"/>
    </row>
    <row r="3346" ht="15.75" customHeight="1" s="2" thickBot="1">
      <c r="A3346" s="506" t="inlineStr">
        <is>
          <t>Who is being Trained</t>
        </is>
      </c>
      <c r="B3346" s="838" t="n"/>
      <c r="C3346" s="1221" t="n"/>
      <c r="D3346" s="1221" t="n"/>
      <c r="E3346" s="838" t="n"/>
      <c r="F3346" s="1221" t="n"/>
      <c r="G3346" s="1221" t="n"/>
      <c r="H3346" s="838" t="n"/>
      <c r="I3346" s="1221" t="n"/>
      <c r="J3346" s="1221" t="n"/>
      <c r="K3346" s="838" t="n"/>
      <c r="L3346" s="1221" t="n"/>
      <c r="M3346" s="1221" t="n"/>
      <c r="N3346" s="838" t="n"/>
    </row>
    <row r="3347" ht="15.75" customHeight="1" s="2" thickBot="1">
      <c r="A3347" s="506" t="n"/>
      <c r="C3347" s="523" t="inlineStr">
        <is>
          <t>floor</t>
        </is>
      </c>
      <c r="D3347" s="524" t="inlineStr">
        <is>
          <t>kitchen</t>
        </is>
      </c>
      <c r="E3347" s="509" t="n"/>
      <c r="F3347" s="507" t="inlineStr">
        <is>
          <t>floor</t>
        </is>
      </c>
      <c r="G3347" s="508" t="inlineStr">
        <is>
          <t>kitchen</t>
        </is>
      </c>
      <c r="H3347" s="510" t="n"/>
      <c r="I3347" s="535" t="inlineStr">
        <is>
          <t>floor</t>
        </is>
      </c>
      <c r="J3347" s="511" t="inlineStr">
        <is>
          <t>kitchen</t>
        </is>
      </c>
      <c r="K3347" s="512" t="n"/>
      <c r="L3347" s="535" t="inlineStr">
        <is>
          <t>floor</t>
        </is>
      </c>
      <c r="M3347" s="513" t="inlineStr">
        <is>
          <t>kitchen</t>
        </is>
      </c>
      <c r="N3347" s="512" t="n"/>
      <c r="O3347" s="535" t="inlineStr">
        <is>
          <t>floor</t>
        </is>
      </c>
      <c r="P3347" s="513" t="inlineStr">
        <is>
          <t>kitchen</t>
        </is>
      </c>
    </row>
    <row r="3348" ht="15.75" customHeight="1" s="2">
      <c r="A3348" s="506" t="n"/>
      <c r="C3348" s="525" t="n"/>
      <c r="D3348" s="527" t="n"/>
      <c r="E3348" s="514" t="n"/>
      <c r="F3348" s="525" t="n"/>
      <c r="G3348" s="527" t="n"/>
      <c r="H3348" s="515" t="n"/>
      <c r="I3348" s="531" t="n"/>
      <c r="J3348" s="824" t="n"/>
      <c r="K3348" s="515" t="n"/>
      <c r="L3348" s="536" t="n"/>
      <c r="M3348" s="532" t="n"/>
      <c r="N3348" s="515" t="n"/>
      <c r="O3348" s="536" t="n"/>
      <c r="P3348" s="532" t="n"/>
    </row>
    <row r="3349" ht="15.75" customHeight="1" s="2">
      <c r="C3349" s="891" t="n"/>
      <c r="D3349" s="526" t="n"/>
      <c r="E3349" s="514" t="n"/>
      <c r="F3349" s="891" t="n"/>
      <c r="G3349" s="526" t="n"/>
      <c r="H3349" s="516" t="n"/>
      <c r="I3349" s="1656" t="n"/>
      <c r="J3349" s="530" t="n"/>
      <c r="K3349" s="516" t="n"/>
      <c r="L3349" s="542" t="n"/>
      <c r="M3349" s="530" t="n"/>
      <c r="N3349" s="516" t="n"/>
      <c r="O3349" s="542" t="n"/>
      <c r="P3349" s="530" t="n"/>
    </row>
    <row r="3350" ht="15.75" customHeight="1" s="2">
      <c r="C3350" s="550" t="n"/>
      <c r="D3350" s="527" t="n"/>
      <c r="E3350" s="514" t="n"/>
      <c r="F3350" s="531" t="n"/>
      <c r="G3350" s="530" t="n"/>
      <c r="H3350" s="516" t="n"/>
      <c r="I3350" s="537" t="n"/>
      <c r="J3350" s="530" t="n"/>
      <c r="K3350" s="516" t="n"/>
      <c r="L3350" s="1657" t="n"/>
      <c r="M3350" s="539" t="n"/>
      <c r="N3350" s="516" t="n"/>
      <c r="O3350" s="542" t="n"/>
      <c r="P3350" s="539" t="n"/>
    </row>
    <row r="3351" ht="15.75" customHeight="1" s="2">
      <c r="C3351" s="561" t="n"/>
      <c r="D3351" s="561" t="n"/>
      <c r="E3351" s="519" t="n"/>
      <c r="F3351" s="517" t="n"/>
      <c r="G3351" s="1659" t="n"/>
      <c r="H3351" s="516" t="n"/>
      <c r="I3351" s="537" t="n"/>
      <c r="J3351" s="530" t="n"/>
      <c r="K3351" s="516" t="n"/>
      <c r="L3351" s="537" t="n"/>
      <c r="M3351" s="539" t="n"/>
      <c r="N3351" s="516" t="n"/>
      <c r="O3351" s="537" t="n"/>
      <c r="P3351" s="539" t="n"/>
    </row>
    <row r="3352" ht="15.75" customHeight="1" s="2">
      <c r="C3352" s="551" t="n"/>
      <c r="D3352" s="528" t="n"/>
      <c r="E3352" s="519" t="n"/>
      <c r="F3352" s="517" t="n"/>
      <c r="G3352" s="518" t="n"/>
      <c r="H3352" s="516" t="n"/>
      <c r="I3352" s="537" t="n"/>
      <c r="J3352" s="533" t="n"/>
      <c r="K3352" s="516" t="n"/>
      <c r="L3352" s="537" t="n"/>
      <c r="M3352" s="540" t="n"/>
      <c r="N3352" s="516" t="n"/>
      <c r="O3352" s="537" t="n"/>
      <c r="P3352" s="540" t="n"/>
    </row>
    <row r="3353" ht="15.75" customHeight="1" s="2">
      <c r="C3353" s="550" t="n"/>
      <c r="D3353" s="527" t="n"/>
      <c r="E3353" s="514" t="n"/>
      <c r="F3353" s="531" t="n"/>
      <c r="G3353" s="530" t="n"/>
      <c r="H3353" s="516" t="n"/>
      <c r="I3353" s="537" t="n"/>
      <c r="J3353" s="530" t="n"/>
      <c r="K3353" s="516" t="n"/>
      <c r="L3353" s="1657" t="n"/>
      <c r="M3353" s="539" t="n"/>
      <c r="N3353" s="516" t="n"/>
      <c r="O3353" s="542" t="n"/>
      <c r="P3353" s="539" t="n"/>
    </row>
    <row r="3354" ht="15.75" customHeight="1" s="2">
      <c r="C3354" s="561" t="n"/>
      <c r="D3354" s="561" t="n"/>
      <c r="E3354" s="519" t="n"/>
      <c r="F3354" s="517" t="n"/>
      <c r="G3354" s="1659" t="n"/>
      <c r="H3354" s="516" t="n"/>
      <c r="I3354" s="537" t="n"/>
      <c r="J3354" s="530" t="n"/>
      <c r="K3354" s="516" t="n"/>
      <c r="L3354" s="537" t="n"/>
      <c r="M3354" s="539" t="n"/>
      <c r="N3354" s="516" t="n"/>
      <c r="O3354" s="537" t="n"/>
      <c r="P3354" s="539" t="n"/>
    </row>
    <row r="3355" ht="15.75" customHeight="1" s="2">
      <c r="C3355" s="551" t="n"/>
      <c r="D3355" s="528" t="n"/>
      <c r="E3355" s="519" t="n"/>
      <c r="F3355" s="517" t="n"/>
      <c r="G3355" s="518" t="n"/>
      <c r="H3355" s="516" t="n"/>
      <c r="I3355" s="537" t="n"/>
      <c r="J3355" s="533" t="n"/>
      <c r="K3355" s="516" t="n"/>
      <c r="L3355" s="537" t="n"/>
      <c r="M3355" s="540" t="n"/>
      <c r="N3355" s="516" t="n"/>
      <c r="O3355" s="537" t="n"/>
      <c r="P3355" s="540" t="n"/>
    </row>
    <row r="3357" ht="15.75" customHeight="1" s="2" thickBot="1"/>
    <row r="3358" ht="15.75" customHeight="1" s="2" thickBot="1">
      <c r="B3358" s="1482" t="n"/>
      <c r="C3358" s="1407" t="inlineStr">
        <is>
          <t>29.06.2026</t>
        </is>
      </c>
      <c r="D3358" s="1484" t="n"/>
      <c r="E3358" s="1443" t="n"/>
      <c r="F3358" s="1403" t="inlineStr">
        <is>
          <t>06.07.2026</t>
        </is>
      </c>
      <c r="G3358" s="1487" t="n"/>
      <c r="H3358" s="1485" t="n"/>
      <c r="I3358" s="1403" t="inlineStr">
        <is>
          <t>13.07.2026</t>
        </is>
      </c>
      <c r="J3358" s="1487" t="n"/>
      <c r="K3358" s="1485" t="n"/>
      <c r="L3358" s="1403" t="inlineStr">
        <is>
          <t>20.07.2026</t>
        </is>
      </c>
      <c r="M3358" s="1487" t="n"/>
      <c r="N3358" s="1488" t="n"/>
      <c r="O3358" s="1406" t="inlineStr">
        <is>
          <t>27.07.2026</t>
        </is>
      </c>
      <c r="P3358" s="1490" t="n"/>
    </row>
    <row r="3359" ht="15.75" customHeight="1" s="2" thickBot="1">
      <c r="A3359" s="455" t="n"/>
      <c r="B3359" s="1394" t="inlineStr">
        <is>
          <t>LAST YEAR</t>
        </is>
      </c>
      <c r="C3359" s="1395" t="inlineStr">
        <is>
          <t>Projected</t>
        </is>
      </c>
      <c r="D3359" s="1396" t="inlineStr">
        <is>
          <t>Actual</t>
        </is>
      </c>
      <c r="E3359" s="1394" t="inlineStr">
        <is>
          <t>LAST YEAR</t>
        </is>
      </c>
      <c r="F3359" s="1395" t="inlineStr">
        <is>
          <t>Projected</t>
        </is>
      </c>
      <c r="G3359" s="1396" t="inlineStr">
        <is>
          <t>Actual</t>
        </is>
      </c>
      <c r="H3359" s="1394" t="inlineStr">
        <is>
          <t>LAST YEAR</t>
        </is>
      </c>
      <c r="I3359" s="1395" t="inlineStr">
        <is>
          <t>Projected</t>
        </is>
      </c>
      <c r="J3359" s="1396" t="inlineStr">
        <is>
          <t>Actual</t>
        </is>
      </c>
      <c r="K3359" s="1394" t="inlineStr">
        <is>
          <t>LAST YEAR</t>
        </is>
      </c>
      <c r="L3359" s="1395" t="inlineStr">
        <is>
          <t>Projected</t>
        </is>
      </c>
      <c r="M3359" s="1396" t="inlineStr">
        <is>
          <t>Actual</t>
        </is>
      </c>
      <c r="N3359" s="1394" t="inlineStr">
        <is>
          <t>LAST YEAR</t>
        </is>
      </c>
      <c r="O3359" s="1395" t="inlineStr">
        <is>
          <t>Projected</t>
        </is>
      </c>
      <c r="P3359" s="1396" t="inlineStr">
        <is>
          <t>Actual</t>
        </is>
      </c>
    </row>
    <row r="3360" ht="15.75" customHeight="1" s="2">
      <c r="A3360" s="459" t="inlineStr">
        <is>
          <t>Total Receipts</t>
        </is>
      </c>
      <c r="B3360" s="1645" t="n">
        <v>137899.67</v>
      </c>
      <c r="C3360" s="1700" t="n">
        <v>117199</v>
      </c>
      <c r="D3360" s="1701" t="n">
        <v>117304.95</v>
      </c>
      <c r="E3360" s="1645" t="n">
        <v>174501.15</v>
      </c>
      <c r="F3360" s="1700" t="n">
        <v>146777</v>
      </c>
      <c r="G3360" s="1701" t="n">
        <v>151391.78</v>
      </c>
      <c r="H3360" s="1645" t="n">
        <v>224605.02</v>
      </c>
      <c r="I3360" s="1700" t="n">
        <v>181907</v>
      </c>
      <c r="J3360" s="1701" t="n">
        <v>206086.67</v>
      </c>
      <c r="K3360" s="1645" t="n">
        <v>215083.52</v>
      </c>
      <c r="L3360" s="1700" t="n">
        <v>173029</v>
      </c>
      <c r="M3360" s="1701" t="n">
        <v>203042.87</v>
      </c>
      <c r="N3360" s="1645" t="n">
        <v>215083.52</v>
      </c>
      <c r="O3360" s="1700" t="n">
        <v>122803</v>
      </c>
      <c r="P3360" s="1701" t="n">
        <v>134223.39</v>
      </c>
    </row>
    <row r="3361" ht="15.75" customHeight="1" s="2">
      <c r="A3361" s="462" t="inlineStr">
        <is>
          <t>Nett Sales</t>
        </is>
      </c>
      <c r="B3361" s="1625" t="n">
        <v>125363.34</v>
      </c>
      <c r="C3361" s="1702" t="n">
        <v>106544.3</v>
      </c>
      <c r="D3361" s="1703" t="n">
        <v>106640.86</v>
      </c>
      <c r="E3361" s="1637" t="n">
        <v>158637.41</v>
      </c>
      <c r="F3361" s="1702" t="n">
        <v>133433.6</v>
      </c>
      <c r="G3361" s="1703" t="n">
        <v>137628.89</v>
      </c>
      <c r="H3361" s="1625" t="n">
        <v>204186.38</v>
      </c>
      <c r="I3361" s="1702" t="n">
        <v>165370</v>
      </c>
      <c r="J3361" s="1703" t="n">
        <v>187351.52</v>
      </c>
      <c r="K3361" s="1625" t="n">
        <v>195530.47</v>
      </c>
      <c r="L3361" s="1702" t="n">
        <v>157299.1</v>
      </c>
      <c r="M3361" s="1703" t="n">
        <v>184584.43</v>
      </c>
      <c r="N3361" s="1625" t="n">
        <v>195530.47</v>
      </c>
      <c r="O3361" s="1702" t="n">
        <v>111639.1</v>
      </c>
      <c r="P3361" s="1703" t="n">
        <v>122021.26</v>
      </c>
    </row>
    <row r="3362" ht="15.75" customHeight="1" s="2">
      <c r="A3362" s="462" t="inlineStr">
        <is>
          <t>Customers</t>
        </is>
      </c>
      <c r="B3362" s="466" t="n">
        <v>5382</v>
      </c>
      <c r="C3362" s="1382" t="n">
        <v>4610</v>
      </c>
      <c r="D3362" s="1704" t="n">
        <v>4591</v>
      </c>
      <c r="E3362" s="466" t="n">
        <v>6828</v>
      </c>
      <c r="F3362" s="1382" t="n">
        <v>5770</v>
      </c>
      <c r="G3362" s="1704" t="n">
        <v>5864</v>
      </c>
      <c r="H3362" s="466" t="n">
        <v>9352</v>
      </c>
      <c r="I3362" s="1382" t="n">
        <v>7245</v>
      </c>
      <c r="J3362" s="1704" t="n">
        <v>8081</v>
      </c>
      <c r="K3362" s="466" t="n">
        <v>8536</v>
      </c>
      <c r="L3362" s="1382" t="n">
        <v>6900</v>
      </c>
      <c r="M3362" s="1704" t="n">
        <v>7742</v>
      </c>
      <c r="N3362" s="466" t="n">
        <v>8536</v>
      </c>
      <c r="O3362" s="1382" t="n">
        <v>4905</v>
      </c>
      <c r="P3362" s="1704" t="n">
        <v>5095</v>
      </c>
    </row>
    <row r="3363" ht="15.75" customHeight="1" s="2">
      <c r="A3363" s="462" t="inlineStr">
        <is>
          <t>Average Customer Spend</t>
        </is>
      </c>
      <c r="B3363" s="1649" t="n">
        <v>25.62</v>
      </c>
      <c r="C3363" s="1705" t="n">
        <v>25.42</v>
      </c>
      <c r="D3363" s="1706" t="n">
        <v>25.55</v>
      </c>
      <c r="E3363" s="1649" t="n">
        <v>25.55</v>
      </c>
      <c r="F3363" s="1705" t="n">
        <v>25.44</v>
      </c>
      <c r="G3363" s="1706" t="n">
        <v>25.81</v>
      </c>
      <c r="H3363" s="1649" t="n">
        <v>24.01</v>
      </c>
      <c r="I3363" s="1705" t="n">
        <v>25.11</v>
      </c>
      <c r="J3363" s="1706" t="n">
        <v>25.5</v>
      </c>
      <c r="K3363" s="1649" t="n">
        <v>25.19</v>
      </c>
      <c r="L3363" s="1705" t="n">
        <v>25.08</v>
      </c>
      <c r="M3363" s="1706" t="n">
        <v>26.22</v>
      </c>
      <c r="N3363" s="1649" t="n">
        <v>25.19</v>
      </c>
      <c r="O3363" s="1705" t="n">
        <v>25.04</v>
      </c>
      <c r="P3363" s="1706" t="n">
        <v>26.34</v>
      </c>
    </row>
    <row r="3364" ht="15.75" customHeight="1" s="2">
      <c r="A3364" s="462" t="inlineStr">
        <is>
          <t>Wage % to Total Receipts</t>
        </is>
      </c>
      <c r="B3364" s="1337">
        <f>B3369/B3360</f>
        <v/>
      </c>
      <c r="C3364" s="1384">
        <f>C3369/C3360</f>
        <v/>
      </c>
      <c r="D3364" s="1375">
        <f>D3369/D3360</f>
        <v/>
      </c>
      <c r="E3364" s="1337">
        <f>E3369/E3360</f>
        <v/>
      </c>
      <c r="F3364" s="1384">
        <f>F3369/F3360</f>
        <v/>
      </c>
      <c r="G3364" s="1375">
        <f>G3369/G3360</f>
        <v/>
      </c>
      <c r="H3364" s="1337">
        <f>H3369/H3360</f>
        <v/>
      </c>
      <c r="I3364" s="1384">
        <f>I3369/I3360</f>
        <v/>
      </c>
      <c r="J3364" s="1375">
        <f>J3369/J3360</f>
        <v/>
      </c>
      <c r="K3364" s="1337">
        <f>K3369/K3360</f>
        <v/>
      </c>
      <c r="L3364" s="1384">
        <f>L3369/L3360</f>
        <v/>
      </c>
      <c r="M3364" s="1375">
        <f>M3369/M3360</f>
        <v/>
      </c>
      <c r="N3364" s="1337">
        <f>N3369/N3360</f>
        <v/>
      </c>
      <c r="O3364" s="1384">
        <f>O3369/O3360</f>
        <v/>
      </c>
      <c r="P3364" s="1375">
        <f>P3369/P3360</f>
        <v/>
      </c>
    </row>
    <row r="3365" ht="15.75" customHeight="1" s="2">
      <c r="A3365" s="462" t="inlineStr">
        <is>
          <t>Wage % to Nett Sales</t>
        </is>
      </c>
      <c r="B3365" s="1337">
        <f>B3369/B3361</f>
        <v/>
      </c>
      <c r="C3365" s="1384">
        <f>C3369/C3361</f>
        <v/>
      </c>
      <c r="D3365" s="1375">
        <f>D3369/D3361</f>
        <v/>
      </c>
      <c r="E3365" s="1337">
        <f>E3369/E3361</f>
        <v/>
      </c>
      <c r="F3365" s="1384">
        <f>F3369/F3361</f>
        <v/>
      </c>
      <c r="G3365" s="1375">
        <f>G3369/G3361</f>
        <v/>
      </c>
      <c r="H3365" s="1337">
        <f>H3369/H3361</f>
        <v/>
      </c>
      <c r="I3365" s="1384">
        <f>I3369/I3361</f>
        <v/>
      </c>
      <c r="J3365" s="1375">
        <f>J3369/J3361</f>
        <v/>
      </c>
      <c r="K3365" s="1337">
        <f>K3369/K3361</f>
        <v/>
      </c>
      <c r="L3365" s="1384">
        <f>L3369/L3361</f>
        <v/>
      </c>
      <c r="M3365" s="1375">
        <f>M3369/M3361</f>
        <v/>
      </c>
      <c r="N3365" s="1337">
        <f>N3369/N3361</f>
        <v/>
      </c>
      <c r="O3365" s="1384">
        <f>O3369/O3361</f>
        <v/>
      </c>
      <c r="P3365" s="1375">
        <f>P3369/P3361</f>
        <v/>
      </c>
    </row>
    <row r="3366" ht="15.75" customHeight="1" s="2">
      <c r="A3366" s="462" t="inlineStr">
        <is>
          <t>Productivity</t>
        </is>
      </c>
      <c r="B3366" s="1339">
        <f>B3362/B3368</f>
        <v/>
      </c>
      <c r="C3366" s="1385">
        <f>C3362/C3368</f>
        <v/>
      </c>
      <c r="D3366" s="1376">
        <f>D3362/D3368</f>
        <v/>
      </c>
      <c r="E3366" s="1339">
        <f>E3362/E3368</f>
        <v/>
      </c>
      <c r="F3366" s="1385">
        <f>F3362/F3368</f>
        <v/>
      </c>
      <c r="G3366" s="1376">
        <f>G3362/G3368</f>
        <v/>
      </c>
      <c r="H3366" s="1339">
        <f>H3362/H3368</f>
        <v/>
      </c>
      <c r="I3366" s="1385">
        <f>I3362/I3368</f>
        <v/>
      </c>
      <c r="J3366" s="1376">
        <f>J3362/J3368</f>
        <v/>
      </c>
      <c r="K3366" s="1339">
        <f>K3362/K3368</f>
        <v/>
      </c>
      <c r="L3366" s="1385">
        <f>L3362/L3368</f>
        <v/>
      </c>
      <c r="M3366" s="1376">
        <f>M3362/M3368</f>
        <v/>
      </c>
      <c r="N3366" s="1339">
        <f>N3362/N3368</f>
        <v/>
      </c>
      <c r="O3366" s="1385">
        <f>O3362/O3368</f>
        <v/>
      </c>
      <c r="P3366" s="1376">
        <f>P3362/P3368</f>
        <v/>
      </c>
    </row>
    <row r="3367" ht="15.75" customHeight="1" s="2">
      <c r="A3367" s="462" t="inlineStr">
        <is>
          <t>Average Hourly Rate</t>
        </is>
      </c>
      <c r="B3367" s="1649" t="n">
        <v>41.97</v>
      </c>
      <c r="C3367" s="1385" t="n">
        <v>43</v>
      </c>
      <c r="D3367" s="1706" t="n">
        <v>42.43</v>
      </c>
      <c r="E3367" s="1649" t="n">
        <v>42.08</v>
      </c>
      <c r="F3367" s="1385" t="n">
        <v>43</v>
      </c>
      <c r="G3367" s="1706" t="n">
        <v>41.96</v>
      </c>
      <c r="H3367" s="1649" t="n">
        <v>43.85</v>
      </c>
      <c r="I3367" s="1385" t="n">
        <v>43</v>
      </c>
      <c r="J3367" s="1706" t="n">
        <v>43.79</v>
      </c>
      <c r="K3367" s="1649" t="n">
        <v>43.56</v>
      </c>
      <c r="L3367" s="1385" t="n">
        <v>44</v>
      </c>
      <c r="M3367" s="1706" t="n">
        <v>45.24</v>
      </c>
      <c r="N3367" s="1649" t="n">
        <v>43.56</v>
      </c>
      <c r="O3367" s="1385" t="n">
        <v>44</v>
      </c>
      <c r="P3367" s="1706" t="n">
        <v>45.34</v>
      </c>
    </row>
    <row r="3368" ht="15.75" customHeight="1" s="2">
      <c r="A3368" s="462" t="inlineStr">
        <is>
          <t>Total hours for productivity</t>
        </is>
      </c>
      <c r="B3368" s="466" t="n">
        <v>981.75</v>
      </c>
      <c r="C3368" s="1385" t="n">
        <v>851.75</v>
      </c>
      <c r="D3368" s="1377" t="n">
        <v>858.25</v>
      </c>
      <c r="E3368" s="466" t="n">
        <v>1146</v>
      </c>
      <c r="F3368" s="1385" t="n">
        <v>947.25</v>
      </c>
      <c r="G3368" s="1377" t="n">
        <v>962.75</v>
      </c>
      <c r="H3368" s="472" t="n">
        <v>1321.75</v>
      </c>
      <c r="I3368" s="1385" t="n">
        <v>1111</v>
      </c>
      <c r="J3368" s="1377" t="n">
        <v>1193.25</v>
      </c>
      <c r="K3368" s="466" t="n">
        <v>1255.25</v>
      </c>
      <c r="L3368" s="1385" t="n">
        <v>1191</v>
      </c>
      <c r="M3368" s="1377" t="n">
        <v>1170.75</v>
      </c>
      <c r="N3368" s="466" t="n">
        <v>1255.25</v>
      </c>
      <c r="O3368" s="1385" t="n">
        <v>901.5</v>
      </c>
      <c r="P3368" s="1377" t="n">
        <v>896.5</v>
      </c>
    </row>
    <row r="3369" ht="15.75" customHeight="1" s="2">
      <c r="A3369" s="462" t="inlineStr">
        <is>
          <t>wage costed</t>
        </is>
      </c>
      <c r="B3369" s="1340">
        <f>B3368*B3367</f>
        <v/>
      </c>
      <c r="C3369" s="1386">
        <f>C3368*C3367</f>
        <v/>
      </c>
      <c r="D3369" s="1378">
        <f>D3368*D3367</f>
        <v/>
      </c>
      <c r="E3369" s="1340">
        <f>E3368*E3367</f>
        <v/>
      </c>
      <c r="F3369" s="1386">
        <f>F3368*F3367</f>
        <v/>
      </c>
      <c r="G3369" s="1378">
        <f>G3368*G3367</f>
        <v/>
      </c>
      <c r="H3369" s="1340">
        <f>H3368*H3367</f>
        <v/>
      </c>
      <c r="I3369" s="1386">
        <f>I3368*I3367</f>
        <v/>
      </c>
      <c r="J3369" s="1378">
        <f>J3368*J3367</f>
        <v/>
      </c>
      <c r="K3369" s="1340">
        <f>K3368*K3367</f>
        <v/>
      </c>
      <c r="L3369" s="1386">
        <f>L3368*L3367</f>
        <v/>
      </c>
      <c r="M3369" s="1378">
        <f>M3368*M3367</f>
        <v/>
      </c>
      <c r="N3369" s="1340">
        <f>N3368*N3367</f>
        <v/>
      </c>
      <c r="O3369" s="1386">
        <f>O3368*O3367</f>
        <v/>
      </c>
      <c r="P3369" s="1378">
        <f>P3368*P3367</f>
        <v/>
      </c>
    </row>
    <row r="3370" ht="15.75" customHeight="1" s="2" thickBot="1">
      <c r="A3370" s="474" t="inlineStr">
        <is>
          <t>Number of hours used to cover sick leave</t>
        </is>
      </c>
      <c r="B3370" s="476" t="n">
        <v>15.25</v>
      </c>
      <c r="C3370" s="1387" t="n"/>
      <c r="D3370" s="1379" t="n">
        <v>10</v>
      </c>
      <c r="E3370" s="476" t="n">
        <v>6.5</v>
      </c>
      <c r="F3370" s="1387" t="n"/>
      <c r="G3370" s="1379" t="n">
        <v>23</v>
      </c>
      <c r="H3370" s="476" t="n">
        <v>39.5</v>
      </c>
      <c r="I3370" s="1387" t="n"/>
      <c r="J3370" s="1379" t="n">
        <v>22.5</v>
      </c>
      <c r="K3370" s="476" t="n">
        <v>13</v>
      </c>
      <c r="L3370" s="1387" t="n"/>
      <c r="M3370" s="1379" t="n">
        <v>21</v>
      </c>
      <c r="N3370" s="476" t="n">
        <v>13</v>
      </c>
      <c r="O3370" s="1387" t="n"/>
      <c r="P3370" s="1379" t="n">
        <v>33</v>
      </c>
    </row>
    <row r="3371" ht="15.75" customHeight="1" s="2" thickBot="1">
      <c r="A3371" s="477" t="inlineStr">
        <is>
          <t xml:space="preserve">Minimum Hours </t>
        </is>
      </c>
      <c r="B3371" s="935" t="n"/>
      <c r="C3371" s="1388" t="inlineStr">
        <is>
          <t>Projected</t>
        </is>
      </c>
      <c r="D3371" s="1391" t="inlineStr">
        <is>
          <t>Min Hrs</t>
        </is>
      </c>
      <c r="E3371" s="935" t="n"/>
      <c r="F3371" s="1388" t="inlineStr">
        <is>
          <t>Projected</t>
        </is>
      </c>
      <c r="G3371" s="1391" t="inlineStr">
        <is>
          <t>Min Hrs</t>
        </is>
      </c>
      <c r="H3371" s="935" t="n"/>
      <c r="I3371" s="1388" t="inlineStr">
        <is>
          <t>Projected</t>
        </is>
      </c>
      <c r="J3371" s="1391" t="inlineStr">
        <is>
          <t>Min Hrs</t>
        </is>
      </c>
      <c r="K3371" s="935" t="n"/>
      <c r="L3371" s="1388" t="inlineStr">
        <is>
          <t>Projected</t>
        </is>
      </c>
      <c r="M3371" s="1391" t="inlineStr">
        <is>
          <t>Min Hrs</t>
        </is>
      </c>
      <c r="N3371" s="935" t="n"/>
      <c r="O3371" s="1388" t="inlineStr">
        <is>
          <t>Projected</t>
        </is>
      </c>
      <c r="P3371" s="1391" t="inlineStr">
        <is>
          <t>Min Hrs</t>
        </is>
      </c>
    </row>
    <row r="3372" ht="15.75" customHeight="1" s="2">
      <c r="A3372" s="479" t="inlineStr">
        <is>
          <t>Floor</t>
        </is>
      </c>
      <c r="B3372" s="810" t="n"/>
      <c r="C3372" s="1389" t="n">
        <v>475.25</v>
      </c>
      <c r="D3372" s="1392" t="n">
        <v>504</v>
      </c>
      <c r="E3372" s="810" t="n"/>
      <c r="F3372" s="1389" t="n">
        <v>497.75</v>
      </c>
      <c r="G3372" s="1392" t="n">
        <v>504</v>
      </c>
      <c r="H3372" s="810" t="n"/>
      <c r="I3372" s="1389" t="n">
        <v>600.5</v>
      </c>
      <c r="J3372" s="1392" t="n">
        <v>504</v>
      </c>
      <c r="K3372" s="810" t="n"/>
      <c r="L3372" s="1389" t="n">
        <v>660</v>
      </c>
      <c r="M3372" s="1392" t="n">
        <v>504</v>
      </c>
      <c r="N3372" s="810" t="n"/>
      <c r="O3372" s="1389" t="n">
        <v>481.5</v>
      </c>
      <c r="P3372" s="1392" t="n">
        <v>460</v>
      </c>
    </row>
    <row r="3373" ht="15.75" customHeight="1" s="2" thickBot="1">
      <c r="A3373" s="481" t="inlineStr">
        <is>
          <t>Kitchen</t>
        </is>
      </c>
      <c r="B3373" s="813" t="n"/>
      <c r="C3373" s="1387" t="n">
        <v>376.5</v>
      </c>
      <c r="D3373" s="1393" t="n">
        <v>385</v>
      </c>
      <c r="E3373" s="813" t="n"/>
      <c r="F3373" s="1390" t="n">
        <v>449.5</v>
      </c>
      <c r="G3373" s="1393" t="n">
        <v>420</v>
      </c>
      <c r="H3373" s="813" t="n"/>
      <c r="I3373" s="1390" t="n">
        <v>510.5</v>
      </c>
      <c r="J3373" s="1393" t="n">
        <v>420</v>
      </c>
      <c r="K3373" s="813" t="n"/>
      <c r="L3373" s="1390" t="n">
        <v>531</v>
      </c>
      <c r="M3373" s="1393" t="n">
        <v>420</v>
      </c>
      <c r="N3373" s="813" t="n"/>
      <c r="O3373" s="1387" t="n">
        <v>420</v>
      </c>
      <c r="P3373" s="1393" t="n">
        <v>400</v>
      </c>
    </row>
    <row r="3374" ht="15.75" customHeight="1" s="2" thickBot="1">
      <c r="A3374" s="834" t="n"/>
      <c r="B3374" s="836" t="n"/>
      <c r="C3374" s="1220" t="n"/>
      <c r="D3374" s="1220" t="n"/>
      <c r="E3374" s="839" t="n"/>
      <c r="F3374" s="1220" t="n"/>
      <c r="G3374" s="1220" t="n"/>
      <c r="H3374" s="839" t="n"/>
      <c r="I3374" s="1220" t="n"/>
      <c r="J3374" s="1220" t="n"/>
      <c r="K3374" s="839" t="n"/>
      <c r="L3374" s="1220" t="n"/>
      <c r="M3374" s="1220" t="n"/>
      <c r="N3374" s="839" t="n"/>
      <c r="O3374" s="835" t="n"/>
      <c r="P3374" s="835" t="n"/>
    </row>
    <row r="3375" ht="15.75" customHeight="1" s="2">
      <c r="A3375" s="506" t="inlineStr">
        <is>
          <t>Training explanation</t>
        </is>
      </c>
      <c r="B3375" s="837" t="n"/>
      <c r="C3375" s="1220" t="n"/>
      <c r="D3375" s="1220" t="n"/>
      <c r="E3375" s="837" t="n"/>
      <c r="F3375" s="1220" t="n"/>
      <c r="G3375" s="1220" t="n"/>
      <c r="H3375" s="837" t="n"/>
      <c r="I3375" s="1220" t="n"/>
      <c r="J3375" s="1220" t="n"/>
      <c r="K3375" s="837" t="n"/>
      <c r="L3375" s="1220" t="n"/>
      <c r="M3375" s="1220" t="n"/>
      <c r="N3375" s="837" t="n"/>
      <c r="O3375" s="835" t="n"/>
      <c r="P3375" s="835" t="n"/>
    </row>
    <row r="3376" ht="15.75" customHeight="1" s="2" thickBot="1">
      <c r="A3376" s="506" t="inlineStr">
        <is>
          <t>Who is being Trained</t>
        </is>
      </c>
      <c r="B3376" s="838" t="n"/>
      <c r="C3376" s="1221" t="n"/>
      <c r="D3376" s="1221" t="n"/>
      <c r="E3376" s="838" t="n"/>
      <c r="F3376" s="1221" t="n"/>
      <c r="G3376" s="1221" t="n"/>
      <c r="H3376" s="838" t="n"/>
      <c r="I3376" s="1221" t="n"/>
      <c r="J3376" s="1221" t="n"/>
      <c r="K3376" s="838" t="n"/>
      <c r="L3376" s="1221" t="n"/>
      <c r="M3376" s="1221" t="n"/>
      <c r="N3376" s="838" t="n"/>
    </row>
    <row r="3377" ht="15.75" customHeight="1" s="2" thickBot="1">
      <c r="A3377" s="506" t="n"/>
      <c r="C3377" s="523" t="inlineStr">
        <is>
          <t>floor</t>
        </is>
      </c>
      <c r="D3377" s="524" t="inlineStr">
        <is>
          <t>kitchen</t>
        </is>
      </c>
      <c r="E3377" s="509" t="n"/>
      <c r="F3377" s="507" t="inlineStr">
        <is>
          <t>floor</t>
        </is>
      </c>
      <c r="G3377" s="508" t="inlineStr">
        <is>
          <t>kitchen</t>
        </is>
      </c>
      <c r="H3377" s="510" t="n"/>
      <c r="I3377" s="535" t="inlineStr">
        <is>
          <t>floor</t>
        </is>
      </c>
      <c r="J3377" s="511" t="inlineStr">
        <is>
          <t>kitchen</t>
        </is>
      </c>
      <c r="K3377" s="512" t="n"/>
      <c r="L3377" s="535" t="inlineStr">
        <is>
          <t>floor</t>
        </is>
      </c>
      <c r="M3377" s="513" t="inlineStr">
        <is>
          <t>kitchen</t>
        </is>
      </c>
      <c r="N3377" s="512" t="n"/>
      <c r="O3377" s="535" t="inlineStr">
        <is>
          <t>floor</t>
        </is>
      </c>
      <c r="P3377" s="513" t="inlineStr">
        <is>
          <t>kitchen</t>
        </is>
      </c>
    </row>
    <row r="3378" ht="15.75" customHeight="1" s="2">
      <c r="A3378" s="506" t="n"/>
      <c r="C3378" s="525" t="n"/>
      <c r="D3378" s="527" t="n"/>
      <c r="E3378" s="514" t="n"/>
      <c r="F3378" s="525" t="n"/>
      <c r="G3378" s="527" t="n"/>
      <c r="H3378" s="515" t="n"/>
      <c r="I3378" s="531" t="n"/>
      <c r="J3378" s="824" t="n"/>
      <c r="K3378" s="515" t="n"/>
      <c r="L3378" s="536" t="n"/>
      <c r="M3378" s="532" t="n"/>
      <c r="N3378" s="515" t="n"/>
      <c r="O3378" s="536" t="n"/>
      <c r="P3378" s="532" t="n"/>
    </row>
    <row r="3379" ht="15.75" customHeight="1" s="2">
      <c r="C3379" s="891" t="n"/>
      <c r="D3379" s="526" t="n"/>
      <c r="E3379" s="514" t="n"/>
      <c r="F3379" s="891" t="n"/>
      <c r="G3379" s="526" t="n"/>
      <c r="H3379" s="516" t="n"/>
      <c r="I3379" s="1656" t="n"/>
      <c r="J3379" s="530" t="n"/>
      <c r="K3379" s="516" t="n"/>
      <c r="L3379" s="542" t="n"/>
      <c r="M3379" s="530" t="n"/>
      <c r="N3379" s="516" t="n"/>
      <c r="O3379" s="542" t="n"/>
      <c r="P3379" s="530" t="n"/>
    </row>
    <row r="3380" ht="15.75" customHeight="1" s="2">
      <c r="C3380" s="550" t="n"/>
      <c r="D3380" s="527" t="n"/>
      <c r="E3380" s="514" t="n"/>
      <c r="F3380" s="531" t="n"/>
      <c r="G3380" s="530" t="n"/>
      <c r="H3380" s="516" t="n"/>
      <c r="I3380" s="537" t="n"/>
      <c r="J3380" s="530" t="n"/>
      <c r="K3380" s="516" t="n"/>
      <c r="L3380" s="1657" t="n"/>
      <c r="M3380" s="539" t="n"/>
      <c r="N3380" s="516" t="n"/>
      <c r="O3380" s="542" t="n"/>
      <c r="P3380" s="539" t="n"/>
    </row>
    <row r="3381" ht="15.75" customHeight="1" s="2">
      <c r="C3381" s="561" t="n"/>
      <c r="D3381" s="561" t="n"/>
      <c r="E3381" s="519" t="n"/>
      <c r="F3381" s="517" t="n"/>
      <c r="G3381" s="1659" t="n"/>
      <c r="H3381" s="516" t="n"/>
      <c r="I3381" s="537" t="n"/>
      <c r="J3381" s="530" t="n"/>
      <c r="K3381" s="516" t="n"/>
      <c r="L3381" s="537" t="n"/>
      <c r="M3381" s="539" t="n"/>
      <c r="N3381" s="516" t="n"/>
      <c r="O3381" s="537" t="n"/>
      <c r="P3381" s="539" t="n"/>
    </row>
    <row r="3382" ht="15.75" customHeight="1" s="2">
      <c r="C3382" s="551" t="n"/>
      <c r="D3382" s="528" t="n"/>
      <c r="E3382" s="519" t="n"/>
      <c r="F3382" s="517" t="n"/>
      <c r="G3382" s="518" t="n"/>
      <c r="H3382" s="516" t="n"/>
      <c r="I3382" s="537" t="n"/>
      <c r="J3382" s="533" t="n"/>
      <c r="K3382" s="516" t="n"/>
      <c r="L3382" s="537" t="n"/>
      <c r="M3382" s="540" t="n"/>
      <c r="N3382" s="516" t="n"/>
      <c r="O3382" s="537" t="n"/>
      <c r="P3382" s="540" t="n"/>
    </row>
    <row r="3383" ht="15.75" customHeight="1" s="2">
      <c r="C3383" s="550" t="n"/>
      <c r="D3383" s="527" t="n"/>
      <c r="E3383" s="514" t="n"/>
      <c r="F3383" s="531" t="n"/>
      <c r="G3383" s="530" t="n"/>
      <c r="H3383" s="516" t="n"/>
      <c r="I3383" s="537" t="n"/>
      <c r="J3383" s="530" t="n"/>
      <c r="K3383" s="516" t="n"/>
      <c r="L3383" s="1657" t="n"/>
      <c r="M3383" s="539" t="n"/>
      <c r="N3383" s="516" t="n"/>
      <c r="O3383" s="542" t="n"/>
      <c r="P3383" s="539" t="n"/>
    </row>
    <row r="3384" ht="15.75" customHeight="1" s="2">
      <c r="C3384" s="561" t="n"/>
      <c r="D3384" s="561" t="n"/>
      <c r="E3384" s="519" t="n"/>
      <c r="F3384" s="517" t="n"/>
      <c r="G3384" s="1659" t="n"/>
      <c r="H3384" s="516" t="n"/>
      <c r="I3384" s="537" t="n"/>
      <c r="J3384" s="530" t="n"/>
      <c r="K3384" s="516" t="n"/>
      <c r="L3384" s="537" t="n"/>
      <c r="M3384" s="539" t="n"/>
      <c r="N3384" s="516" t="n"/>
      <c r="O3384" s="537" t="n"/>
      <c r="P3384" s="539" t="n"/>
    </row>
    <row r="3385" ht="15.75" customHeight="1" s="2">
      <c r="C3385" s="551" t="n"/>
      <c r="D3385" s="528" t="n"/>
      <c r="E3385" s="519" t="n"/>
      <c r="F3385" s="517" t="n"/>
      <c r="G3385" s="518" t="n"/>
      <c r="H3385" s="516" t="n"/>
      <c r="I3385" s="537" t="n"/>
      <c r="J3385" s="533" t="n"/>
      <c r="K3385" s="516" t="n"/>
      <c r="L3385" s="537" t="n"/>
      <c r="M3385" s="540" t="n"/>
      <c r="N3385" s="516" t="n"/>
      <c r="O3385" s="537" t="n"/>
      <c r="P3385" s="540" t="n"/>
    </row>
    <row r="3387" ht="15.75" customHeight="1" s="2" thickBot="1"/>
    <row r="3388" ht="15.75" customHeight="1" s="2" thickBot="1">
      <c r="B3388" s="1482" t="n"/>
      <c r="C3388" s="1407" t="inlineStr">
        <is>
          <t>03.08.2026</t>
        </is>
      </c>
      <c r="D3388" s="1484" t="n"/>
      <c r="E3388" s="1485" t="n"/>
      <c r="F3388" s="1403" t="inlineStr">
        <is>
          <t>10.08.2026</t>
        </is>
      </c>
      <c r="G3388" s="1487" t="n"/>
      <c r="H3388" s="1485" t="n"/>
      <c r="I3388" s="1403" t="inlineStr">
        <is>
          <t>17.08.2026</t>
        </is>
      </c>
      <c r="J3388" s="1487" t="n"/>
      <c r="K3388" s="1485" t="n"/>
      <c r="L3388" s="1403" t="inlineStr">
        <is>
          <t>24.08.2026</t>
        </is>
      </c>
      <c r="M3388" s="1404" t="n"/>
      <c r="N3388" s="1488" t="n"/>
      <c r="O3388" s="1406" t="inlineStr">
        <is>
          <t>31.08.2026</t>
        </is>
      </c>
      <c r="P3388" s="1490" t="n"/>
    </row>
    <row r="3389" ht="15.75" customHeight="1" s="2" thickBot="1">
      <c r="A3389" s="455" t="n"/>
      <c r="B3389" s="1394" t="inlineStr">
        <is>
          <t>LAST YEAR</t>
        </is>
      </c>
      <c r="C3389" s="1395" t="inlineStr">
        <is>
          <t>Projected</t>
        </is>
      </c>
      <c r="D3389" s="1396" t="inlineStr">
        <is>
          <t>Actual</t>
        </is>
      </c>
      <c r="E3389" s="1394" t="inlineStr">
        <is>
          <t>LAST YEAR</t>
        </is>
      </c>
      <c r="F3389" s="1395" t="inlineStr">
        <is>
          <t>Projected</t>
        </is>
      </c>
      <c r="G3389" s="1396" t="inlineStr">
        <is>
          <t>Actual</t>
        </is>
      </c>
      <c r="H3389" s="1394" t="inlineStr">
        <is>
          <t>LAST YEAR</t>
        </is>
      </c>
      <c r="I3389" s="1395" t="inlineStr">
        <is>
          <t>Projected</t>
        </is>
      </c>
      <c r="J3389" s="1396" t="inlineStr">
        <is>
          <t>Actual</t>
        </is>
      </c>
      <c r="K3389" s="1394" t="inlineStr">
        <is>
          <t>LAST YEAR</t>
        </is>
      </c>
      <c r="L3389" s="1395" t="inlineStr">
        <is>
          <t>Projected</t>
        </is>
      </c>
      <c r="M3389" s="1396" t="inlineStr">
        <is>
          <t>Actual</t>
        </is>
      </c>
      <c r="N3389" s="1394" t="inlineStr">
        <is>
          <t>LAST YEAR</t>
        </is>
      </c>
      <c r="O3389" s="1395" t="inlineStr">
        <is>
          <t>Projected</t>
        </is>
      </c>
      <c r="P3389" s="1396" t="inlineStr">
        <is>
          <t>Actual</t>
        </is>
      </c>
    </row>
    <row r="3390" ht="15.75" customHeight="1" s="2">
      <c r="A3390" s="459" t="inlineStr">
        <is>
          <t>Total Receipts</t>
        </is>
      </c>
      <c r="B3390" s="1645" t="n">
        <v>148736.73</v>
      </c>
      <c r="C3390" s="1700" t="n">
        <v>132939</v>
      </c>
      <c r="D3390" s="1701" t="n">
        <v>142785.19</v>
      </c>
      <c r="E3390" s="1645" t="n">
        <v>174505.6</v>
      </c>
      <c r="F3390" s="1700" t="n">
        <v>145251</v>
      </c>
      <c r="G3390" s="1701" t="n">
        <v>153447.19</v>
      </c>
      <c r="H3390" s="1645" t="n">
        <v>187942.95</v>
      </c>
      <c r="I3390" s="1700" t="n">
        <v>141317</v>
      </c>
      <c r="J3390" s="1701" t="n">
        <v>160379.9</v>
      </c>
      <c r="K3390" s="1645" t="n">
        <v>156707.03</v>
      </c>
      <c r="L3390" s="1700" t="n">
        <v>137275</v>
      </c>
      <c r="M3390" s="1701" t="n">
        <v>152963.2</v>
      </c>
      <c r="N3390" s="1645" t="n">
        <v>147821.86</v>
      </c>
      <c r="O3390" s="1700" t="n">
        <v>129318</v>
      </c>
      <c r="P3390" s="1701" t="n">
        <v>138554.12</v>
      </c>
    </row>
    <row r="3391" ht="15.75" customHeight="1" s="2">
      <c r="A3391" s="462" t="inlineStr">
        <is>
          <t>Nett Sales</t>
        </is>
      </c>
      <c r="B3391" s="1625" t="n">
        <v>135215.21</v>
      </c>
      <c r="C3391" s="1702" t="n">
        <v>120853.2</v>
      </c>
      <c r="D3391" s="1703" t="n">
        <v>129804.72</v>
      </c>
      <c r="E3391" s="1625" t="n">
        <v>158641.45</v>
      </c>
      <c r="F3391" s="1702" t="n">
        <v>132045.9</v>
      </c>
      <c r="G3391" s="1703" t="n">
        <v>139497.45</v>
      </c>
      <c r="H3391" s="1625" t="n">
        <v>170857.23</v>
      </c>
      <c r="I3391" s="1702" t="n">
        <v>128470</v>
      </c>
      <c r="J3391" s="1703" t="n">
        <v>145799.91</v>
      </c>
      <c r="K3391" s="1625" t="n">
        <v>142460.94</v>
      </c>
      <c r="L3391" s="1702" t="n">
        <v>124795.5</v>
      </c>
      <c r="M3391" s="1703" t="n">
        <v>139057.45</v>
      </c>
      <c r="N3391" s="1625" t="n">
        <v>134383.21</v>
      </c>
      <c r="O3391" s="1702" t="n">
        <v>117561</v>
      </c>
      <c r="P3391" s="1703" t="n">
        <v>125958.29</v>
      </c>
    </row>
    <row r="3392" ht="15.75" customHeight="1" s="2">
      <c r="A3392" s="462" t="inlineStr">
        <is>
          <t>Customers</t>
        </is>
      </c>
      <c r="B3392" s="1655" t="n">
        <v>5712</v>
      </c>
      <c r="C3392" s="1382" t="n">
        <v>5300</v>
      </c>
      <c r="D3392" s="1704" t="n">
        <v>5269</v>
      </c>
      <c r="E3392" s="1655" t="n">
        <v>7078</v>
      </c>
      <c r="F3392" s="1382" t="n">
        <v>5790</v>
      </c>
      <c r="G3392" s="1704" t="n">
        <v>5776</v>
      </c>
      <c r="H3392" s="1655" t="n">
        <v>7199</v>
      </c>
      <c r="I3392" s="1382" t="n">
        <v>5640</v>
      </c>
      <c r="J3392" s="1704" t="n">
        <v>6054</v>
      </c>
      <c r="K3392" s="1655" t="n">
        <v>6077</v>
      </c>
      <c r="L3392" s="1382" t="n">
        <v>5350</v>
      </c>
      <c r="M3392" s="1704" t="n">
        <v>5631</v>
      </c>
      <c r="N3392" s="1655" t="n">
        <v>5422</v>
      </c>
      <c r="O3392" s="1382" t="n">
        <v>5040</v>
      </c>
      <c r="P3392" s="1704" t="n">
        <v>5383</v>
      </c>
    </row>
    <row r="3393" ht="15.75" customHeight="1" s="2">
      <c r="A3393" s="462" t="inlineStr">
        <is>
          <t>Average Customer Spend</t>
        </is>
      </c>
      <c r="B3393" s="1649" t="n">
        <v>26.03</v>
      </c>
      <c r="C3393" s="1705" t="n">
        <v>25.08</v>
      </c>
      <c r="D3393" s="1706" t="n">
        <v>26.94</v>
      </c>
      <c r="E3393" s="1649" t="n">
        <v>24.65</v>
      </c>
      <c r="F3393" s="1705" t="n">
        <v>25.09</v>
      </c>
      <c r="G3393" s="1706" t="n">
        <v>26.56</v>
      </c>
      <c r="H3393" s="1649" t="n">
        <v>26.1</v>
      </c>
      <c r="I3393" s="1705" t="n">
        <v>25.06</v>
      </c>
      <c r="J3393" s="1706" t="n">
        <v>26.49</v>
      </c>
      <c r="K3393" s="1649" t="n">
        <v>25.78</v>
      </c>
      <c r="L3393" s="1705" t="n">
        <v>25.66</v>
      </c>
      <c r="M3393" s="1706" t="n">
        <v>27.16</v>
      </c>
      <c r="N3393" s="1649" t="n">
        <v>27.24</v>
      </c>
      <c r="O3393" s="1705" t="n">
        <v>25.66</v>
      </c>
      <c r="P3393" s="1706" t="n">
        <v>25.73</v>
      </c>
    </row>
    <row r="3394" ht="15.75" customHeight="1" s="2">
      <c r="A3394" s="462" t="inlineStr">
        <is>
          <t>Wage % to Total Receipts</t>
        </is>
      </c>
      <c r="B3394" s="1337">
        <f>B3399/B3390</f>
        <v/>
      </c>
      <c r="C3394" s="1384">
        <f>C3399/C3390</f>
        <v/>
      </c>
      <c r="D3394" s="1375">
        <f>D3399/D3390</f>
        <v/>
      </c>
      <c r="E3394" s="1337">
        <f>E3399/E3390</f>
        <v/>
      </c>
      <c r="F3394" s="1384">
        <f>F3399/F3390</f>
        <v/>
      </c>
      <c r="G3394" s="1375">
        <f>G3399/G3390</f>
        <v/>
      </c>
      <c r="H3394" s="1337">
        <f>H3399/H3390</f>
        <v/>
      </c>
      <c r="I3394" s="1384">
        <f>I3399/I3390</f>
        <v/>
      </c>
      <c r="J3394" s="1375">
        <f>J3399/J3390</f>
        <v/>
      </c>
      <c r="K3394" s="1337">
        <f>K3399/K3390</f>
        <v/>
      </c>
      <c r="L3394" s="1384">
        <f>L3399/L3390</f>
        <v/>
      </c>
      <c r="M3394" s="1375">
        <f>M3399/M3390</f>
        <v/>
      </c>
      <c r="N3394" s="1337">
        <f>N3399/N3390</f>
        <v/>
      </c>
      <c r="O3394" s="1384">
        <f>O3399/O3390</f>
        <v/>
      </c>
      <c r="P3394" s="1375">
        <f>P3399/P3390</f>
        <v/>
      </c>
    </row>
    <row r="3395" ht="15.75" customHeight="1" s="2">
      <c r="A3395" s="462" t="inlineStr">
        <is>
          <t>Wage % to Nett Sales</t>
        </is>
      </c>
      <c r="B3395" s="1337">
        <f>B3399/B3391</f>
        <v/>
      </c>
      <c r="C3395" s="1384">
        <f>C3399/C3391</f>
        <v/>
      </c>
      <c r="D3395" s="1375">
        <f>D3399/D3391</f>
        <v/>
      </c>
      <c r="E3395" s="1337">
        <f>E3399/E3391</f>
        <v/>
      </c>
      <c r="F3395" s="1384">
        <f>F3399/F3391</f>
        <v/>
      </c>
      <c r="G3395" s="1375">
        <f>G3399/G3391</f>
        <v/>
      </c>
      <c r="H3395" s="1337">
        <f>H3399/H3391</f>
        <v/>
      </c>
      <c r="I3395" s="1384">
        <f>I3399/I3391</f>
        <v/>
      </c>
      <c r="J3395" s="1375">
        <f>J3399/J3391</f>
        <v/>
      </c>
      <c r="K3395" s="1337">
        <f>K3399/K3391</f>
        <v/>
      </c>
      <c r="L3395" s="1384">
        <f>L3399/L3391</f>
        <v/>
      </c>
      <c r="M3395" s="1375">
        <f>M3399/M3391</f>
        <v/>
      </c>
      <c r="N3395" s="1337">
        <f>N3399/N3391</f>
        <v/>
      </c>
      <c r="O3395" s="1384">
        <f>O3399/O3391</f>
        <v/>
      </c>
      <c r="P3395" s="1375">
        <f>P3399/P3391</f>
        <v/>
      </c>
    </row>
    <row r="3396" ht="15.75" customHeight="1" s="2">
      <c r="A3396" s="462" t="inlineStr">
        <is>
          <t>Productivity</t>
        </is>
      </c>
      <c r="B3396" s="1339">
        <f>B3392/B3398</f>
        <v/>
      </c>
      <c r="C3396" s="1385">
        <f>C3392/C3398</f>
        <v/>
      </c>
      <c r="D3396" s="1376">
        <f>D3392/D3398</f>
        <v/>
      </c>
      <c r="E3396" s="1339">
        <f>E3392/E3398</f>
        <v/>
      </c>
      <c r="F3396" s="1385">
        <f>F3392/F3398</f>
        <v/>
      </c>
      <c r="G3396" s="1376">
        <f>G3392/G3398</f>
        <v/>
      </c>
      <c r="H3396" s="1339">
        <f>H3392/H3398</f>
        <v/>
      </c>
      <c r="I3396" s="1385">
        <f>I3392/I3398</f>
        <v/>
      </c>
      <c r="J3396" s="1376">
        <f>J3392/J3398</f>
        <v/>
      </c>
      <c r="K3396" s="1339">
        <f>K3392/K3398</f>
        <v/>
      </c>
      <c r="L3396" s="1385">
        <f>L3392/L3398</f>
        <v/>
      </c>
      <c r="M3396" s="1376">
        <f>M3392/M3398</f>
        <v/>
      </c>
      <c r="N3396" s="1339">
        <f>N3392/N3398</f>
        <v/>
      </c>
      <c r="O3396" s="1385">
        <f>O3392/O3398</f>
        <v/>
      </c>
      <c r="P3396" s="1376">
        <f>P3392/P3398</f>
        <v/>
      </c>
    </row>
    <row r="3397" ht="15.75" customHeight="1" s="2">
      <c r="A3397" s="462" t="inlineStr">
        <is>
          <t>Average Hourly Rate</t>
        </is>
      </c>
      <c r="B3397" s="1649" t="n">
        <v>44.45</v>
      </c>
      <c r="C3397" s="1385" t="n">
        <v>44</v>
      </c>
      <c r="D3397" s="1706" t="n">
        <v>43.25</v>
      </c>
      <c r="E3397" s="1649" t="n">
        <v>42.83</v>
      </c>
      <c r="F3397" s="1385" t="n">
        <v>44</v>
      </c>
      <c r="G3397" s="1706" t="n">
        <v>43.18</v>
      </c>
      <c r="H3397" s="1649" t="n">
        <v>44.74</v>
      </c>
      <c r="I3397" s="1385" t="n">
        <v>44</v>
      </c>
      <c r="J3397" s="1706" t="n">
        <v>43.74</v>
      </c>
      <c r="K3397" s="1649" t="n">
        <v>43.56</v>
      </c>
      <c r="L3397" s="1385" t="n">
        <v>44</v>
      </c>
      <c r="M3397" s="1706" t="n">
        <v>44.09</v>
      </c>
      <c r="N3397" s="1649" t="n">
        <v>43</v>
      </c>
      <c r="O3397" s="1385" t="n">
        <v>44</v>
      </c>
      <c r="P3397" s="1706" t="n">
        <v>44.58</v>
      </c>
    </row>
    <row r="3398" ht="15.75" customHeight="1" s="2">
      <c r="A3398" s="462" t="inlineStr">
        <is>
          <t>Total hours for productivity</t>
        </is>
      </c>
      <c r="B3398" s="466" t="n">
        <v>1051.5</v>
      </c>
      <c r="C3398" s="1385" t="n">
        <v>919.25</v>
      </c>
      <c r="D3398" s="1377" t="n">
        <v>961.75</v>
      </c>
      <c r="E3398" s="466" t="n">
        <v>1060.75</v>
      </c>
      <c r="F3398" s="1385" t="n">
        <v>985.5</v>
      </c>
      <c r="G3398" s="1377" t="n">
        <v>991</v>
      </c>
      <c r="H3398" s="466" t="n">
        <v>1146.5</v>
      </c>
      <c r="I3398" s="1385" t="n">
        <v>994.5</v>
      </c>
      <c r="J3398" s="1377" t="n">
        <v>989.75</v>
      </c>
      <c r="K3398" s="466" t="n">
        <v>1070.25</v>
      </c>
      <c r="L3398" s="1385" t="n">
        <v>982</v>
      </c>
      <c r="M3398" s="1377" t="n">
        <v>1060</v>
      </c>
      <c r="N3398" s="466" t="n">
        <v>1088</v>
      </c>
      <c r="O3398" s="1385" t="n">
        <v>978</v>
      </c>
      <c r="P3398" s="1377" t="n">
        <v>993</v>
      </c>
    </row>
    <row r="3399" ht="15.75" customHeight="1" s="2">
      <c r="A3399" s="462" t="inlineStr">
        <is>
          <t>wage costed</t>
        </is>
      </c>
      <c r="B3399" s="1340">
        <f>B3398*B3397</f>
        <v/>
      </c>
      <c r="C3399" s="1386">
        <f>C3398*C3397</f>
        <v/>
      </c>
      <c r="D3399" s="1378">
        <f>D3398*D3397</f>
        <v/>
      </c>
      <c r="E3399" s="1340">
        <f>E3398*E3397</f>
        <v/>
      </c>
      <c r="F3399" s="1386">
        <f>F3398*F3397</f>
        <v/>
      </c>
      <c r="G3399" s="1378">
        <f>G3398*G3397</f>
        <v/>
      </c>
      <c r="H3399" s="1340">
        <f>H3398*H3397</f>
        <v/>
      </c>
      <c r="I3399" s="1386">
        <f>I3398*I3397</f>
        <v/>
      </c>
      <c r="J3399" s="1378">
        <f>J3398*J3397</f>
        <v/>
      </c>
      <c r="K3399" s="1340">
        <f>K3398*K3397</f>
        <v/>
      </c>
      <c r="L3399" s="1386">
        <f>L3398*L3397</f>
        <v/>
      </c>
      <c r="M3399" s="1378">
        <f>M3398*M3397</f>
        <v/>
      </c>
      <c r="N3399" s="1340">
        <f>N3398*N3397</f>
        <v/>
      </c>
      <c r="O3399" s="1386">
        <f>O3398*O3397</f>
        <v/>
      </c>
      <c r="P3399" s="1378">
        <f>P3398*P3397</f>
        <v/>
      </c>
    </row>
    <row r="3400" ht="15.75" customHeight="1" s="2" thickBot="1">
      <c r="A3400" s="474" t="inlineStr">
        <is>
          <t>Number of hours used to cover sick leave</t>
        </is>
      </c>
      <c r="B3400" s="476" t="n">
        <v>43</v>
      </c>
      <c r="C3400" s="1387" t="n"/>
      <c r="D3400" s="1379" t="n">
        <v>10</v>
      </c>
      <c r="E3400" s="476" t="n"/>
      <c r="F3400" s="1387" t="n"/>
      <c r="G3400" s="1379" t="n">
        <v>8</v>
      </c>
      <c r="H3400" s="476" t="n">
        <v>47.5</v>
      </c>
      <c r="I3400" s="1387" t="n"/>
      <c r="J3400" s="1379" t="n">
        <v>10</v>
      </c>
      <c r="K3400" s="476" t="n">
        <v>39.5</v>
      </c>
      <c r="L3400" s="1387" t="n"/>
      <c r="M3400" s="1379" t="n">
        <v>26.5</v>
      </c>
      <c r="N3400" s="476" t="n">
        <v>23.5</v>
      </c>
      <c r="O3400" s="1387" t="n"/>
      <c r="P3400" s="1379" t="n">
        <v>41.25</v>
      </c>
    </row>
    <row r="3401" ht="15.75" customHeight="1" s="2" thickBot="1">
      <c r="A3401" s="477" t="inlineStr">
        <is>
          <t xml:space="preserve">Minimum Hours </t>
        </is>
      </c>
      <c r="B3401" s="935" t="n"/>
      <c r="C3401" s="1388" t="inlineStr">
        <is>
          <t>Projected</t>
        </is>
      </c>
      <c r="D3401" s="1391" t="inlineStr">
        <is>
          <t>Min Hrs</t>
        </is>
      </c>
      <c r="E3401" s="935" t="n"/>
      <c r="F3401" s="1388" t="inlineStr">
        <is>
          <t>Projected</t>
        </is>
      </c>
      <c r="G3401" s="1391" t="inlineStr">
        <is>
          <t>Min Hrs</t>
        </is>
      </c>
      <c r="H3401" s="935" t="n"/>
      <c r="I3401" s="1388" t="inlineStr">
        <is>
          <t>Projected</t>
        </is>
      </c>
      <c r="J3401" s="1391" t="inlineStr">
        <is>
          <t>Min Hrs</t>
        </is>
      </c>
      <c r="K3401" s="935" t="n"/>
      <c r="L3401" s="1388" t="inlineStr">
        <is>
          <t>Projected</t>
        </is>
      </c>
      <c r="M3401" s="1391" t="inlineStr">
        <is>
          <t>Min Hrs</t>
        </is>
      </c>
      <c r="N3401" s="935" t="n"/>
      <c r="O3401" s="1388" t="inlineStr">
        <is>
          <t>Projected</t>
        </is>
      </c>
      <c r="P3401" s="1391" t="inlineStr">
        <is>
          <t>Min Hrs</t>
        </is>
      </c>
    </row>
    <row r="3402" ht="15.75" customHeight="1" s="2">
      <c r="A3402" s="479" t="inlineStr">
        <is>
          <t>Floor</t>
        </is>
      </c>
      <c r="B3402" s="810" t="n"/>
      <c r="C3402" s="1389" t="n">
        <v>497.75</v>
      </c>
      <c r="D3402" s="1392" t="n">
        <v>460</v>
      </c>
      <c r="E3402" s="810" t="n"/>
      <c r="F3402" s="1389" t="n">
        <v>538</v>
      </c>
      <c r="G3402" s="1392" t="n">
        <v>460</v>
      </c>
      <c r="H3402" s="810" t="n"/>
      <c r="I3402" s="1389" t="n">
        <v>533.5</v>
      </c>
      <c r="J3402" s="1392" t="n">
        <v>460</v>
      </c>
      <c r="K3402" s="810" t="n"/>
      <c r="L3402" s="1389" t="n">
        <v>545</v>
      </c>
      <c r="M3402" s="1392" t="n">
        <v>504</v>
      </c>
      <c r="N3402" s="810" t="n"/>
      <c r="O3402" s="1389" t="n">
        <v>545</v>
      </c>
      <c r="P3402" s="1392" t="n">
        <v>504</v>
      </c>
    </row>
    <row r="3403" ht="15.75" customHeight="1" s="2" thickBot="1">
      <c r="A3403" s="481" t="inlineStr">
        <is>
          <t>Kitchen</t>
        </is>
      </c>
      <c r="B3403" s="813" t="n"/>
      <c r="C3403" s="1387" t="n">
        <v>421.5</v>
      </c>
      <c r="D3403" s="1393" t="n">
        <v>400</v>
      </c>
      <c r="E3403" s="813" t="n"/>
      <c r="F3403" s="1390" t="n">
        <v>447.5</v>
      </c>
      <c r="G3403" s="1393" t="n">
        <v>400</v>
      </c>
      <c r="H3403" s="813" t="n"/>
      <c r="I3403" s="1390" t="n">
        <v>461</v>
      </c>
      <c r="J3403" s="1393" t="n">
        <v>380</v>
      </c>
      <c r="K3403" s="813" t="n"/>
      <c r="L3403" s="1390" t="n">
        <v>437</v>
      </c>
      <c r="M3403" s="1393" t="n">
        <v>420</v>
      </c>
      <c r="N3403" s="813" t="n"/>
      <c r="O3403" s="1387" t="n">
        <v>433</v>
      </c>
      <c r="P3403" s="1393" t="n">
        <v>458</v>
      </c>
    </row>
    <row r="3404" ht="15.75" customHeight="1" s="2" thickBot="1">
      <c r="A3404" s="834" t="n"/>
      <c r="B3404" s="836" t="n"/>
      <c r="C3404" s="1220" t="n"/>
      <c r="D3404" s="1220" t="n"/>
      <c r="E3404" s="839" t="n"/>
      <c r="F3404" s="1220" t="n"/>
      <c r="G3404" s="1220" t="n"/>
      <c r="H3404" s="839" t="n"/>
      <c r="I3404" s="1220" t="n"/>
      <c r="J3404" s="1220" t="n"/>
      <c r="K3404" s="839" t="n"/>
      <c r="L3404" s="1220" t="n"/>
      <c r="M3404" s="1220" t="n"/>
      <c r="N3404" s="839" t="n"/>
      <c r="O3404" s="835" t="n"/>
      <c r="P3404" s="835" t="n"/>
    </row>
    <row r="3405" ht="15.75" customHeight="1" s="2">
      <c r="A3405" s="506" t="inlineStr">
        <is>
          <t>Training explanation</t>
        </is>
      </c>
      <c r="B3405" s="837" t="n"/>
      <c r="C3405" s="1220" t="n"/>
      <c r="D3405" s="1220" t="n"/>
      <c r="E3405" s="837" t="n"/>
      <c r="F3405" s="1220" t="n"/>
      <c r="G3405" s="1220" t="n"/>
      <c r="H3405" s="837" t="n"/>
      <c r="I3405" s="1220" t="n"/>
      <c r="J3405" s="1220" t="n"/>
      <c r="K3405" s="837" t="n"/>
      <c r="L3405" s="1220" t="n"/>
      <c r="M3405" s="1220" t="n"/>
      <c r="N3405" s="837" t="n"/>
      <c r="O3405" s="835" t="n"/>
      <c r="P3405" s="835" t="n"/>
    </row>
    <row r="3406" ht="15.75" customHeight="1" s="2" thickBot="1">
      <c r="A3406" s="506" t="inlineStr">
        <is>
          <t>Who is being Trained</t>
        </is>
      </c>
      <c r="B3406" s="838" t="n"/>
      <c r="C3406" s="1221" t="n"/>
      <c r="D3406" s="1221" t="n"/>
      <c r="E3406" s="838" t="n"/>
      <c r="F3406" s="1221" t="n"/>
      <c r="G3406" s="1221" t="n"/>
      <c r="H3406" s="838" t="n"/>
      <c r="I3406" s="1221" t="n"/>
      <c r="J3406" s="1221" t="n"/>
      <c r="K3406" s="838" t="n"/>
      <c r="L3406" s="1221" t="n"/>
      <c r="M3406" s="1221" t="n"/>
      <c r="N3406" s="838" t="n"/>
    </row>
    <row r="3407" ht="15.75" customHeight="1" s="2" thickBot="1">
      <c r="A3407" s="506" t="n"/>
      <c r="C3407" s="523" t="inlineStr">
        <is>
          <t>floor</t>
        </is>
      </c>
      <c r="D3407" s="524" t="inlineStr">
        <is>
          <t>kitchen</t>
        </is>
      </c>
      <c r="E3407" s="509" t="n"/>
      <c r="F3407" s="507" t="inlineStr">
        <is>
          <t>floor</t>
        </is>
      </c>
      <c r="G3407" s="508" t="inlineStr">
        <is>
          <t>kitchen</t>
        </is>
      </c>
      <c r="H3407" s="510" t="n"/>
      <c r="I3407" s="535" t="inlineStr">
        <is>
          <t>floor</t>
        </is>
      </c>
      <c r="J3407" s="511" t="inlineStr">
        <is>
          <t>kitchen</t>
        </is>
      </c>
      <c r="K3407" s="512" t="n"/>
      <c r="L3407" s="535" t="inlineStr">
        <is>
          <t>floor</t>
        </is>
      </c>
      <c r="M3407" s="513" t="inlineStr">
        <is>
          <t>kitchen</t>
        </is>
      </c>
      <c r="N3407" s="512" t="n"/>
      <c r="O3407" s="535" t="inlineStr">
        <is>
          <t>floor</t>
        </is>
      </c>
      <c r="P3407" s="513" t="inlineStr">
        <is>
          <t>kitchen</t>
        </is>
      </c>
    </row>
    <row r="3408" ht="15.75" customHeight="1" s="2">
      <c r="A3408" s="506" t="n"/>
      <c r="C3408" s="525" t="n"/>
      <c r="D3408" s="527" t="n"/>
      <c r="E3408" s="514" t="n"/>
      <c r="F3408" s="525" t="n"/>
      <c r="G3408" s="527" t="n"/>
      <c r="H3408" s="515" t="n"/>
      <c r="I3408" s="1462" t="inlineStr">
        <is>
          <t>Rafid - SUP (24 Hrs)</t>
        </is>
      </c>
      <c r="J3408" s="824" t="n"/>
      <c r="K3408" s="515" t="n"/>
      <c r="L3408" s="536" t="n"/>
      <c r="M3408" s="532" t="n"/>
      <c r="N3408" s="515" t="n"/>
      <c r="O3408" s="536" t="n"/>
      <c r="P3408" s="532" t="n"/>
    </row>
    <row r="3409" ht="15.75" customHeight="1" s="2">
      <c r="C3409" s="891" t="n"/>
      <c r="D3409" s="526" t="n"/>
      <c r="E3409" s="514" t="n"/>
      <c r="F3409" s="891" t="n"/>
      <c r="G3409" s="526" t="n"/>
      <c r="H3409" s="516" t="n"/>
      <c r="I3409" s="1656" t="n"/>
      <c r="J3409" s="530" t="n"/>
      <c r="K3409" s="516" t="n"/>
      <c r="L3409" s="542" t="n"/>
      <c r="M3409" s="530" t="n"/>
      <c r="N3409" s="516" t="n"/>
      <c r="O3409" s="542" t="n"/>
      <c r="P3409" s="530" t="n"/>
    </row>
    <row r="3410" ht="15.75" customHeight="1" s="2">
      <c r="C3410" s="550" t="n"/>
      <c r="D3410" s="527" t="n"/>
      <c r="E3410" s="514" t="n"/>
      <c r="F3410" s="531" t="n"/>
      <c r="G3410" s="530" t="n"/>
      <c r="H3410" s="516" t="n"/>
      <c r="I3410" s="537" t="n"/>
      <c r="J3410" s="530" t="n"/>
      <c r="K3410" s="516" t="n"/>
      <c r="L3410" s="1657" t="n"/>
      <c r="M3410" s="539" t="n"/>
      <c r="N3410" s="516" t="n"/>
      <c r="O3410" s="542" t="n"/>
      <c r="P3410" s="539" t="n"/>
    </row>
    <row r="3411" ht="15.75" customHeight="1" s="2">
      <c r="C3411" s="561" t="n"/>
      <c r="D3411" s="561" t="n"/>
      <c r="E3411" s="519" t="n"/>
      <c r="F3411" s="517" t="n"/>
      <c r="G3411" s="1659" t="n"/>
      <c r="H3411" s="516" t="n"/>
      <c r="I3411" s="537" t="n"/>
      <c r="J3411" s="530" t="n"/>
      <c r="K3411" s="516" t="n"/>
      <c r="L3411" s="537" t="n"/>
      <c r="M3411" s="539" t="n"/>
      <c r="N3411" s="516" t="n"/>
      <c r="O3411" s="537" t="n"/>
      <c r="P3411" s="539" t="n"/>
    </row>
    <row r="3412" ht="15.75" customHeight="1" s="2">
      <c r="C3412" s="551" t="n"/>
      <c r="D3412" s="528" t="n"/>
      <c r="E3412" s="519" t="n"/>
      <c r="F3412" s="517" t="n"/>
      <c r="G3412" s="518" t="n"/>
      <c r="H3412" s="516" t="n"/>
      <c r="I3412" s="537" t="n"/>
      <c r="J3412" s="533" t="n"/>
      <c r="K3412" s="516" t="n"/>
      <c r="L3412" s="537" t="n"/>
      <c r="M3412" s="540" t="n"/>
      <c r="N3412" s="516" t="n"/>
      <c r="O3412" s="537" t="n"/>
      <c r="P3412" s="540" t="n"/>
    </row>
    <row r="3413" ht="15.75" customHeight="1" s="2">
      <c r="C3413" s="550" t="n"/>
      <c r="D3413" s="527" t="n"/>
      <c r="E3413" s="514" t="n"/>
      <c r="F3413" s="531" t="n"/>
      <c r="G3413" s="530" t="n"/>
      <c r="H3413" s="516" t="n"/>
      <c r="I3413" s="537" t="n"/>
      <c r="J3413" s="530" t="n"/>
      <c r="K3413" s="516" t="n"/>
      <c r="L3413" s="1657" t="n"/>
      <c r="M3413" s="539" t="n"/>
      <c r="N3413" s="516" t="n"/>
      <c r="O3413" s="542" t="n"/>
      <c r="P3413" s="539" t="n"/>
    </row>
    <row r="3414" ht="15.75" customHeight="1" s="2">
      <c r="C3414" s="561" t="n"/>
      <c r="D3414" s="561" t="n"/>
      <c r="E3414" s="519" t="n"/>
      <c r="F3414" s="517" t="n"/>
      <c r="G3414" s="1659" t="n"/>
      <c r="H3414" s="516" t="n"/>
      <c r="I3414" s="537" t="n"/>
      <c r="J3414" s="530" t="n"/>
      <c r="K3414" s="516" t="n"/>
      <c r="L3414" s="537" t="n"/>
      <c r="M3414" s="539" t="n"/>
      <c r="N3414" s="516" t="n"/>
      <c r="O3414" s="537" t="n"/>
      <c r="P3414" s="539" t="n"/>
    </row>
    <row r="3415" ht="15.75" customHeight="1" s="2">
      <c r="C3415" s="551" t="n"/>
      <c r="D3415" s="528" t="n"/>
      <c r="E3415" s="519" t="n"/>
      <c r="F3415" s="517" t="n"/>
      <c r="G3415" s="518" t="n"/>
      <c r="H3415" s="516" t="n"/>
      <c r="I3415" s="537" t="n"/>
      <c r="J3415" s="533" t="n"/>
      <c r="K3415" s="516" t="n"/>
      <c r="L3415" s="537" t="n"/>
      <c r="M3415" s="540" t="n"/>
      <c r="N3415" s="516" t="n"/>
      <c r="O3415" s="537" t="n"/>
      <c r="P3415" s="540" t="n"/>
    </row>
    <row r="3417" ht="15.75" customHeight="1" s="2" thickBot="1"/>
    <row r="3418" ht="15.75" customHeight="1" s="2" thickBot="1">
      <c r="B3418" s="1482" t="n"/>
      <c r="C3418" s="1407" t="inlineStr">
        <is>
          <t>07.09.2026</t>
        </is>
      </c>
      <c r="D3418" s="1484" t="n"/>
      <c r="E3418" s="1485" t="n"/>
      <c r="F3418" s="1410" t="inlineStr">
        <is>
          <t>14.09.2026</t>
        </is>
      </c>
      <c r="G3418" s="1487" t="n"/>
      <c r="H3418" s="1485" t="n"/>
      <c r="I3418" s="1486" t="n"/>
      <c r="J3418" s="1487" t="n"/>
      <c r="K3418" s="1485" t="n"/>
      <c r="L3418" s="1486" t="n"/>
      <c r="M3418" s="1487" t="n"/>
      <c r="N3418" s="1488" t="n"/>
      <c r="O3418" s="1489" t="n"/>
      <c r="P3418" s="1490" t="n"/>
    </row>
    <row r="3419" ht="15.75" customHeight="1" s="2" thickBot="1">
      <c r="A3419" s="455" t="n"/>
      <c r="B3419" s="1394" t="inlineStr">
        <is>
          <t>LAST YEAR</t>
        </is>
      </c>
      <c r="C3419" s="1395" t="inlineStr">
        <is>
          <t>Projected</t>
        </is>
      </c>
      <c r="D3419" s="1396" t="inlineStr">
        <is>
          <t>Actual</t>
        </is>
      </c>
      <c r="E3419" s="1394" t="inlineStr">
        <is>
          <t>LAST YEAR</t>
        </is>
      </c>
      <c r="F3419" s="1395" t="inlineStr">
        <is>
          <t>Projected</t>
        </is>
      </c>
      <c r="G3419" s="1396" t="inlineStr">
        <is>
          <t>Actual</t>
        </is>
      </c>
      <c r="H3419" s="1394" t="inlineStr">
        <is>
          <t>LAST YEAR</t>
        </is>
      </c>
      <c r="I3419" s="1395" t="inlineStr">
        <is>
          <t>Projected</t>
        </is>
      </c>
      <c r="J3419" s="1396" t="inlineStr">
        <is>
          <t>Actual</t>
        </is>
      </c>
      <c r="K3419" s="1394" t="inlineStr">
        <is>
          <t>LAST YEAR</t>
        </is>
      </c>
      <c r="L3419" s="1395" t="inlineStr">
        <is>
          <t>Projected</t>
        </is>
      </c>
      <c r="M3419" s="1396" t="inlineStr">
        <is>
          <t>Actual</t>
        </is>
      </c>
      <c r="N3419" s="1394" t="inlineStr">
        <is>
          <t>LAST YEAR</t>
        </is>
      </c>
      <c r="O3419" s="1395" t="inlineStr">
        <is>
          <t>Projected</t>
        </is>
      </c>
      <c r="P3419" s="1396" t="inlineStr">
        <is>
          <t>Actual</t>
        </is>
      </c>
    </row>
    <row r="3420" ht="15.75" customHeight="1" s="2">
      <c r="A3420" s="459" t="inlineStr">
        <is>
          <t>Total Receipts</t>
        </is>
      </c>
      <c r="B3420" s="1645" t="n">
        <v>130217.83</v>
      </c>
      <c r="C3420" s="1700" t="n">
        <v>127060</v>
      </c>
      <c r="D3420" s="1701" t="n">
        <v>117324.85</v>
      </c>
      <c r="E3420" s="1645" t="n">
        <v>114081.48</v>
      </c>
      <c r="F3420" s="1700" t="n">
        <v>118680</v>
      </c>
      <c r="G3420" s="1701" t="n"/>
      <c r="H3420" s="1645" t="n">
        <v>121843.4</v>
      </c>
      <c r="I3420" s="1700" t="n"/>
      <c r="J3420" s="1701" t="n"/>
      <c r="K3420" s="1645" t="n">
        <v>147490.88</v>
      </c>
      <c r="L3420" s="1700" t="n"/>
      <c r="M3420" s="1701" t="n"/>
      <c r="N3420" s="1645" t="n">
        <v>199843.17</v>
      </c>
      <c r="O3420" s="1700" t="n"/>
      <c r="P3420" s="1701" t="n"/>
    </row>
    <row r="3421" ht="15.75" customHeight="1" s="2">
      <c r="A3421" s="462" t="inlineStr">
        <is>
          <t>Nett Sales</t>
        </is>
      </c>
      <c r="B3421" s="1625" t="n">
        <v>118379.85</v>
      </c>
      <c r="C3421" s="1702" t="n">
        <v>115509.1</v>
      </c>
      <c r="D3421" s="1703" t="n">
        <v>106659</v>
      </c>
      <c r="E3421" s="1625" t="n">
        <v>103710.44</v>
      </c>
      <c r="F3421" s="1702" t="n">
        <v>107890.9</v>
      </c>
      <c r="G3421" s="1703" t="n"/>
      <c r="H3421" s="1625" t="n">
        <v>110766.73</v>
      </c>
      <c r="I3421" s="1702" t="n"/>
      <c r="J3421" s="1703" t="n"/>
      <c r="K3421" s="1625" t="n">
        <v>134082.62</v>
      </c>
      <c r="L3421" s="1702" t="n"/>
      <c r="M3421" s="1703" t="n"/>
      <c r="N3421" s="1625" t="n">
        <v>181675.61</v>
      </c>
      <c r="O3421" s="1702" t="n"/>
      <c r="P3421" s="1703" t="n"/>
    </row>
    <row r="3422" ht="15.75" customHeight="1" s="2">
      <c r="A3422" s="462" t="inlineStr">
        <is>
          <t>Customers</t>
        </is>
      </c>
      <c r="B3422" s="1655" t="n">
        <v>4950</v>
      </c>
      <c r="C3422" s="1382" t="n">
        <v>5110</v>
      </c>
      <c r="D3422" s="1704" t="n">
        <v>4500</v>
      </c>
      <c r="E3422" s="1655" t="n">
        <v>4368</v>
      </c>
      <c r="F3422" s="1382" t="n">
        <v>4680</v>
      </c>
      <c r="G3422" s="1704" t="n"/>
      <c r="H3422" s="1655" t="n">
        <v>4857</v>
      </c>
      <c r="I3422" s="1382" t="n"/>
      <c r="J3422" s="1704" t="n"/>
      <c r="K3422" s="1655" t="n">
        <v>5696</v>
      </c>
      <c r="L3422" s="1382" t="n"/>
      <c r="M3422" s="1704" t="n"/>
      <c r="N3422" s="1655" t="n">
        <v>7402</v>
      </c>
      <c r="O3422" s="1382" t="n"/>
      <c r="P3422" s="1704" t="n"/>
    </row>
    <row r="3423" ht="15.75" customHeight="1" s="2">
      <c r="A3423" s="462" t="inlineStr">
        <is>
          <t>Average Customer Spend</t>
        </is>
      </c>
      <c r="B3423" s="1649" t="n">
        <v>26.3</v>
      </c>
      <c r="C3423" s="1705" t="n">
        <v>24.86</v>
      </c>
      <c r="D3423" s="1706" t="n">
        <v>26.07</v>
      </c>
      <c r="E3423" s="1649" t="n">
        <v>26.11</v>
      </c>
      <c r="F3423" s="1705" t="n">
        <v>25.36</v>
      </c>
      <c r="G3423" s="1706" t="n"/>
      <c r="H3423" s="1649" t="n">
        <v>25.08</v>
      </c>
      <c r="I3423" s="1705" t="n"/>
      <c r="J3423" s="1706" t="n"/>
      <c r="K3423" s="1649" t="n">
        <v>25.89</v>
      </c>
      <c r="L3423" s="1705" t="n"/>
      <c r="M3423" s="1706" t="n"/>
      <c r="N3423" s="1649" t="n">
        <v>26.99</v>
      </c>
      <c r="O3423" s="1705" t="n"/>
      <c r="P3423" s="1706" t="n"/>
    </row>
    <row r="3424" ht="15.75" customHeight="1" s="2">
      <c r="A3424" s="462" t="inlineStr">
        <is>
          <t>Wage % to Total Receipts</t>
        </is>
      </c>
      <c r="B3424" s="1337">
        <f>B3429/B3420</f>
        <v/>
      </c>
      <c r="C3424" s="1384">
        <f>C3429/C3420</f>
        <v/>
      </c>
      <c r="D3424" s="1375">
        <f>D3429/D3420</f>
        <v/>
      </c>
      <c r="E3424" s="1337">
        <f>E3429/E3420</f>
        <v/>
      </c>
      <c r="F3424" s="1384">
        <f>F3429/F3420</f>
        <v/>
      </c>
      <c r="G3424" s="1375">
        <f>G3429/G3420</f>
        <v/>
      </c>
      <c r="H3424" s="1337">
        <f>H3429/H3420</f>
        <v/>
      </c>
      <c r="I3424" s="1384">
        <f>I3429/I3420</f>
        <v/>
      </c>
      <c r="J3424" s="1375">
        <f>J3429/J3420</f>
        <v/>
      </c>
      <c r="K3424" s="1337">
        <f>K3429/K3420</f>
        <v/>
      </c>
      <c r="L3424" s="1384">
        <f>L3429/L3420</f>
        <v/>
      </c>
      <c r="M3424" s="1375">
        <f>M3429/M3420</f>
        <v/>
      </c>
      <c r="N3424" s="1337">
        <f>N3429/N3420</f>
        <v/>
      </c>
      <c r="O3424" s="1384">
        <f>O3429/O3420</f>
        <v/>
      </c>
      <c r="P3424" s="1375">
        <f>P3429/P3420</f>
        <v/>
      </c>
    </row>
    <row r="3425" ht="15.75" customHeight="1" s="2">
      <c r="A3425" s="462" t="inlineStr">
        <is>
          <t>Wage % to Nett Sales</t>
        </is>
      </c>
      <c r="B3425" s="1337">
        <f>B3429/B3421</f>
        <v/>
      </c>
      <c r="C3425" s="1384">
        <f>C3429/C3421</f>
        <v/>
      </c>
      <c r="D3425" s="1375">
        <f>D3429/D3421</f>
        <v/>
      </c>
      <c r="E3425" s="1337">
        <f>E3429/E3421</f>
        <v/>
      </c>
      <c r="F3425" s="1384">
        <f>F3429/F3421</f>
        <v/>
      </c>
      <c r="G3425" s="1375">
        <f>G3429/G3421</f>
        <v/>
      </c>
      <c r="H3425" s="1337">
        <f>H3429/H3421</f>
        <v/>
      </c>
      <c r="I3425" s="1384">
        <f>I3429/I3421</f>
        <v/>
      </c>
      <c r="J3425" s="1375">
        <f>J3429/J3421</f>
        <v/>
      </c>
      <c r="K3425" s="1337">
        <f>K3429/K3421</f>
        <v/>
      </c>
      <c r="L3425" s="1384">
        <f>L3429/L3421</f>
        <v/>
      </c>
      <c r="M3425" s="1375">
        <f>M3429/M3421</f>
        <v/>
      </c>
      <c r="N3425" s="1337">
        <f>N3429/N3421</f>
        <v/>
      </c>
      <c r="O3425" s="1384">
        <f>O3429/O3421</f>
        <v/>
      </c>
      <c r="P3425" s="1375">
        <f>P3429/P3421</f>
        <v/>
      </c>
    </row>
    <row r="3426" ht="15.75" customHeight="1" s="2">
      <c r="A3426" s="462" t="inlineStr">
        <is>
          <t>Productivity</t>
        </is>
      </c>
      <c r="B3426" s="1339">
        <f>B3422/B3428</f>
        <v/>
      </c>
      <c r="C3426" s="1385">
        <f>C3422/C3428</f>
        <v/>
      </c>
      <c r="D3426" s="1376">
        <f>D3422/D3428</f>
        <v/>
      </c>
      <c r="E3426" s="1339">
        <f>E3422/E3428</f>
        <v/>
      </c>
      <c r="F3426" s="1385">
        <f>F3422/F3428</f>
        <v/>
      </c>
      <c r="G3426" s="1376">
        <f>G3422/G3428</f>
        <v/>
      </c>
      <c r="H3426" s="1339">
        <f>H3422/H3428</f>
        <v/>
      </c>
      <c r="I3426" s="1385">
        <f>I3422/I3428</f>
        <v/>
      </c>
      <c r="J3426" s="1376">
        <f>J3422/J3428</f>
        <v/>
      </c>
      <c r="K3426" s="1339">
        <f>K3422/K3428</f>
        <v/>
      </c>
      <c r="L3426" s="1385">
        <f>L3422/L3428</f>
        <v/>
      </c>
      <c r="M3426" s="1376">
        <f>M3422/M3428</f>
        <v/>
      </c>
      <c r="N3426" s="1339">
        <f>N3422/N3428</f>
        <v/>
      </c>
      <c r="O3426" s="1385">
        <f>O3422/O3428</f>
        <v/>
      </c>
      <c r="P3426" s="1376">
        <f>P3422/P3428</f>
        <v/>
      </c>
    </row>
    <row r="3427" ht="15.75" customHeight="1" s="2">
      <c r="A3427" s="462" t="inlineStr">
        <is>
          <t>Average Hourly Rate</t>
        </is>
      </c>
      <c r="B3427" s="1649" t="n">
        <v>43.39</v>
      </c>
      <c r="C3427" s="1385" t="n">
        <v>44</v>
      </c>
      <c r="D3427" s="1706" t="n">
        <v>43.82</v>
      </c>
      <c r="E3427" s="1649" t="n">
        <v>43.48</v>
      </c>
      <c r="F3427" s="1385" t="n">
        <v>44</v>
      </c>
      <c r="G3427" s="1706" t="n"/>
      <c r="H3427" s="1649" t="n">
        <v>43.18</v>
      </c>
      <c r="I3427" s="1385" t="n"/>
      <c r="J3427" s="1706" t="n"/>
      <c r="K3427" s="1649" t="n">
        <v>43.24</v>
      </c>
      <c r="L3427" s="1385" t="n"/>
      <c r="M3427" s="1706" t="n"/>
      <c r="N3427" s="1649" t="n">
        <v>49.16</v>
      </c>
      <c r="O3427" s="1385" t="n"/>
      <c r="P3427" s="1706" t="n"/>
    </row>
    <row r="3428" ht="15.75" customHeight="1" s="2">
      <c r="A3428" s="462" t="inlineStr">
        <is>
          <t>Total hours for productivity</t>
        </is>
      </c>
      <c r="B3428" s="466" t="n">
        <v>1024.5</v>
      </c>
      <c r="C3428" s="1385" t="n">
        <v>981</v>
      </c>
      <c r="D3428" s="1377" t="n">
        <v>931</v>
      </c>
      <c r="E3428" s="466" t="n">
        <v>980.25</v>
      </c>
      <c r="F3428" s="1385" t="n">
        <v>941.5</v>
      </c>
      <c r="G3428" s="1377" t="n"/>
      <c r="H3428" s="466" t="n">
        <v>970.75</v>
      </c>
      <c r="I3428" s="1385" t="n"/>
      <c r="J3428" s="1377" t="n"/>
      <c r="K3428" s="466" t="n">
        <v>1004.75</v>
      </c>
      <c r="L3428" s="1385" t="n"/>
      <c r="M3428" s="1377" t="n"/>
      <c r="N3428" s="466" t="n">
        <v>1223.75</v>
      </c>
      <c r="O3428" s="1385" t="n"/>
      <c r="P3428" s="1377" t="n"/>
    </row>
    <row r="3429" ht="15.75" customHeight="1" s="2">
      <c r="A3429" s="462" t="inlineStr">
        <is>
          <t>wage costed</t>
        </is>
      </c>
      <c r="B3429" s="1340">
        <f>B3428*B3427</f>
        <v/>
      </c>
      <c r="C3429" s="1386">
        <f>C3428*C3427</f>
        <v/>
      </c>
      <c r="D3429" s="1378">
        <f>D3428*D3427</f>
        <v/>
      </c>
      <c r="E3429" s="1340">
        <f>E3428*E3427</f>
        <v/>
      </c>
      <c r="F3429" s="1386">
        <f>F3428*F3427</f>
        <v/>
      </c>
      <c r="G3429" s="1378">
        <f>G3428*G3427</f>
        <v/>
      </c>
      <c r="H3429" s="1340">
        <f>H3428*H3427</f>
        <v/>
      </c>
      <c r="I3429" s="1386">
        <f>I3428*I3427</f>
        <v/>
      </c>
      <c r="J3429" s="1378">
        <f>J3428*J3427</f>
        <v/>
      </c>
      <c r="K3429" s="1340">
        <f>K3428*K3427</f>
        <v/>
      </c>
      <c r="L3429" s="1386">
        <f>L3428*L3427</f>
        <v/>
      </c>
      <c r="M3429" s="1378">
        <f>M3428*M3427</f>
        <v/>
      </c>
      <c r="N3429" s="1340">
        <f>N3428*N3427</f>
        <v/>
      </c>
      <c r="O3429" s="1386">
        <f>O3428*O3427</f>
        <v/>
      </c>
      <c r="P3429" s="1378">
        <f>P3428*P3427</f>
        <v/>
      </c>
    </row>
    <row r="3430" ht="15.75" customHeight="1" s="2" thickBot="1">
      <c r="A3430" s="474" t="inlineStr">
        <is>
          <t>Number of hours used to cover sick leave</t>
        </is>
      </c>
      <c r="B3430" s="476" t="n"/>
      <c r="C3430" s="1387" t="n"/>
      <c r="D3430" s="1379" t="n"/>
      <c r="E3430" s="476" t="n">
        <v>21.5</v>
      </c>
      <c r="F3430" s="1387" t="n"/>
      <c r="G3430" s="1379" t="n"/>
      <c r="H3430" s="813" t="n">
        <v>18.5</v>
      </c>
      <c r="I3430" s="1387" t="n"/>
      <c r="J3430" s="1379" t="n"/>
      <c r="K3430" s="1229" t="n">
        <v>18</v>
      </c>
      <c r="L3430" s="1387" t="n"/>
      <c r="M3430" s="1379" t="n"/>
      <c r="N3430" s="476" t="n">
        <v>56.25</v>
      </c>
      <c r="O3430" s="1387" t="n"/>
      <c r="P3430" s="1379" t="n"/>
    </row>
    <row r="3431" ht="15.75" customHeight="1" s="2" thickBot="1">
      <c r="A3431" s="477" t="inlineStr">
        <is>
          <t xml:space="preserve">Minimum Hours </t>
        </is>
      </c>
      <c r="B3431" s="935" t="n"/>
      <c r="C3431" s="1388" t="inlineStr">
        <is>
          <t>Projected</t>
        </is>
      </c>
      <c r="D3431" s="1391" t="inlineStr">
        <is>
          <t>Min Hrs</t>
        </is>
      </c>
      <c r="E3431" s="935" t="n"/>
      <c r="F3431" s="1388" t="inlineStr">
        <is>
          <t>Projected</t>
        </is>
      </c>
      <c r="G3431" s="1391" t="inlineStr">
        <is>
          <t>Min Hrs</t>
        </is>
      </c>
      <c r="H3431" s="935" t="n"/>
      <c r="I3431" s="1388" t="inlineStr">
        <is>
          <t>Projected</t>
        </is>
      </c>
      <c r="J3431" s="1391" t="inlineStr">
        <is>
          <t>Min Hrs</t>
        </is>
      </c>
      <c r="K3431" s="935" t="n"/>
      <c r="L3431" s="1388" t="inlineStr">
        <is>
          <t>Projected</t>
        </is>
      </c>
      <c r="M3431" s="1391" t="inlineStr">
        <is>
          <t>Min Hrs</t>
        </is>
      </c>
      <c r="N3431" s="935" t="n"/>
      <c r="O3431" s="1388" t="inlineStr">
        <is>
          <t>Projected</t>
        </is>
      </c>
      <c r="P3431" s="1391" t="inlineStr">
        <is>
          <t>Min Hrs</t>
        </is>
      </c>
    </row>
    <row r="3432" ht="15.75" customHeight="1" s="2">
      <c r="A3432" s="479" t="inlineStr">
        <is>
          <t>Floor</t>
        </is>
      </c>
      <c r="B3432" s="810" t="n"/>
      <c r="C3432" s="1389" t="n">
        <v>532.5</v>
      </c>
      <c r="D3432" s="1392" t="n">
        <v>466</v>
      </c>
      <c r="E3432" s="810" t="n"/>
      <c r="F3432" s="1389" t="n">
        <v>532.5</v>
      </c>
      <c r="G3432" s="1392" t="n">
        <v>471</v>
      </c>
      <c r="H3432" s="810" t="n"/>
      <c r="I3432" s="1389" t="n"/>
      <c r="J3432" s="1392" t="n"/>
      <c r="K3432" s="810" t="n"/>
      <c r="L3432" s="1389" t="n"/>
      <c r="M3432" s="1392" t="n"/>
      <c r="N3432" s="810" t="n"/>
      <c r="O3432" s="1389" t="n"/>
      <c r="P3432" s="1392" t="n"/>
    </row>
    <row r="3433" ht="15.75" customHeight="1" s="2" thickBot="1">
      <c r="A3433" s="481" t="inlineStr">
        <is>
          <t>Kitchen</t>
        </is>
      </c>
      <c r="B3433" s="813" t="n"/>
      <c r="C3433" s="1387" t="n">
        <v>448.5</v>
      </c>
      <c r="D3433" s="1393" t="n">
        <v>420</v>
      </c>
      <c r="E3433" s="813" t="n"/>
      <c r="F3433" s="1390" t="n">
        <v>409</v>
      </c>
      <c r="G3433" s="1393" t="n">
        <v>420</v>
      </c>
      <c r="H3433" s="813" t="n"/>
      <c r="I3433" s="1390" t="n"/>
      <c r="J3433" s="1393" t="n"/>
      <c r="K3433" s="813" t="n"/>
      <c r="L3433" s="1390" t="n"/>
      <c r="M3433" s="1393" t="n"/>
      <c r="N3433" s="813" t="n"/>
      <c r="O3433" s="1387" t="n"/>
      <c r="P3433" s="1393" t="n"/>
    </row>
    <row r="3434" ht="15.75" customHeight="1" s="2" thickBot="1">
      <c r="A3434" s="834" t="n"/>
      <c r="B3434" s="836" t="n"/>
      <c r="C3434" s="1220" t="n"/>
      <c r="D3434" s="1220" t="n"/>
      <c r="E3434" s="839" t="n"/>
      <c r="F3434" s="1220" t="n"/>
      <c r="G3434" s="1220" t="n"/>
      <c r="H3434" s="839" t="n"/>
      <c r="I3434" s="1220" t="n"/>
      <c r="J3434" s="1220" t="n"/>
      <c r="K3434" s="839" t="n"/>
      <c r="L3434" s="1220" t="n"/>
      <c r="M3434" s="1220" t="n"/>
      <c r="N3434" s="839" t="n"/>
      <c r="O3434" s="835" t="n"/>
      <c r="P3434" s="835" t="n"/>
    </row>
    <row r="3435" ht="15.75" customHeight="1" s="2">
      <c r="A3435" s="506" t="inlineStr">
        <is>
          <t>Training explanation</t>
        </is>
      </c>
      <c r="B3435" s="837" t="n"/>
      <c r="C3435" s="1220" t="n"/>
      <c r="D3435" s="1220" t="n"/>
      <c r="E3435" s="837" t="n"/>
      <c r="F3435" s="1220" t="n"/>
      <c r="G3435" s="1220" t="n"/>
      <c r="H3435" s="837" t="n"/>
      <c r="I3435" s="1220" t="n"/>
      <c r="J3435" s="1220" t="n"/>
      <c r="K3435" s="837" t="n"/>
      <c r="L3435" s="1220" t="n"/>
      <c r="M3435" s="1220" t="n"/>
      <c r="N3435" s="837" t="n"/>
      <c r="O3435" s="835" t="n"/>
      <c r="P3435" s="835" t="n"/>
    </row>
    <row r="3436" ht="15.75" customHeight="1" s="2" thickBot="1">
      <c r="A3436" s="506" t="inlineStr">
        <is>
          <t>Who is being Trained</t>
        </is>
      </c>
      <c r="B3436" s="838" t="n"/>
      <c r="C3436" s="1221" t="n"/>
      <c r="D3436" s="1221" t="n"/>
      <c r="E3436" s="838" t="n"/>
      <c r="F3436" s="1221" t="n"/>
      <c r="G3436" s="1221" t="n"/>
      <c r="H3436" s="838" t="n"/>
      <c r="I3436" s="1221" t="n"/>
      <c r="J3436" s="1221" t="n"/>
      <c r="K3436" s="838" t="n"/>
      <c r="L3436" s="1221" t="n"/>
      <c r="M3436" s="1221" t="n"/>
      <c r="N3436" s="838" t="n"/>
    </row>
    <row r="3437" ht="15.75" customHeight="1" s="2" thickBot="1">
      <c r="A3437" s="506" t="n"/>
      <c r="C3437" s="523" t="inlineStr">
        <is>
          <t>floor</t>
        </is>
      </c>
      <c r="D3437" s="524" t="inlineStr">
        <is>
          <t>kitchen</t>
        </is>
      </c>
      <c r="E3437" s="509" t="n"/>
      <c r="F3437" s="507" t="inlineStr">
        <is>
          <t>floor</t>
        </is>
      </c>
      <c r="G3437" s="508" t="inlineStr">
        <is>
          <t>kitchen</t>
        </is>
      </c>
      <c r="H3437" s="510" t="n"/>
      <c r="I3437" s="535" t="inlineStr">
        <is>
          <t>floor</t>
        </is>
      </c>
      <c r="J3437" s="511" t="inlineStr">
        <is>
          <t>kitchen</t>
        </is>
      </c>
      <c r="K3437" s="512" t="n"/>
      <c r="L3437" s="535" t="inlineStr">
        <is>
          <t>floor</t>
        </is>
      </c>
      <c r="M3437" s="513" t="inlineStr">
        <is>
          <t>kitchen</t>
        </is>
      </c>
      <c r="N3437" s="512" t="n"/>
      <c r="O3437" s="535" t="inlineStr">
        <is>
          <t>floor</t>
        </is>
      </c>
      <c r="P3437" s="513" t="inlineStr">
        <is>
          <t>kitchen</t>
        </is>
      </c>
    </row>
    <row r="3438" ht="15.75" customHeight="1" s="2">
      <c r="A3438" s="506" t="n"/>
      <c r="C3438" s="525" t="inlineStr">
        <is>
          <t>Oyndrila- Payroll 2hrs</t>
        </is>
      </c>
      <c r="D3438" s="527" t="n"/>
      <c r="E3438" s="514" t="n"/>
      <c r="F3438" s="525" t="n"/>
      <c r="G3438" s="527" t="n"/>
      <c r="H3438" s="515" t="n"/>
      <c r="I3438" s="531" t="n"/>
      <c r="J3438" s="824" t="n"/>
      <c r="K3438" s="515" t="n"/>
      <c r="L3438" s="536" t="n"/>
      <c r="M3438" s="532" t="n"/>
      <c r="N3438" s="515" t="n"/>
      <c r="O3438" s="536" t="n"/>
      <c r="P3438" s="532" t="n"/>
    </row>
    <row r="3439" ht="15.75" customHeight="1" s="2">
      <c r="C3439" s="891" t="inlineStr">
        <is>
          <t>Roji- Bar</t>
        </is>
      </c>
      <c r="D3439" s="526" t="n"/>
      <c r="E3439" s="514" t="n"/>
      <c r="F3439" s="891" t="n"/>
      <c r="G3439" s="526" t="n"/>
      <c r="H3439" s="516" t="n"/>
      <c r="I3439" s="1656" t="n"/>
      <c r="J3439" s="530" t="n"/>
      <c r="K3439" s="516" t="n"/>
      <c r="L3439" s="542" t="n"/>
      <c r="M3439" s="530" t="n"/>
      <c r="N3439" s="516" t="n"/>
      <c r="O3439" s="542" t="n"/>
      <c r="P3439" s="530" t="n"/>
    </row>
    <row r="3440" ht="15.75" customHeight="1" s="2">
      <c r="C3440" s="550" t="n"/>
      <c r="D3440" s="527" t="n"/>
      <c r="E3440" s="514" t="n"/>
      <c r="F3440" s="531" t="n"/>
      <c r="G3440" s="530" t="n"/>
      <c r="H3440" s="516" t="n"/>
      <c r="I3440" s="537" t="n"/>
      <c r="J3440" s="530" t="n"/>
      <c r="K3440" s="516" t="n"/>
      <c r="L3440" s="1657" t="n"/>
      <c r="M3440" s="539" t="n"/>
      <c r="N3440" s="516" t="n"/>
      <c r="O3440" s="542" t="n"/>
      <c r="P3440" s="539" t="n"/>
    </row>
    <row r="3441" ht="15.75" customHeight="1" s="2">
      <c r="C3441" s="561" t="n"/>
      <c r="D3441" s="561" t="n"/>
      <c r="E3441" s="519" t="n"/>
      <c r="F3441" s="517" t="n"/>
      <c r="G3441" s="1659" t="n"/>
      <c r="H3441" s="516" t="n"/>
      <c r="I3441" s="537" t="n"/>
      <c r="J3441" s="530" t="n"/>
      <c r="K3441" s="516" t="n"/>
      <c r="L3441" s="537" t="n"/>
      <c r="M3441" s="539" t="n"/>
      <c r="N3441" s="516" t="n"/>
      <c r="O3441" s="537" t="n"/>
      <c r="P3441" s="539" t="n"/>
    </row>
    <row r="3442" ht="15.75" customHeight="1" s="2">
      <c r="C3442" s="551" t="n"/>
      <c r="D3442" s="528" t="n"/>
      <c r="E3442" s="519" t="n"/>
      <c r="F3442" s="517" t="n"/>
      <c r="G3442" s="518" t="n"/>
      <c r="H3442" s="516" t="n"/>
      <c r="I3442" s="537" t="n"/>
      <c r="J3442" s="533" t="n"/>
      <c r="K3442" s="516" t="n"/>
      <c r="L3442" s="537" t="n"/>
      <c r="M3442" s="540" t="n"/>
      <c r="N3442" s="516" t="n"/>
      <c r="O3442" s="537" t="n"/>
      <c r="P3442" s="540" t="n"/>
    </row>
    <row r="3443" ht="15.75" customHeight="1" s="2">
      <c r="C3443" s="550" t="n"/>
      <c r="D3443" s="527" t="n"/>
      <c r="E3443" s="514" t="n"/>
      <c r="F3443" s="531" t="n"/>
      <c r="G3443" s="530" t="n"/>
      <c r="H3443" s="516" t="n"/>
      <c r="I3443" s="537" t="n"/>
      <c r="J3443" s="530" t="n"/>
      <c r="K3443" s="516" t="n"/>
      <c r="L3443" s="1657" t="n"/>
      <c r="M3443" s="539" t="n"/>
      <c r="N3443" s="516" t="n"/>
      <c r="O3443" s="542" t="n"/>
      <c r="P3443" s="539" t="n"/>
    </row>
    <row r="3444" ht="15.75" customHeight="1" s="2">
      <c r="C3444" s="561" t="n"/>
      <c r="D3444" s="561" t="n"/>
      <c r="E3444" s="519" t="n"/>
      <c r="F3444" s="517" t="n"/>
      <c r="G3444" s="1659" t="n"/>
      <c r="H3444" s="516" t="n"/>
      <c r="I3444" s="537" t="n"/>
      <c r="J3444" s="530" t="n"/>
      <c r="K3444" s="516" t="n"/>
      <c r="L3444" s="537" t="n"/>
      <c r="M3444" s="539" t="n"/>
      <c r="N3444" s="516" t="n"/>
      <c r="O3444" s="537" t="n"/>
      <c r="P3444" s="539" t="n"/>
    </row>
    <row r="3445" ht="15.75" customHeight="1" s="2">
      <c r="C3445" s="551" t="n"/>
      <c r="D3445" s="528" t="n"/>
      <c r="E3445" s="519" t="n"/>
      <c r="F3445" s="517" t="n"/>
      <c r="G3445" s="518" t="n"/>
      <c r="H3445" s="516" t="n"/>
      <c r="I3445" s="537" t="n"/>
      <c r="J3445" s="533" t="n"/>
      <c r="K3445" s="516" t="n"/>
      <c r="L3445" s="537" t="n"/>
      <c r="M3445" s="540" t="n"/>
      <c r="N3445" s="516" t="n"/>
      <c r="O3445" s="537" t="n"/>
      <c r="P3445" s="540" t="n"/>
    </row>
    <row r="3447" ht="15.75" customHeight="1" s="2" thickBot="1"/>
    <row r="3448" ht="15.75" customHeight="1" s="2" thickBot="1">
      <c r="B3448" s="1482" t="n"/>
      <c r="C3448" s="1483" t="n"/>
      <c r="D3448" s="1484" t="n"/>
      <c r="E3448" s="1485" t="n"/>
      <c r="F3448" s="1486" t="n"/>
      <c r="G3448" s="1487" t="n"/>
      <c r="H3448" s="1485" t="n"/>
      <c r="I3448" s="1486" t="n"/>
      <c r="J3448" s="1487" t="n"/>
      <c r="K3448" s="1485" t="n"/>
      <c r="L3448" s="1486" t="n"/>
      <c r="M3448" s="1487" t="n"/>
      <c r="N3448" s="1488" t="n"/>
      <c r="O3448" s="1489" t="n"/>
      <c r="P3448" s="1490" t="n"/>
    </row>
    <row r="3449" ht="15.75" customHeight="1" s="2" thickBot="1">
      <c r="A3449" s="455" t="n"/>
      <c r="B3449" s="1394" t="inlineStr">
        <is>
          <t>LAST YEAR</t>
        </is>
      </c>
      <c r="C3449" s="1395" t="inlineStr">
        <is>
          <t>Projected</t>
        </is>
      </c>
      <c r="D3449" s="1396" t="inlineStr">
        <is>
          <t>Actual</t>
        </is>
      </c>
      <c r="E3449" s="1394" t="inlineStr">
        <is>
          <t>LAST YEAR</t>
        </is>
      </c>
      <c r="F3449" s="1395" t="inlineStr">
        <is>
          <t>Projected</t>
        </is>
      </c>
      <c r="G3449" s="1396" t="inlineStr">
        <is>
          <t>Actual</t>
        </is>
      </c>
      <c r="H3449" s="1394" t="inlineStr">
        <is>
          <t>LAST YEAR</t>
        </is>
      </c>
      <c r="I3449" s="1395" t="inlineStr">
        <is>
          <t>Projected</t>
        </is>
      </c>
      <c r="J3449" s="1396" t="inlineStr">
        <is>
          <t>Actual</t>
        </is>
      </c>
      <c r="K3449" s="1394" t="inlineStr">
        <is>
          <t>LAST YEAR</t>
        </is>
      </c>
      <c r="L3449" s="1395" t="inlineStr">
        <is>
          <t>Projected</t>
        </is>
      </c>
      <c r="M3449" s="1396" t="inlineStr">
        <is>
          <t>Actual</t>
        </is>
      </c>
      <c r="N3449" s="1394" t="inlineStr">
        <is>
          <t>LAST YEAR</t>
        </is>
      </c>
      <c r="O3449" s="1395" t="inlineStr">
        <is>
          <t>Projected</t>
        </is>
      </c>
      <c r="P3449" s="1396" t="inlineStr">
        <is>
          <t>Actual</t>
        </is>
      </c>
    </row>
    <row r="3450" ht="15.75" customHeight="1" s="2">
      <c r="A3450" s="459" t="inlineStr">
        <is>
          <t>Total Receipts</t>
        </is>
      </c>
      <c r="B3450" s="1645" t="n">
        <v>137364.09</v>
      </c>
      <c r="C3450" s="1700" t="n"/>
      <c r="D3450" s="1701" t="n"/>
      <c r="E3450" s="1645" t="n">
        <v>101374.38</v>
      </c>
      <c r="F3450" s="1700" t="n"/>
      <c r="G3450" s="1701" t="n"/>
      <c r="H3450" s="1645" t="n">
        <v>116629.41</v>
      </c>
      <c r="I3450" s="1700" t="n"/>
      <c r="J3450" s="1701" t="n"/>
      <c r="K3450" s="1645" t="n">
        <v>153874.01</v>
      </c>
      <c r="L3450" s="1700" t="n"/>
      <c r="M3450" s="1701" t="n"/>
      <c r="N3450" s="1645" t="n">
        <v>119396.74</v>
      </c>
      <c r="O3450" s="1700" t="n"/>
      <c r="P3450" s="1701" t="n"/>
    </row>
    <row r="3451" ht="15.75" customHeight="1" s="2">
      <c r="A3451" s="462" t="inlineStr">
        <is>
          <t>Nett Sales</t>
        </is>
      </c>
      <c r="B3451" s="1625" t="n">
        <v>124876.45</v>
      </c>
      <c r="C3451" s="1702" t="n"/>
      <c r="D3451" s="1703" t="n"/>
      <c r="E3451" s="1625" t="n">
        <v>92158.53</v>
      </c>
      <c r="F3451" s="1702" t="n"/>
      <c r="G3451" s="1703" t="n"/>
      <c r="H3451" s="1625" t="n">
        <v>101026.74</v>
      </c>
      <c r="I3451" s="1702" t="n"/>
      <c r="J3451" s="1703" t="n"/>
      <c r="K3451" s="1625" t="n">
        <v>139885.46</v>
      </c>
      <c r="L3451" s="1702" t="n"/>
      <c r="M3451" s="1703" t="n"/>
      <c r="N3451" s="1625" t="n">
        <v>108542.49</v>
      </c>
      <c r="O3451" s="1702" t="n"/>
      <c r="P3451" s="1703" t="n"/>
    </row>
    <row r="3452" ht="15.75" customHeight="1" s="2">
      <c r="A3452" s="462" t="inlineStr">
        <is>
          <t>Customers</t>
        </is>
      </c>
      <c r="B3452" s="1655" t="n">
        <v>5459</v>
      </c>
      <c r="C3452" s="1382" t="n"/>
      <c r="D3452" s="1704" t="n"/>
      <c r="E3452" s="1655" t="n">
        <v>3870</v>
      </c>
      <c r="F3452" s="1382" t="n"/>
      <c r="G3452" s="1704" t="n"/>
      <c r="H3452" s="1655" t="n">
        <v>4588</v>
      </c>
      <c r="I3452" s="1382" t="n"/>
      <c r="J3452" s="1704" t="n"/>
      <c r="K3452" s="1655" t="n">
        <v>5813</v>
      </c>
      <c r="L3452" s="1382" t="n"/>
      <c r="M3452" s="1704" t="n"/>
      <c r="N3452" s="1655" t="n">
        <v>4609</v>
      </c>
      <c r="O3452" s="1382" t="n"/>
      <c r="P3452" s="1704" t="n"/>
    </row>
    <row r="3453" ht="15.75" customHeight="1" s="2">
      <c r="A3453" s="462" t="inlineStr">
        <is>
          <t>Average Customer Spend</t>
        </is>
      </c>
      <c r="B3453" s="1649" t="n">
        <v>25.16</v>
      </c>
      <c r="C3453" s="1705" t="n"/>
      <c r="D3453" s="1706" t="n"/>
      <c r="E3453" s="1649" t="n">
        <v>26.19</v>
      </c>
      <c r="F3453" s="1705" t="n"/>
      <c r="G3453" s="1706" t="n"/>
      <c r="H3453" s="1649" t="n">
        <v>25.42</v>
      </c>
      <c r="I3453" s="1705" t="n"/>
      <c r="J3453" s="1706" t="n"/>
      <c r="K3453" s="1649" t="n">
        <v>26.47</v>
      </c>
      <c r="L3453" s="1705" t="n"/>
      <c r="M3453" s="1706" t="n"/>
      <c r="N3453" s="1649" t="n">
        <v>25.9</v>
      </c>
      <c r="O3453" s="1705" t="n"/>
      <c r="P3453" s="1706" t="n"/>
    </row>
    <row r="3454" ht="15.75" customHeight="1" s="2">
      <c r="A3454" s="462" t="inlineStr">
        <is>
          <t>Wage % to Total Receipts</t>
        </is>
      </c>
      <c r="B3454" s="1337">
        <f>B3459/B3450</f>
        <v/>
      </c>
      <c r="C3454" s="1384">
        <f>C3459/C3450</f>
        <v/>
      </c>
      <c r="D3454" s="1375">
        <f>D3459/D3450</f>
        <v/>
      </c>
      <c r="E3454" s="1337">
        <f>E3459/E3450</f>
        <v/>
      </c>
      <c r="F3454" s="1384">
        <f>F3459/F3450</f>
        <v/>
      </c>
      <c r="G3454" s="1375">
        <f>G3459/G3450</f>
        <v/>
      </c>
      <c r="H3454" s="1337">
        <f>H3459/H3450</f>
        <v/>
      </c>
      <c r="I3454" s="1384">
        <f>I3459/I3450</f>
        <v/>
      </c>
      <c r="J3454" s="1375">
        <f>J3459/J3450</f>
        <v/>
      </c>
      <c r="K3454" s="1337">
        <f>K3459/K3450</f>
        <v/>
      </c>
      <c r="L3454" s="1384">
        <f>L3459/L3450</f>
        <v/>
      </c>
      <c r="M3454" s="1375">
        <f>M3459/M3450</f>
        <v/>
      </c>
      <c r="N3454" s="1337">
        <f>N3459/N3450</f>
        <v/>
      </c>
      <c r="O3454" s="1384">
        <f>O3459/O3450</f>
        <v/>
      </c>
      <c r="P3454" s="1375">
        <f>P3459/P3450</f>
        <v/>
      </c>
    </row>
    <row r="3455" ht="15.75" customHeight="1" s="2">
      <c r="A3455" s="462" t="inlineStr">
        <is>
          <t>Wage % to Nett Sales</t>
        </is>
      </c>
      <c r="B3455" s="1337">
        <f>B3459/B3451</f>
        <v/>
      </c>
      <c r="C3455" s="1384">
        <f>C3459/C3451</f>
        <v/>
      </c>
      <c r="D3455" s="1375">
        <f>D3459/D3451</f>
        <v/>
      </c>
      <c r="E3455" s="1337">
        <f>E3459/E3451</f>
        <v/>
      </c>
      <c r="F3455" s="1384">
        <f>F3459/F3451</f>
        <v/>
      </c>
      <c r="G3455" s="1375">
        <f>G3459/G3451</f>
        <v/>
      </c>
      <c r="H3455" s="1337">
        <f>H3459/H3451</f>
        <v/>
      </c>
      <c r="I3455" s="1384">
        <f>I3459/I3451</f>
        <v/>
      </c>
      <c r="J3455" s="1375">
        <f>J3459/J3451</f>
        <v/>
      </c>
      <c r="K3455" s="1337">
        <f>K3459/K3451</f>
        <v/>
      </c>
      <c r="L3455" s="1384">
        <f>L3459/L3451</f>
        <v/>
      </c>
      <c r="M3455" s="1375">
        <f>M3459/M3451</f>
        <v/>
      </c>
      <c r="N3455" s="1337">
        <f>N3459/N3451</f>
        <v/>
      </c>
      <c r="O3455" s="1384">
        <f>O3459/O3451</f>
        <v/>
      </c>
      <c r="P3455" s="1375">
        <f>P3459/P3451</f>
        <v/>
      </c>
    </row>
    <row r="3456" ht="15.75" customHeight="1" s="2">
      <c r="A3456" s="462" t="inlineStr">
        <is>
          <t>Productivity</t>
        </is>
      </c>
      <c r="B3456" s="1339">
        <f>B3452/B3458</f>
        <v/>
      </c>
      <c r="C3456" s="1385">
        <f>C3452/C3458</f>
        <v/>
      </c>
      <c r="D3456" s="1376">
        <f>D3452/D3458</f>
        <v/>
      </c>
      <c r="E3456" s="1339">
        <f>E3452/E3458</f>
        <v/>
      </c>
      <c r="F3456" s="1385">
        <f>F3452/F3458</f>
        <v/>
      </c>
      <c r="G3456" s="1376">
        <f>G3452/G3458</f>
        <v/>
      </c>
      <c r="H3456" s="1339">
        <f>H3452/H3458</f>
        <v/>
      </c>
      <c r="I3456" s="1385">
        <f>I3452/I3458</f>
        <v/>
      </c>
      <c r="J3456" s="1376">
        <f>J3452/J3458</f>
        <v/>
      </c>
      <c r="K3456" s="1339">
        <f>K3452/K3458</f>
        <v/>
      </c>
      <c r="L3456" s="1385">
        <f>L3452/L3458</f>
        <v/>
      </c>
      <c r="M3456" s="1376">
        <f>M3452/M3458</f>
        <v/>
      </c>
      <c r="N3456" s="1339">
        <f>N3452/N3458</f>
        <v/>
      </c>
      <c r="O3456" s="1385">
        <f>O3452/O3458</f>
        <v/>
      </c>
      <c r="P3456" s="1376">
        <f>P3452/P3458</f>
        <v/>
      </c>
    </row>
    <row r="3457" ht="15.75" customHeight="1" s="2">
      <c r="A3457" s="462" t="inlineStr">
        <is>
          <t>Average Hourly Rate</t>
        </is>
      </c>
      <c r="B3457" s="1649" t="n">
        <v>42.78</v>
      </c>
      <c r="C3457" s="1385" t="n"/>
      <c r="D3457" s="1706" t="n"/>
      <c r="E3457" s="1649" t="n">
        <v>43.62</v>
      </c>
      <c r="F3457" s="1385" t="n"/>
      <c r="G3457" s="1706" t="n"/>
      <c r="H3457" s="1649" t="n">
        <v>44.26</v>
      </c>
      <c r="I3457" s="1385" t="n"/>
      <c r="J3457" s="1706" t="n"/>
      <c r="K3457" s="1649" t="n">
        <v>44.4</v>
      </c>
      <c r="L3457" s="1385" t="n"/>
      <c r="M3457" s="1706" t="n"/>
      <c r="N3457" s="1649" t="n">
        <v>43</v>
      </c>
      <c r="O3457" s="1385" t="n"/>
      <c r="P3457" s="1706" t="n"/>
    </row>
    <row r="3458" ht="15.75" customHeight="1" s="2">
      <c r="A3458" s="462" t="inlineStr">
        <is>
          <t>Total hours for productivity</t>
        </is>
      </c>
      <c r="B3458" s="466" t="n">
        <v>1078.75</v>
      </c>
      <c r="C3458" s="1385" t="n"/>
      <c r="D3458" s="1377" t="n"/>
      <c r="E3458" s="466" t="n">
        <v>889.75</v>
      </c>
      <c r="F3458" s="1385" t="n"/>
      <c r="G3458" s="1377" t="n"/>
      <c r="H3458" s="466" t="n">
        <v>941.5</v>
      </c>
      <c r="I3458" s="1385" t="n"/>
      <c r="J3458" s="1377" t="n"/>
      <c r="K3458" s="466" t="n">
        <v>1032.5</v>
      </c>
      <c r="L3458" s="1385" t="n"/>
      <c r="M3458" s="1377" t="n"/>
      <c r="N3458" s="466" t="n">
        <v>895.75</v>
      </c>
      <c r="O3458" s="1385" t="n"/>
      <c r="P3458" s="1377" t="n"/>
    </row>
    <row r="3459" ht="15.75" customHeight="1" s="2">
      <c r="A3459" s="462" t="inlineStr">
        <is>
          <t>wage costed</t>
        </is>
      </c>
      <c r="B3459" s="1340">
        <f>B3458*B3457</f>
        <v/>
      </c>
      <c r="C3459" s="1386">
        <f>C3458*C3457</f>
        <v/>
      </c>
      <c r="D3459" s="1378">
        <f>D3458*D3457</f>
        <v/>
      </c>
      <c r="E3459" s="1340">
        <f>E3458*E3457</f>
        <v/>
      </c>
      <c r="F3459" s="1386">
        <f>F3458*F3457</f>
        <v/>
      </c>
      <c r="G3459" s="1378">
        <f>G3458*G3457</f>
        <v/>
      </c>
      <c r="H3459" s="1340">
        <f>H3458*H3457</f>
        <v/>
      </c>
      <c r="I3459" s="1386">
        <f>I3458*I3457</f>
        <v/>
      </c>
      <c r="J3459" s="1378">
        <f>J3458*J3457</f>
        <v/>
      </c>
      <c r="K3459" s="1340">
        <f>K3458*K3457</f>
        <v/>
      </c>
      <c r="L3459" s="1386">
        <f>L3458*L3457</f>
        <v/>
      </c>
      <c r="M3459" s="1378">
        <f>M3458*M3457</f>
        <v/>
      </c>
      <c r="N3459" s="1340">
        <f>N3458*N3457</f>
        <v/>
      </c>
      <c r="O3459" s="1386">
        <f>O3458*O3457</f>
        <v/>
      </c>
      <c r="P3459" s="1378">
        <f>P3458*P3457</f>
        <v/>
      </c>
    </row>
    <row r="3460" ht="15.75" customHeight="1" s="2" thickBot="1">
      <c r="A3460" s="474" t="inlineStr">
        <is>
          <t>Number of hours used to cover sick leave</t>
        </is>
      </c>
      <c r="B3460" s="476" t="n">
        <v>23.5</v>
      </c>
      <c r="C3460" s="1387" t="n"/>
      <c r="D3460" s="1379" t="n"/>
      <c r="E3460" s="476" t="n"/>
      <c r="F3460" s="1387" t="n"/>
      <c r="G3460" s="1379" t="n"/>
      <c r="H3460" s="476" t="n">
        <v>22.5</v>
      </c>
      <c r="I3460" s="1387" t="n"/>
      <c r="J3460" s="1379" t="n"/>
      <c r="K3460" s="476" t="n">
        <v>20.5</v>
      </c>
      <c r="L3460" s="1387" t="n"/>
      <c r="M3460" s="1379" t="n"/>
      <c r="N3460" s="476" t="n">
        <v>9.5</v>
      </c>
      <c r="O3460" s="1387" t="n"/>
      <c r="P3460" s="1379" t="n"/>
    </row>
    <row r="3461" ht="15.75" customHeight="1" s="2" thickBot="1">
      <c r="A3461" s="477" t="inlineStr">
        <is>
          <t xml:space="preserve">Minimum Hours </t>
        </is>
      </c>
      <c r="B3461" s="935" t="n"/>
      <c r="C3461" s="1388" t="inlineStr">
        <is>
          <t>Projected</t>
        </is>
      </c>
      <c r="D3461" s="1391" t="inlineStr">
        <is>
          <t>Min Hrs</t>
        </is>
      </c>
      <c r="E3461" s="935" t="n"/>
      <c r="F3461" s="1388" t="inlineStr">
        <is>
          <t>Projected</t>
        </is>
      </c>
      <c r="G3461" s="1391" t="inlineStr">
        <is>
          <t>Min Hrs</t>
        </is>
      </c>
      <c r="H3461" s="935" t="n"/>
      <c r="I3461" s="1388" t="inlineStr">
        <is>
          <t>Projected</t>
        </is>
      </c>
      <c r="J3461" s="1391" t="inlineStr">
        <is>
          <t>Min Hrs</t>
        </is>
      </c>
      <c r="K3461" s="935" t="n"/>
      <c r="L3461" s="1388" t="inlineStr">
        <is>
          <t>Projected</t>
        </is>
      </c>
      <c r="M3461" s="1391" t="inlineStr">
        <is>
          <t>Min Hrs</t>
        </is>
      </c>
      <c r="N3461" s="935" t="n"/>
      <c r="O3461" s="1388" t="inlineStr">
        <is>
          <t>Projected</t>
        </is>
      </c>
      <c r="P3461" s="1391" t="inlineStr">
        <is>
          <t>Min Hrs</t>
        </is>
      </c>
    </row>
    <row r="3462" ht="15.75" customHeight="1" s="2">
      <c r="A3462" s="479" t="inlineStr">
        <is>
          <t>Floor</t>
        </is>
      </c>
      <c r="B3462" s="810" t="n"/>
      <c r="C3462" s="1389" t="n"/>
      <c r="D3462" s="1392" t="n"/>
      <c r="E3462" s="810" t="n"/>
      <c r="F3462" s="1389" t="n"/>
      <c r="G3462" s="1392" t="n"/>
      <c r="H3462" s="810" t="n"/>
      <c r="I3462" s="1389" t="n"/>
      <c r="J3462" s="1392" t="n"/>
      <c r="K3462" s="810" t="n"/>
      <c r="L3462" s="1389" t="n"/>
      <c r="M3462" s="1392" t="n"/>
      <c r="N3462" s="810" t="n"/>
      <c r="O3462" s="1389" t="n"/>
      <c r="P3462" s="1392" t="n"/>
    </row>
    <row r="3463" ht="15.75" customHeight="1" s="2" thickBot="1">
      <c r="A3463" s="481" t="inlineStr">
        <is>
          <t>Kitchen</t>
        </is>
      </c>
      <c r="B3463" s="813" t="n"/>
      <c r="C3463" s="1387" t="n"/>
      <c r="D3463" s="1393" t="n"/>
      <c r="E3463" s="813" t="n"/>
      <c r="F3463" s="1390" t="n"/>
      <c r="G3463" s="1393" t="n"/>
      <c r="H3463" s="813" t="n"/>
      <c r="I3463" s="1390" t="n"/>
      <c r="J3463" s="1393" t="n"/>
      <c r="K3463" s="813" t="n"/>
      <c r="L3463" s="1390" t="n"/>
      <c r="M3463" s="1393" t="n"/>
      <c r="N3463" s="813" t="n"/>
      <c r="O3463" s="1387" t="n"/>
      <c r="P3463" s="1393" t="n"/>
    </row>
    <row r="3464" ht="15.75" customHeight="1" s="2" thickBot="1">
      <c r="A3464" s="834" t="n"/>
      <c r="B3464" s="836" t="n"/>
      <c r="C3464" s="1220" t="n"/>
      <c r="D3464" s="1220" t="n"/>
      <c r="E3464" s="839" t="n"/>
      <c r="F3464" s="1220" t="n"/>
      <c r="G3464" s="1220" t="n"/>
      <c r="H3464" s="839" t="n"/>
      <c r="I3464" s="1220" t="n"/>
      <c r="J3464" s="1220" t="n"/>
      <c r="K3464" s="839" t="n"/>
      <c r="L3464" s="1220" t="n"/>
      <c r="M3464" s="1220" t="n"/>
      <c r="N3464" s="839" t="n"/>
      <c r="O3464" s="835" t="n"/>
      <c r="P3464" s="835" t="n"/>
    </row>
    <row r="3465" ht="15.75" customHeight="1" s="2">
      <c r="A3465" s="506" t="inlineStr">
        <is>
          <t>Training explanation</t>
        </is>
      </c>
      <c r="B3465" s="837" t="n"/>
      <c r="C3465" s="1220" t="n"/>
      <c r="D3465" s="1220" t="n"/>
      <c r="E3465" s="837" t="n"/>
      <c r="F3465" s="1220" t="n"/>
      <c r="G3465" s="1220" t="n"/>
      <c r="H3465" s="837" t="n"/>
      <c r="I3465" s="1220" t="n"/>
      <c r="J3465" s="1220" t="n"/>
      <c r="K3465" s="837" t="n"/>
      <c r="L3465" s="1220" t="n"/>
      <c r="M3465" s="1220" t="n"/>
      <c r="N3465" s="837" t="n"/>
      <c r="O3465" s="835" t="n"/>
      <c r="P3465" s="835" t="n"/>
    </row>
    <row r="3466" ht="15.75" customHeight="1" s="2" thickBot="1">
      <c r="A3466" s="506" t="inlineStr">
        <is>
          <t>Who is being Trained</t>
        </is>
      </c>
      <c r="B3466" s="838" t="n"/>
      <c r="C3466" s="1221" t="n"/>
      <c r="D3466" s="1221" t="n"/>
      <c r="E3466" s="838" t="n"/>
      <c r="F3466" s="1221" t="n"/>
      <c r="G3466" s="1221" t="n"/>
      <c r="H3466" s="838" t="n"/>
      <c r="I3466" s="1221" t="n"/>
      <c r="J3466" s="1221" t="n"/>
      <c r="K3466" s="838" t="n"/>
      <c r="L3466" s="1221" t="n"/>
      <c r="M3466" s="1221" t="n"/>
      <c r="N3466" s="838" t="n"/>
    </row>
    <row r="3467" ht="15.75" customHeight="1" s="2" thickBot="1">
      <c r="A3467" s="506" t="n"/>
      <c r="C3467" s="523" t="inlineStr">
        <is>
          <t>floor</t>
        </is>
      </c>
      <c r="D3467" s="524" t="inlineStr">
        <is>
          <t>kitchen</t>
        </is>
      </c>
      <c r="E3467" s="509" t="n"/>
      <c r="F3467" s="507" t="inlineStr">
        <is>
          <t>floor</t>
        </is>
      </c>
      <c r="G3467" s="508" t="inlineStr">
        <is>
          <t>kitchen</t>
        </is>
      </c>
      <c r="H3467" s="510" t="n"/>
      <c r="I3467" s="535" t="inlineStr">
        <is>
          <t>floor</t>
        </is>
      </c>
      <c r="J3467" s="511" t="inlineStr">
        <is>
          <t>kitchen</t>
        </is>
      </c>
      <c r="K3467" s="512" t="n"/>
      <c r="L3467" s="535" t="inlineStr">
        <is>
          <t>floor</t>
        </is>
      </c>
      <c r="M3467" s="513" t="inlineStr">
        <is>
          <t>kitchen</t>
        </is>
      </c>
      <c r="N3467" s="512" t="n"/>
      <c r="O3467" s="535" t="inlineStr">
        <is>
          <t>floor</t>
        </is>
      </c>
      <c r="P3467" s="513" t="inlineStr">
        <is>
          <t>kitchen</t>
        </is>
      </c>
    </row>
    <row r="3468" ht="15.75" customHeight="1" s="2">
      <c r="A3468" s="506" t="n"/>
      <c r="C3468" s="525" t="n"/>
      <c r="D3468" s="527" t="n"/>
      <c r="E3468" s="514" t="n"/>
      <c r="F3468" s="525" t="n"/>
      <c r="G3468" s="527" t="n"/>
      <c r="H3468" s="515" t="n"/>
      <c r="I3468" s="531" t="n"/>
      <c r="J3468" s="824" t="n"/>
      <c r="K3468" s="515" t="n"/>
      <c r="L3468" s="536" t="n"/>
      <c r="M3468" s="532" t="n"/>
      <c r="N3468" s="515" t="n"/>
      <c r="O3468" s="536" t="n"/>
      <c r="P3468" s="532" t="n"/>
    </row>
    <row r="3469" ht="15.75" customHeight="1" s="2">
      <c r="C3469" s="891" t="n"/>
      <c r="D3469" s="526" t="n"/>
      <c r="E3469" s="514" t="n"/>
      <c r="F3469" s="891" t="n"/>
      <c r="G3469" s="526" t="n"/>
      <c r="H3469" s="516" t="n"/>
      <c r="I3469" s="1656" t="n"/>
      <c r="J3469" s="530" t="n"/>
      <c r="K3469" s="516" t="n"/>
      <c r="L3469" s="542" t="n"/>
      <c r="M3469" s="530" t="n"/>
      <c r="N3469" s="516" t="n"/>
      <c r="O3469" s="542" t="n"/>
      <c r="P3469" s="530" t="n"/>
    </row>
    <row r="3470" ht="15.75" customHeight="1" s="2">
      <c r="C3470" s="550" t="n"/>
      <c r="D3470" s="527" t="n"/>
      <c r="E3470" s="514" t="n"/>
      <c r="F3470" s="531" t="n"/>
      <c r="G3470" s="530" t="n"/>
      <c r="H3470" s="516" t="n"/>
      <c r="I3470" s="537" t="n"/>
      <c r="J3470" s="530" t="n"/>
      <c r="K3470" s="516" t="n"/>
      <c r="L3470" s="1657" t="n"/>
      <c r="M3470" s="539" t="n"/>
      <c r="N3470" s="516" t="n"/>
      <c r="O3470" s="542" t="n"/>
      <c r="P3470" s="539" t="n"/>
    </row>
    <row r="3471" ht="15.75" customHeight="1" s="2">
      <c r="C3471" s="561" t="n"/>
      <c r="D3471" s="561" t="n"/>
      <c r="E3471" s="519" t="n"/>
      <c r="F3471" s="517" t="n"/>
      <c r="G3471" s="1659" t="n"/>
      <c r="H3471" s="516" t="n"/>
      <c r="I3471" s="537" t="n"/>
      <c r="J3471" s="530" t="n"/>
      <c r="K3471" s="516" t="n"/>
      <c r="L3471" s="537" t="n"/>
      <c r="M3471" s="539" t="n"/>
      <c r="N3471" s="516" t="n"/>
      <c r="O3471" s="537" t="n"/>
      <c r="P3471" s="539" t="n"/>
    </row>
    <row r="3472" ht="15.75" customHeight="1" s="2">
      <c r="C3472" s="551" t="n"/>
      <c r="D3472" s="528" t="n"/>
      <c r="E3472" s="519" t="n"/>
      <c r="F3472" s="517" t="n"/>
      <c r="G3472" s="518" t="n"/>
      <c r="H3472" s="516" t="n"/>
      <c r="I3472" s="537" t="n"/>
      <c r="J3472" s="533" t="n"/>
      <c r="K3472" s="516" t="n"/>
      <c r="L3472" s="537" t="n"/>
      <c r="M3472" s="540" t="n"/>
      <c r="N3472" s="516" t="n"/>
      <c r="O3472" s="537" t="n"/>
      <c r="P3472" s="540" t="n"/>
    </row>
    <row r="3473" ht="15.75" customHeight="1" s="2">
      <c r="C3473" s="550" t="n"/>
      <c r="D3473" s="527" t="n"/>
      <c r="E3473" s="514" t="n"/>
      <c r="F3473" s="531" t="n"/>
      <c r="G3473" s="530" t="n"/>
      <c r="H3473" s="516" t="n"/>
      <c r="I3473" s="537" t="n"/>
      <c r="J3473" s="530" t="n"/>
      <c r="K3473" s="516" t="n"/>
      <c r="L3473" s="1657" t="n"/>
      <c r="M3473" s="539" t="n"/>
      <c r="N3473" s="516" t="n"/>
      <c r="O3473" s="542" t="n"/>
      <c r="P3473" s="539" t="n"/>
    </row>
    <row r="3474" ht="15.75" customHeight="1" s="2">
      <c r="C3474" s="561" t="n"/>
      <c r="D3474" s="561" t="n"/>
      <c r="E3474" s="519" t="n"/>
      <c r="F3474" s="517" t="n"/>
      <c r="G3474" s="1659" t="n"/>
      <c r="H3474" s="516" t="n"/>
      <c r="I3474" s="537" t="n"/>
      <c r="J3474" s="530" t="n"/>
      <c r="K3474" s="516" t="n"/>
      <c r="L3474" s="537" t="n"/>
      <c r="M3474" s="539" t="n"/>
      <c r="N3474" s="516" t="n"/>
      <c r="O3474" s="537" t="n"/>
      <c r="P3474" s="539" t="n"/>
    </row>
    <row r="3475" ht="15.75" customHeight="1" s="2">
      <c r="C3475" s="551" t="n"/>
      <c r="D3475" s="528" t="n"/>
      <c r="E3475" s="519" t="n"/>
      <c r="F3475" s="517" t="n"/>
      <c r="G3475" s="518" t="n"/>
      <c r="H3475" s="516" t="n"/>
      <c r="I3475" s="537" t="n"/>
      <c r="J3475" s="533" t="n"/>
      <c r="K3475" s="516" t="n"/>
      <c r="L3475" s="537" t="n"/>
      <c r="M3475" s="540" t="n"/>
      <c r="N3475" s="516" t="n"/>
      <c r="O3475" s="537" t="n"/>
      <c r="P3475" s="540" t="n"/>
    </row>
    <row r="3477" ht="15.75" customHeight="1" s="2" thickBot="1"/>
    <row r="3478" ht="15.75" customHeight="1" s="2" thickBot="1">
      <c r="B3478" s="1482" t="n"/>
      <c r="C3478" s="1483" t="n"/>
      <c r="D3478" s="1484" t="n"/>
      <c r="E3478" s="1485" t="n"/>
      <c r="F3478" s="1486" t="n"/>
      <c r="G3478" s="1487" t="n"/>
      <c r="H3478" s="1485" t="n"/>
      <c r="I3478" s="1486" t="n"/>
      <c r="J3478" s="1487" t="n"/>
      <c r="K3478" s="1485" t="n"/>
      <c r="L3478" s="1486" t="n"/>
      <c r="M3478" s="1487" t="n"/>
      <c r="N3478" s="1488" t="n"/>
      <c r="O3478" s="1489" t="n"/>
      <c r="P3478" s="1490" t="n"/>
    </row>
    <row r="3479" ht="15.75" customHeight="1" s="2" thickBot="1">
      <c r="A3479" s="455" t="n"/>
      <c r="B3479" s="1394" t="inlineStr">
        <is>
          <t>LAST YEAR</t>
        </is>
      </c>
      <c r="C3479" s="1395" t="inlineStr">
        <is>
          <t>Projected</t>
        </is>
      </c>
      <c r="D3479" s="1396" t="inlineStr">
        <is>
          <t>Actual</t>
        </is>
      </c>
      <c r="E3479" s="1394" t="inlineStr">
        <is>
          <t>LAST YEAR</t>
        </is>
      </c>
      <c r="F3479" s="1395" t="inlineStr">
        <is>
          <t>Projected</t>
        </is>
      </c>
      <c r="G3479" s="1396" t="inlineStr">
        <is>
          <t>Actual</t>
        </is>
      </c>
      <c r="H3479" s="1394" t="inlineStr">
        <is>
          <t>LAST YEAR</t>
        </is>
      </c>
      <c r="I3479" s="1395" t="inlineStr">
        <is>
          <t>Projected</t>
        </is>
      </c>
      <c r="J3479" s="1396" t="inlineStr">
        <is>
          <t>Actual</t>
        </is>
      </c>
      <c r="K3479" s="1394" t="inlineStr">
        <is>
          <t>LAST YEAR</t>
        </is>
      </c>
      <c r="L3479" s="1395" t="inlineStr">
        <is>
          <t>Projected</t>
        </is>
      </c>
      <c r="M3479" s="1396" t="inlineStr">
        <is>
          <t>Actual</t>
        </is>
      </c>
      <c r="N3479" s="1394" t="inlineStr">
        <is>
          <t>LAST YEAR</t>
        </is>
      </c>
      <c r="O3479" s="1395" t="inlineStr">
        <is>
          <t>Projected</t>
        </is>
      </c>
      <c r="P3479" s="1396" t="inlineStr">
        <is>
          <t>Actual</t>
        </is>
      </c>
    </row>
    <row r="3480" ht="15.75" customHeight="1" s="2">
      <c r="A3480" s="459" t="inlineStr">
        <is>
          <t>Total Receipts</t>
        </is>
      </c>
      <c r="B3480" s="1645" t="n">
        <v>115561.19</v>
      </c>
      <c r="C3480" s="1700" t="n"/>
      <c r="D3480" s="1701" t="n"/>
      <c r="E3480" s="1645" t="n">
        <v>127189.72</v>
      </c>
      <c r="F3480" s="1700" t="n"/>
      <c r="G3480" s="1701" t="n"/>
      <c r="H3480" s="1645" t="n">
        <v>114901.15</v>
      </c>
      <c r="I3480" s="1700" t="n"/>
      <c r="J3480" s="1701" t="n"/>
      <c r="K3480" s="1645" t="n">
        <v>124868.86</v>
      </c>
      <c r="L3480" s="1700" t="n"/>
      <c r="M3480" s="1701" t="n"/>
      <c r="N3480" s="1645" t="n">
        <v>135674.2</v>
      </c>
      <c r="O3480" s="1700" t="n"/>
      <c r="P3480" s="1701" t="n"/>
    </row>
    <row r="3481" ht="15.75" customHeight="1" s="2">
      <c r="A3481" s="462" t="inlineStr">
        <is>
          <t>Nett Sales</t>
        </is>
      </c>
      <c r="B3481" s="1625" t="n">
        <v>105055.63</v>
      </c>
      <c r="C3481" s="1702" t="n"/>
      <c r="D3481" s="1703" t="n"/>
      <c r="E3481" s="1625" t="n">
        <v>115627.02</v>
      </c>
      <c r="F3481" s="1702" t="n"/>
      <c r="G3481" s="1703" t="n"/>
      <c r="H3481" s="1625" t="n">
        <v>104455.59</v>
      </c>
      <c r="I3481" s="1702" t="n"/>
      <c r="J3481" s="1703" t="n"/>
      <c r="K3481" s="1625" t="n">
        <v>113517.15</v>
      </c>
      <c r="L3481" s="1702" t="n"/>
      <c r="M3481" s="1703" t="n"/>
      <c r="N3481" s="1625" t="n">
        <v>123340.18</v>
      </c>
      <c r="O3481" s="1702" t="n"/>
      <c r="P3481" s="1703" t="n"/>
    </row>
    <row r="3482" ht="15.75" customHeight="1" s="2">
      <c r="A3482" s="462" t="inlineStr">
        <is>
          <t>Customers</t>
        </is>
      </c>
      <c r="B3482" s="1655" t="n">
        <v>4630</v>
      </c>
      <c r="C3482" s="1382" t="n"/>
      <c r="D3482" s="1704" t="n"/>
      <c r="E3482" s="1655" t="n">
        <v>5128</v>
      </c>
      <c r="F3482" s="1382" t="n"/>
      <c r="G3482" s="1704" t="n"/>
      <c r="H3482" s="1655" t="n">
        <v>4358</v>
      </c>
      <c r="I3482" s="1382" t="n"/>
      <c r="J3482" s="1704" t="n"/>
      <c r="K3482" s="1655" t="n">
        <v>4737</v>
      </c>
      <c r="L3482" s="1382" t="n"/>
      <c r="M3482" s="1704" t="n"/>
      <c r="N3482" s="1655" t="n">
        <v>5127</v>
      </c>
      <c r="O3482" s="1382" t="n"/>
      <c r="P3482" s="1704" t="n"/>
    </row>
    <row r="3483" ht="15.75" customHeight="1" s="2">
      <c r="A3483" s="462" t="inlineStr">
        <is>
          <t>Average Customer Spend</t>
        </is>
      </c>
      <c r="B3483" s="1649" t="n">
        <v>24.95</v>
      </c>
      <c r="C3483" s="1705" t="n"/>
      <c r="D3483" s="1706" t="n"/>
      <c r="E3483" s="1649" t="n">
        <v>24.8</v>
      </c>
      <c r="F3483" s="1705" t="n"/>
      <c r="G3483" s="1706" t="n"/>
      <c r="H3483" s="1649" t="n">
        <v>26.36</v>
      </c>
      <c r="I3483" s="1705" t="n"/>
      <c r="J3483" s="1706" t="n"/>
      <c r="K3483" s="1649" t="n">
        <v>26.36</v>
      </c>
      <c r="L3483" s="1705" t="n"/>
      <c r="M3483" s="1706" t="n"/>
      <c r="N3483" s="1649" t="n">
        <v>26.46</v>
      </c>
      <c r="O3483" s="1705" t="n"/>
      <c r="P3483" s="1706" t="n"/>
    </row>
    <row r="3484" ht="15.75" customHeight="1" s="2">
      <c r="A3484" s="462" t="inlineStr">
        <is>
          <t>Wage % to Total Receipts</t>
        </is>
      </c>
      <c r="B3484" s="1337">
        <f>B3489/B3480</f>
        <v/>
      </c>
      <c r="C3484" s="1384">
        <f>C3489/C3480</f>
        <v/>
      </c>
      <c r="D3484" s="1375">
        <f>D3489/D3480</f>
        <v/>
      </c>
      <c r="E3484" s="1337">
        <f>E3489/E3480</f>
        <v/>
      </c>
      <c r="F3484" s="1384">
        <f>F3489/F3480</f>
        <v/>
      </c>
      <c r="G3484" s="1375">
        <f>G3489/G3480</f>
        <v/>
      </c>
      <c r="H3484" s="1337">
        <f>H3489/H3480</f>
        <v/>
      </c>
      <c r="I3484" s="1384">
        <f>I3489/I3480</f>
        <v/>
      </c>
      <c r="J3484" s="1375">
        <f>J3489/J3480</f>
        <v/>
      </c>
      <c r="K3484" s="1337">
        <f>K3489/K3480</f>
        <v/>
      </c>
      <c r="L3484" s="1384">
        <f>L3489/L3480</f>
        <v/>
      </c>
      <c r="M3484" s="1375">
        <f>M3489/M3480</f>
        <v/>
      </c>
      <c r="N3484" s="1337">
        <f>N3489/N3480</f>
        <v/>
      </c>
      <c r="O3484" s="1384">
        <f>O3489/O3480</f>
        <v/>
      </c>
      <c r="P3484" s="1375">
        <f>P3489/P3480</f>
        <v/>
      </c>
    </row>
    <row r="3485" ht="15.75" customHeight="1" s="2">
      <c r="A3485" s="462" t="inlineStr">
        <is>
          <t>Wage % to Nett Sales</t>
        </is>
      </c>
      <c r="B3485" s="1337">
        <f>B3489/B3481</f>
        <v/>
      </c>
      <c r="C3485" s="1384">
        <f>C3489/C3481</f>
        <v/>
      </c>
      <c r="D3485" s="1375">
        <f>D3489/D3481</f>
        <v/>
      </c>
      <c r="E3485" s="1337">
        <f>E3489/E3481</f>
        <v/>
      </c>
      <c r="F3485" s="1384">
        <f>F3489/F3481</f>
        <v/>
      </c>
      <c r="G3485" s="1375">
        <f>G3489/G3481</f>
        <v/>
      </c>
      <c r="H3485" s="1337">
        <f>H3489/H3481</f>
        <v/>
      </c>
      <c r="I3485" s="1384">
        <f>I3489/I3481</f>
        <v/>
      </c>
      <c r="J3485" s="1375">
        <f>J3489/J3481</f>
        <v/>
      </c>
      <c r="K3485" s="1337">
        <f>K3489/K3481</f>
        <v/>
      </c>
      <c r="L3485" s="1384">
        <f>L3489/L3481</f>
        <v/>
      </c>
      <c r="M3485" s="1375">
        <f>M3489/M3481</f>
        <v/>
      </c>
      <c r="N3485" s="1337">
        <f>N3489/N3481</f>
        <v/>
      </c>
      <c r="O3485" s="1384">
        <f>O3489/O3481</f>
        <v/>
      </c>
      <c r="P3485" s="1375">
        <f>P3489/P3481</f>
        <v/>
      </c>
    </row>
    <row r="3486" ht="15.75" customHeight="1" s="2">
      <c r="A3486" s="462" t="inlineStr">
        <is>
          <t>Productivity</t>
        </is>
      </c>
      <c r="B3486" s="1339">
        <f>B3482/B3488</f>
        <v/>
      </c>
      <c r="C3486" s="1385">
        <f>C3482/C3488</f>
        <v/>
      </c>
      <c r="D3486" s="1376">
        <f>D3482/D3488</f>
        <v/>
      </c>
      <c r="E3486" s="1339">
        <f>E3482/E3488</f>
        <v/>
      </c>
      <c r="F3486" s="1385">
        <f>F3482/F3488</f>
        <v/>
      </c>
      <c r="G3486" s="1376">
        <f>G3482/G3488</f>
        <v/>
      </c>
      <c r="H3486" s="1339">
        <f>H3482/H3488</f>
        <v/>
      </c>
      <c r="I3486" s="1385">
        <f>I3482/I3488</f>
        <v/>
      </c>
      <c r="J3486" s="1376">
        <f>J3482/J3488</f>
        <v/>
      </c>
      <c r="K3486" s="1339">
        <f>K3482/K3488</f>
        <v/>
      </c>
      <c r="L3486" s="1385">
        <f>L3482/L3488</f>
        <v/>
      </c>
      <c r="M3486" s="1376">
        <f>M3482/M3488</f>
        <v/>
      </c>
      <c r="N3486" s="1339">
        <f>N3482/N3488</f>
        <v/>
      </c>
      <c r="O3486" s="1385">
        <f>O3482/O3488</f>
        <v/>
      </c>
      <c r="P3486" s="1376">
        <f>P3482/P3488</f>
        <v/>
      </c>
    </row>
    <row r="3487" ht="15.75" customHeight="1" s="2">
      <c r="A3487" s="462" t="inlineStr">
        <is>
          <t>Average Hourly Rate</t>
        </is>
      </c>
      <c r="B3487" s="1649" t="n">
        <v>44.72</v>
      </c>
      <c r="C3487" s="1385" t="n"/>
      <c r="D3487" s="1706" t="n"/>
      <c r="E3487" s="1649" t="n">
        <v>44.66</v>
      </c>
      <c r="F3487" s="1385" t="n"/>
      <c r="G3487" s="1706" t="n"/>
      <c r="H3487" s="1649" t="n">
        <v>46.21</v>
      </c>
      <c r="I3487" s="1385" t="n"/>
      <c r="J3487" s="1706" t="n"/>
      <c r="K3487" s="1649" t="n">
        <v>45</v>
      </c>
      <c r="L3487" s="1385" t="n"/>
      <c r="M3487" s="1706" t="n"/>
      <c r="N3487" s="1649" t="n">
        <v>41.52</v>
      </c>
      <c r="O3487" s="1385" t="n"/>
      <c r="P3487" s="1706" t="n"/>
    </row>
    <row r="3488" ht="15.75" customHeight="1" s="2">
      <c r="A3488" s="462" t="inlineStr">
        <is>
          <t>Total hours for productivity</t>
        </is>
      </c>
      <c r="B3488" s="466" t="n">
        <v>894.75</v>
      </c>
      <c r="C3488" s="1385" t="n"/>
      <c r="D3488" s="1377" t="n"/>
      <c r="E3488" s="466" t="n">
        <v>877.5</v>
      </c>
      <c r="F3488" s="1385" t="n"/>
      <c r="G3488" s="1377" t="n"/>
      <c r="H3488" s="466" t="n">
        <v>881.25</v>
      </c>
      <c r="I3488" s="1385" t="n"/>
      <c r="J3488" s="1377" t="n"/>
      <c r="K3488" s="466" t="n">
        <v>916.25</v>
      </c>
      <c r="L3488" s="1385" t="n"/>
      <c r="M3488" s="1377" t="n"/>
      <c r="N3488" s="466" t="n">
        <v>1031.25</v>
      </c>
      <c r="O3488" s="1385" t="n"/>
      <c r="P3488" s="1377" t="n"/>
    </row>
    <row r="3489" ht="15.75" customHeight="1" s="2">
      <c r="A3489" s="462" t="inlineStr">
        <is>
          <t>wage costed</t>
        </is>
      </c>
      <c r="B3489" s="1340">
        <f>B3488*B3487</f>
        <v/>
      </c>
      <c r="C3489" s="1386">
        <f>C3488*C3487</f>
        <v/>
      </c>
      <c r="D3489" s="1378">
        <f>D3488*D3487</f>
        <v/>
      </c>
      <c r="E3489" s="1340">
        <f>E3488*E3487</f>
        <v/>
      </c>
      <c r="F3489" s="1386">
        <f>F3488*F3487</f>
        <v/>
      </c>
      <c r="G3489" s="1378">
        <f>G3488*G3487</f>
        <v/>
      </c>
      <c r="H3489" s="1340">
        <f>H3488*H3487</f>
        <v/>
      </c>
      <c r="I3489" s="1386">
        <f>I3488*I3487</f>
        <v/>
      </c>
      <c r="J3489" s="1378">
        <f>J3488*J3487</f>
        <v/>
      </c>
      <c r="K3489" s="1340">
        <f>K3488*K3487</f>
        <v/>
      </c>
      <c r="L3489" s="1386">
        <f>L3488*L3487</f>
        <v/>
      </c>
      <c r="M3489" s="1378">
        <f>M3488*M3487</f>
        <v/>
      </c>
      <c r="N3489" s="1340">
        <f>N3488*N3487</f>
        <v/>
      </c>
      <c r="O3489" s="1386">
        <f>O3488*O3487</f>
        <v/>
      </c>
      <c r="P3489" s="1378">
        <f>P3488*P3487</f>
        <v/>
      </c>
    </row>
    <row r="3490" ht="15.75" customHeight="1" s="2" thickBot="1">
      <c r="A3490" s="474" t="inlineStr">
        <is>
          <t>Number of hours used to cover sick leave</t>
        </is>
      </c>
      <c r="B3490" s="476" t="n">
        <v>44.75</v>
      </c>
      <c r="C3490" s="1387" t="n"/>
      <c r="D3490" s="1379" t="n"/>
      <c r="E3490" s="476" t="n">
        <v>34</v>
      </c>
      <c r="F3490" s="1387" t="n"/>
      <c r="G3490" s="1379" t="n"/>
      <c r="H3490" s="476" t="n">
        <v>62.75</v>
      </c>
      <c r="I3490" s="1387" t="n"/>
      <c r="J3490" s="1379" t="n"/>
      <c r="K3490" s="476" t="n">
        <v>39.75</v>
      </c>
      <c r="L3490" s="1387" t="n"/>
      <c r="M3490" s="1379" t="n"/>
      <c r="N3490" s="476" t="n">
        <v>12</v>
      </c>
      <c r="O3490" s="1387" t="n"/>
      <c r="P3490" s="1379" t="n"/>
    </row>
    <row r="3491" ht="15.75" customHeight="1" s="2" thickBot="1">
      <c r="A3491" s="477" t="inlineStr">
        <is>
          <t xml:space="preserve">Minimum Hours </t>
        </is>
      </c>
      <c r="B3491" s="935" t="n"/>
      <c r="C3491" s="1388" t="inlineStr">
        <is>
          <t>Projected</t>
        </is>
      </c>
      <c r="D3491" s="1391" t="inlineStr">
        <is>
          <t>Min Hrs</t>
        </is>
      </c>
      <c r="E3491" s="935" t="n"/>
      <c r="F3491" s="1388" t="inlineStr">
        <is>
          <t>Projected</t>
        </is>
      </c>
      <c r="G3491" s="1391" t="inlineStr">
        <is>
          <t>Min Hrs</t>
        </is>
      </c>
      <c r="H3491" s="935" t="n"/>
      <c r="I3491" s="1388" t="inlineStr">
        <is>
          <t>Projected</t>
        </is>
      </c>
      <c r="J3491" s="1391" t="inlineStr">
        <is>
          <t>Min Hrs</t>
        </is>
      </c>
      <c r="K3491" s="935" t="n"/>
      <c r="L3491" s="1388" t="inlineStr">
        <is>
          <t>Projected</t>
        </is>
      </c>
      <c r="M3491" s="1391" t="inlineStr">
        <is>
          <t>Min Hrs</t>
        </is>
      </c>
      <c r="N3491" s="935" t="n"/>
      <c r="O3491" s="1388" t="inlineStr">
        <is>
          <t>Projected</t>
        </is>
      </c>
      <c r="P3491" s="1391" t="inlineStr">
        <is>
          <t>Min Hrs</t>
        </is>
      </c>
    </row>
    <row r="3492" ht="15.75" customHeight="1" s="2">
      <c r="A3492" s="479" t="inlineStr">
        <is>
          <t>Floor</t>
        </is>
      </c>
      <c r="B3492" s="810" t="n"/>
      <c r="C3492" s="1389" t="n"/>
      <c r="D3492" s="1392" t="n"/>
      <c r="E3492" s="810" t="n"/>
      <c r="F3492" s="1389" t="n"/>
      <c r="G3492" s="1392" t="n"/>
      <c r="H3492" s="810" t="n"/>
      <c r="I3492" s="1389" t="n"/>
      <c r="J3492" s="1392" t="n"/>
      <c r="K3492" s="810" t="n"/>
      <c r="L3492" s="1389" t="n"/>
      <c r="M3492" s="1392" t="n"/>
      <c r="N3492" s="810" t="n"/>
      <c r="O3492" s="1389" t="n"/>
      <c r="P3492" s="1392" t="n"/>
    </row>
    <row r="3493" ht="15.75" customHeight="1" s="2" thickBot="1">
      <c r="A3493" s="481" t="inlineStr">
        <is>
          <t>Kitchen</t>
        </is>
      </c>
      <c r="B3493" s="813" t="n"/>
      <c r="C3493" s="1387" t="n"/>
      <c r="D3493" s="1393" t="n"/>
      <c r="E3493" s="813" t="n"/>
      <c r="F3493" s="1390" t="n"/>
      <c r="G3493" s="1393" t="n"/>
      <c r="H3493" s="813" t="n"/>
      <c r="I3493" s="1390" t="n"/>
      <c r="J3493" s="1393" t="n"/>
      <c r="K3493" s="813" t="n"/>
      <c r="L3493" s="1390" t="n"/>
      <c r="M3493" s="1393" t="n"/>
      <c r="N3493" s="813" t="n"/>
      <c r="O3493" s="1387" t="n"/>
      <c r="P3493" s="1393" t="n"/>
    </row>
    <row r="3494" ht="15.75" customHeight="1" s="2" thickBot="1">
      <c r="A3494" s="834" t="n"/>
      <c r="B3494" s="836" t="n"/>
      <c r="C3494" s="1220" t="n"/>
      <c r="D3494" s="1220" t="n"/>
      <c r="E3494" s="839" t="n"/>
      <c r="F3494" s="1220" t="n"/>
      <c r="G3494" s="1220" t="n"/>
      <c r="H3494" s="839" t="n"/>
      <c r="I3494" s="1220" t="n"/>
      <c r="J3494" s="1220" t="n"/>
      <c r="K3494" s="839" t="n"/>
      <c r="L3494" s="1220" t="n"/>
      <c r="M3494" s="1220" t="n"/>
      <c r="N3494" s="839" t="n"/>
      <c r="O3494" s="835" t="n"/>
      <c r="P3494" s="835" t="n"/>
    </row>
    <row r="3495" ht="15.75" customHeight="1" s="2">
      <c r="A3495" s="506" t="inlineStr">
        <is>
          <t>Training explanation</t>
        </is>
      </c>
      <c r="B3495" s="837" t="n"/>
      <c r="C3495" s="1220" t="n"/>
      <c r="D3495" s="1220" t="n"/>
      <c r="E3495" s="837" t="n"/>
      <c r="F3495" s="1220" t="n"/>
      <c r="G3495" s="1220" t="n"/>
      <c r="H3495" s="837" t="n"/>
      <c r="I3495" s="1220" t="n"/>
      <c r="J3495" s="1220" t="n"/>
      <c r="K3495" s="837" t="n"/>
      <c r="L3495" s="1220" t="n"/>
      <c r="M3495" s="1220" t="n"/>
      <c r="N3495" s="837" t="n"/>
      <c r="O3495" s="835" t="n"/>
      <c r="P3495" s="835" t="n"/>
    </row>
    <row r="3496" ht="15.75" customHeight="1" s="2" thickBot="1">
      <c r="A3496" s="506" t="inlineStr">
        <is>
          <t>Who is being Trained</t>
        </is>
      </c>
      <c r="B3496" s="838" t="n"/>
      <c r="C3496" s="1221" t="n"/>
      <c r="D3496" s="1221" t="n"/>
      <c r="E3496" s="838" t="n"/>
      <c r="F3496" s="1221" t="n"/>
      <c r="G3496" s="1221" t="n"/>
      <c r="H3496" s="838" t="n"/>
      <c r="I3496" s="1221" t="n"/>
      <c r="J3496" s="1221" t="n"/>
      <c r="K3496" s="838" t="n"/>
      <c r="L3496" s="1221" t="n"/>
      <c r="M3496" s="1221" t="n"/>
      <c r="N3496" s="838" t="n"/>
    </row>
    <row r="3497" ht="15.75" customHeight="1" s="2" thickBot="1">
      <c r="A3497" s="506" t="n"/>
      <c r="C3497" s="523" t="inlineStr">
        <is>
          <t>floor</t>
        </is>
      </c>
      <c r="D3497" s="524" t="inlineStr">
        <is>
          <t>kitchen</t>
        </is>
      </c>
      <c r="E3497" s="509" t="n"/>
      <c r="F3497" s="507" t="inlineStr">
        <is>
          <t>floor</t>
        </is>
      </c>
      <c r="G3497" s="508" t="inlineStr">
        <is>
          <t>kitchen</t>
        </is>
      </c>
      <c r="H3497" s="510" t="n"/>
      <c r="I3497" s="535" t="inlineStr">
        <is>
          <t>floor</t>
        </is>
      </c>
      <c r="J3497" s="511" t="inlineStr">
        <is>
          <t>kitchen</t>
        </is>
      </c>
      <c r="K3497" s="512" t="n"/>
      <c r="L3497" s="535" t="inlineStr">
        <is>
          <t>floor</t>
        </is>
      </c>
      <c r="M3497" s="513" t="inlineStr">
        <is>
          <t>kitchen</t>
        </is>
      </c>
      <c r="N3497" s="512" t="n"/>
      <c r="O3497" s="535" t="inlineStr">
        <is>
          <t>floor</t>
        </is>
      </c>
      <c r="P3497" s="513" t="inlineStr">
        <is>
          <t>kitchen</t>
        </is>
      </c>
    </row>
    <row r="3498" ht="15.75" customHeight="1" s="2">
      <c r="A3498" s="506" t="n"/>
      <c r="C3498" s="525" t="n"/>
      <c r="D3498" s="527" t="n"/>
      <c r="E3498" s="514" t="n"/>
      <c r="F3498" s="525" t="n"/>
      <c r="G3498" s="527" t="n"/>
      <c r="H3498" s="515" t="n"/>
      <c r="I3498" s="531" t="n"/>
      <c r="J3498" s="824" t="n"/>
      <c r="K3498" s="515" t="n"/>
      <c r="L3498" s="536" t="n"/>
      <c r="M3498" s="532" t="n"/>
      <c r="N3498" s="515" t="n"/>
      <c r="O3498" s="536" t="n"/>
      <c r="P3498" s="532" t="n"/>
    </row>
    <row r="3499" ht="15.75" customHeight="1" s="2">
      <c r="C3499" s="891" t="n"/>
      <c r="D3499" s="526" t="n"/>
      <c r="E3499" s="514" t="n"/>
      <c r="F3499" s="891" t="n"/>
      <c r="G3499" s="526" t="n"/>
      <c r="H3499" s="516" t="n"/>
      <c r="I3499" s="1656" t="n"/>
      <c r="J3499" s="530" t="n"/>
      <c r="K3499" s="516" t="n"/>
      <c r="L3499" s="542" t="n"/>
      <c r="M3499" s="530" t="n"/>
      <c r="N3499" s="516" t="n"/>
      <c r="O3499" s="542" t="n"/>
      <c r="P3499" s="530" t="n"/>
    </row>
    <row r="3500" ht="15.75" customHeight="1" s="2">
      <c r="C3500" s="550" t="n"/>
      <c r="D3500" s="527" t="n"/>
      <c r="E3500" s="514" t="n"/>
      <c r="F3500" s="531" t="n"/>
      <c r="G3500" s="530" t="n"/>
      <c r="H3500" s="516" t="n"/>
      <c r="I3500" s="537" t="n"/>
      <c r="J3500" s="530" t="n"/>
      <c r="K3500" s="516" t="n"/>
      <c r="L3500" s="1657" t="n"/>
      <c r="M3500" s="539" t="n"/>
      <c r="N3500" s="516" t="n"/>
      <c r="O3500" s="542" t="n"/>
      <c r="P3500" s="539" t="n"/>
    </row>
    <row r="3501" ht="15.75" customHeight="1" s="2">
      <c r="C3501" s="561" t="n"/>
      <c r="D3501" s="561" t="n"/>
      <c r="E3501" s="519" t="n"/>
      <c r="F3501" s="517" t="n"/>
      <c r="G3501" s="1659" t="n"/>
      <c r="H3501" s="516" t="n"/>
      <c r="I3501" s="537" t="n"/>
      <c r="J3501" s="530" t="n"/>
      <c r="K3501" s="516" t="n"/>
      <c r="L3501" s="537" t="n"/>
      <c r="M3501" s="539" t="n"/>
      <c r="N3501" s="516" t="n"/>
      <c r="O3501" s="537" t="n"/>
      <c r="P3501" s="539" t="n"/>
    </row>
    <row r="3502" ht="15.75" customHeight="1" s="2">
      <c r="C3502" s="551" t="n"/>
      <c r="D3502" s="528" t="n"/>
      <c r="E3502" s="519" t="n"/>
      <c r="F3502" s="517" t="n"/>
      <c r="G3502" s="518" t="n"/>
      <c r="H3502" s="516" t="n"/>
      <c r="I3502" s="537" t="n"/>
      <c r="J3502" s="533" t="n"/>
      <c r="K3502" s="516" t="n"/>
      <c r="L3502" s="537" t="n"/>
      <c r="M3502" s="540" t="n"/>
      <c r="N3502" s="516" t="n"/>
      <c r="O3502" s="537" t="n"/>
      <c r="P3502" s="540" t="n"/>
    </row>
    <row r="3503" ht="15.75" customHeight="1" s="2">
      <c r="C3503" s="550" t="n"/>
      <c r="D3503" s="527" t="n"/>
      <c r="E3503" s="514" t="n"/>
      <c r="F3503" s="531" t="n"/>
      <c r="G3503" s="530" t="n"/>
      <c r="H3503" s="516" t="n"/>
      <c r="I3503" s="537" t="n"/>
      <c r="J3503" s="530" t="n"/>
      <c r="K3503" s="516" t="n"/>
      <c r="L3503" s="1657" t="n"/>
      <c r="M3503" s="539" t="n"/>
      <c r="N3503" s="516" t="n"/>
      <c r="O3503" s="542" t="n"/>
      <c r="P3503" s="539" t="n"/>
    </row>
    <row r="3504" ht="15.75" customHeight="1" s="2">
      <c r="C3504" s="561" t="n"/>
      <c r="D3504" s="561" t="n"/>
      <c r="E3504" s="519" t="n"/>
      <c r="F3504" s="517" t="n"/>
      <c r="G3504" s="1659" t="n"/>
      <c r="H3504" s="516" t="n"/>
      <c r="I3504" s="537" t="n"/>
      <c r="J3504" s="530" t="n"/>
      <c r="K3504" s="516" t="n"/>
      <c r="L3504" s="537" t="n"/>
      <c r="M3504" s="539" t="n"/>
      <c r="N3504" s="516" t="n"/>
      <c r="O3504" s="537" t="n"/>
      <c r="P3504" s="539" t="n"/>
    </row>
    <row r="3505" ht="15.75" customHeight="1" s="2">
      <c r="C3505" s="551" t="n"/>
      <c r="D3505" s="528" t="n"/>
      <c r="E3505" s="519" t="n"/>
      <c r="F3505" s="517" t="n"/>
      <c r="G3505" s="518" t="n"/>
      <c r="H3505" s="516" t="n"/>
      <c r="I3505" s="537" t="n"/>
      <c r="J3505" s="533" t="n"/>
      <c r="K3505" s="516" t="n"/>
      <c r="L3505" s="537" t="n"/>
      <c r="M3505" s="540" t="n"/>
      <c r="N3505" s="516" t="n"/>
      <c r="O3505" s="537" t="n"/>
      <c r="P3505" s="540" t="n"/>
    </row>
    <row r="3507" ht="15.75" customHeight="1" s="2" thickBot="1"/>
    <row r="3508" ht="15.75" customHeight="1" s="2" thickBot="1">
      <c r="B3508" s="1482" t="n"/>
      <c r="C3508" s="1483" t="inlineStr">
        <is>
          <t>22.12.2025</t>
        </is>
      </c>
      <c r="D3508" s="1484" t="n"/>
      <c r="E3508" s="1485" t="n"/>
      <c r="F3508" s="1486" t="n"/>
      <c r="G3508" s="1487" t="n"/>
      <c r="H3508" s="1485" t="n"/>
      <c r="I3508" s="1486" t="n"/>
      <c r="J3508" s="1487" t="n"/>
      <c r="K3508" s="1485" t="n"/>
      <c r="L3508" s="1486" t="n"/>
      <c r="M3508" s="1487" t="n"/>
      <c r="N3508" s="1488" t="n"/>
      <c r="O3508" s="1489" t="n"/>
      <c r="P3508" s="1490" t="n"/>
    </row>
    <row r="3509" ht="15.75" customHeight="1" s="2" thickBot="1">
      <c r="A3509" s="455" t="n"/>
      <c r="B3509" s="1394" t="inlineStr">
        <is>
          <t>LAST YEAR</t>
        </is>
      </c>
      <c r="C3509" s="1395" t="inlineStr">
        <is>
          <t>Projected</t>
        </is>
      </c>
      <c r="D3509" s="1396" t="inlineStr">
        <is>
          <t>Actual</t>
        </is>
      </c>
      <c r="E3509" s="1394" t="inlineStr">
        <is>
          <t>LAST YEAR</t>
        </is>
      </c>
      <c r="F3509" s="1395" t="inlineStr">
        <is>
          <t>Projected</t>
        </is>
      </c>
      <c r="G3509" s="1396" t="inlineStr">
        <is>
          <t>Actual</t>
        </is>
      </c>
      <c r="H3509" s="1394" t="inlineStr">
        <is>
          <t>LAST YEAR</t>
        </is>
      </c>
      <c r="I3509" s="1395" t="inlineStr">
        <is>
          <t>Projected</t>
        </is>
      </c>
      <c r="J3509" s="1396" t="inlineStr">
        <is>
          <t>Actual</t>
        </is>
      </c>
      <c r="K3509" s="1394" t="inlineStr">
        <is>
          <t>LAST YEAR</t>
        </is>
      </c>
      <c r="L3509" s="1395" t="inlineStr">
        <is>
          <t>Projected</t>
        </is>
      </c>
      <c r="M3509" s="1396" t="inlineStr">
        <is>
          <t>Actual</t>
        </is>
      </c>
      <c r="N3509" s="1394" t="inlineStr">
        <is>
          <t>LAST YEAR</t>
        </is>
      </c>
      <c r="O3509" s="1395" t="inlineStr">
        <is>
          <t>Projected</t>
        </is>
      </c>
      <c r="P3509" s="1396" t="inlineStr">
        <is>
          <t>Actual</t>
        </is>
      </c>
    </row>
    <row r="3510" ht="15.75" customHeight="1" s="2">
      <c r="A3510" s="459" t="inlineStr">
        <is>
          <t>Total Receipts</t>
        </is>
      </c>
      <c r="B3510" s="1645" t="n"/>
      <c r="C3510" s="1700" t="n"/>
      <c r="D3510" s="1701" t="n"/>
      <c r="E3510" s="1645" t="n"/>
      <c r="F3510" s="1700" t="n"/>
      <c r="G3510" s="1701" t="n"/>
      <c r="H3510" s="1644" t="n"/>
      <c r="I3510" s="1700" t="n"/>
      <c r="J3510" s="1701" t="n"/>
      <c r="K3510" s="1644" t="n"/>
      <c r="L3510" s="1700" t="n"/>
      <c r="M3510" s="1701" t="n"/>
      <c r="N3510" s="1644" t="n"/>
      <c r="O3510" s="1700" t="n"/>
      <c r="P3510" s="1701" t="n"/>
    </row>
    <row r="3511" ht="15.75" customHeight="1" s="2">
      <c r="A3511" s="462" t="inlineStr">
        <is>
          <t>Nett Sales</t>
        </is>
      </c>
      <c r="B3511" s="1625" t="n"/>
      <c r="C3511" s="1702" t="n"/>
      <c r="D3511" s="1703" t="n"/>
      <c r="E3511" s="1637" t="n"/>
      <c r="F3511" s="1702" t="n"/>
      <c r="G3511" s="1703" t="n"/>
      <c r="H3511" s="1646" t="n"/>
      <c r="I3511" s="1702" t="n"/>
      <c r="J3511" s="1703" t="n"/>
      <c r="K3511" s="1646" t="n"/>
      <c r="L3511" s="1702" t="n"/>
      <c r="M3511" s="1703" t="n"/>
      <c r="N3511" s="1646" t="n"/>
      <c r="O3511" s="1702" t="n"/>
      <c r="P3511" s="1703" t="n"/>
    </row>
    <row r="3512" ht="15.75" customHeight="1" s="2">
      <c r="A3512" s="462" t="inlineStr">
        <is>
          <t>Customers</t>
        </is>
      </c>
      <c r="B3512" s="466" t="n"/>
      <c r="C3512" s="1382" t="n"/>
      <c r="D3512" s="1704" t="n"/>
      <c r="E3512" s="466" t="n"/>
      <c r="F3512" s="1382" t="n"/>
      <c r="G3512" s="1704" t="n"/>
      <c r="H3512" s="866" t="n"/>
      <c r="I3512" s="1382" t="n"/>
      <c r="J3512" s="1704" t="n"/>
      <c r="K3512" s="866" t="n"/>
      <c r="L3512" s="1382" t="n"/>
      <c r="M3512" s="1704" t="n"/>
      <c r="N3512" s="866" t="n"/>
      <c r="O3512" s="1382" t="n"/>
      <c r="P3512" s="1704" t="n"/>
    </row>
    <row r="3513" ht="15.75" customHeight="1" s="2">
      <c r="A3513" s="462" t="inlineStr">
        <is>
          <t>Average Customer Spend</t>
        </is>
      </c>
      <c r="B3513" s="1649" t="n"/>
      <c r="C3513" s="1705" t="n"/>
      <c r="D3513" s="1706" t="n"/>
      <c r="E3513" s="1649" t="n"/>
      <c r="F3513" s="1705" t="n"/>
      <c r="G3513" s="1706" t="n"/>
      <c r="H3513" s="1648" t="n"/>
      <c r="I3513" s="1705" t="n"/>
      <c r="J3513" s="1706" t="n"/>
      <c r="K3513" s="1648" t="n"/>
      <c r="L3513" s="1705" t="n"/>
      <c r="M3513" s="1706" t="n"/>
      <c r="N3513" s="1648" t="n"/>
      <c r="O3513" s="1705" t="n"/>
      <c r="P3513" s="1706" t="n"/>
    </row>
    <row r="3514" ht="15.75" customHeight="1" s="2">
      <c r="A3514" s="462" t="inlineStr">
        <is>
          <t>Wage % to Total Receipts</t>
        </is>
      </c>
      <c r="B3514" s="863" t="n"/>
      <c r="C3514" s="1384">
        <f>C3519/C3510</f>
        <v/>
      </c>
      <c r="D3514" s="1375">
        <f>D3519/D3510</f>
        <v/>
      </c>
      <c r="E3514" s="863" t="n"/>
      <c r="F3514" s="1384">
        <f>F3519/F3510</f>
        <v/>
      </c>
      <c r="G3514" s="1375">
        <f>G3519/G3510</f>
        <v/>
      </c>
      <c r="H3514" s="868" t="n"/>
      <c r="I3514" s="1384">
        <f>I3519/I3510</f>
        <v/>
      </c>
      <c r="J3514" s="1375">
        <f>J3519/J3510</f>
        <v/>
      </c>
      <c r="K3514" s="868" t="n"/>
      <c r="L3514" s="1384">
        <f>L3519/L3510</f>
        <v/>
      </c>
      <c r="M3514" s="1375">
        <f>M3519/M3510</f>
        <v/>
      </c>
      <c r="N3514" s="868" t="n"/>
      <c r="O3514" s="1384">
        <f>O3519/O3510</f>
        <v/>
      </c>
      <c r="P3514" s="1375">
        <f>P3519/P3510</f>
        <v/>
      </c>
    </row>
    <row r="3515" ht="15.75" customHeight="1" s="2">
      <c r="A3515" s="462" t="inlineStr">
        <is>
          <t>Wage % to Nett Sales</t>
        </is>
      </c>
      <c r="B3515" s="863" t="n"/>
      <c r="C3515" s="1384">
        <f>C3519/C3511</f>
        <v/>
      </c>
      <c r="D3515" s="1375">
        <f>D3519/D3511</f>
        <v/>
      </c>
      <c r="E3515" s="863" t="n"/>
      <c r="F3515" s="1384">
        <f>F3519/F3511</f>
        <v/>
      </c>
      <c r="G3515" s="1375">
        <f>G3519/G3511</f>
        <v/>
      </c>
      <c r="H3515" s="868" t="n"/>
      <c r="I3515" s="1384">
        <f>I3519/I3511</f>
        <v/>
      </c>
      <c r="J3515" s="1375">
        <f>J3519/J3511</f>
        <v/>
      </c>
      <c r="K3515" s="868" t="n"/>
      <c r="L3515" s="1384">
        <f>L3519/L3511</f>
        <v/>
      </c>
      <c r="M3515" s="1375">
        <f>M3519/M3511</f>
        <v/>
      </c>
      <c r="N3515" s="868" t="n"/>
      <c r="O3515" s="1384">
        <f>O3519/O3511</f>
        <v/>
      </c>
      <c r="P3515" s="1375">
        <f>P3519/P3511</f>
        <v/>
      </c>
    </row>
    <row r="3516" ht="15.75" customHeight="1" s="2">
      <c r="A3516" s="462" t="inlineStr">
        <is>
          <t>Productivity</t>
        </is>
      </c>
      <c r="B3516" s="472" t="n"/>
      <c r="C3516" s="1385">
        <f>C3512/C3518</f>
        <v/>
      </c>
      <c r="D3516" s="1376">
        <f>D3512/D3518</f>
        <v/>
      </c>
      <c r="E3516" s="472" t="n"/>
      <c r="F3516" s="1385">
        <f>F3512/F3518</f>
        <v/>
      </c>
      <c r="G3516" s="1376">
        <f>G3512/G3518</f>
        <v/>
      </c>
      <c r="H3516" s="869" t="n"/>
      <c r="I3516" s="1385">
        <f>I3512/I3518</f>
        <v/>
      </c>
      <c r="J3516" s="1376">
        <f>J3512/J3518</f>
        <v/>
      </c>
      <c r="K3516" s="869" t="n"/>
      <c r="L3516" s="1385">
        <f>L3512/L3518</f>
        <v/>
      </c>
      <c r="M3516" s="1376">
        <f>M3512/M3518</f>
        <v/>
      </c>
      <c r="N3516" s="869" t="n"/>
      <c r="O3516" s="1385">
        <f>O3512/O3518</f>
        <v/>
      </c>
      <c r="P3516" s="1376">
        <f>P3512/P3518</f>
        <v/>
      </c>
    </row>
    <row r="3517" ht="15.75" customHeight="1" s="2">
      <c r="A3517" s="462" t="inlineStr">
        <is>
          <t>Average Hourly Rate</t>
        </is>
      </c>
      <c r="B3517" s="1649" t="n"/>
      <c r="C3517" s="1385" t="n"/>
      <c r="D3517" s="1706" t="n"/>
      <c r="E3517" s="1649" t="n"/>
      <c r="F3517" s="1385" t="n"/>
      <c r="G3517" s="1706" t="n"/>
      <c r="H3517" s="869" t="n"/>
      <c r="I3517" s="1385" t="n"/>
      <c r="J3517" s="1706" t="n"/>
      <c r="K3517" s="869" t="n"/>
      <c r="L3517" s="1385" t="n"/>
      <c r="M3517" s="1706" t="n"/>
      <c r="N3517" s="869" t="n"/>
      <c r="O3517" s="1385" t="n"/>
      <c r="P3517" s="1706" t="n"/>
    </row>
    <row r="3518" ht="15.75" customHeight="1" s="2">
      <c r="A3518" s="462" t="inlineStr">
        <is>
          <t>Total hours for productivity</t>
        </is>
      </c>
      <c r="B3518" s="466" t="n"/>
      <c r="C3518" s="1385" t="n"/>
      <c r="D3518" s="1377" t="n"/>
      <c r="E3518" s="466" t="n"/>
      <c r="F3518" s="1385" t="n"/>
      <c r="G3518" s="1377" t="n"/>
      <c r="H3518" s="869" t="n"/>
      <c r="I3518" s="1385" t="n"/>
      <c r="J3518" s="1377" t="n"/>
      <c r="K3518" s="869" t="n"/>
      <c r="L3518" s="1385" t="n"/>
      <c r="M3518" s="1377" t="n"/>
      <c r="N3518" s="869" t="n"/>
      <c r="O3518" s="1385" t="n"/>
      <c r="P3518" s="1377" t="n"/>
    </row>
    <row r="3519" ht="15.75" customHeight="1" s="2">
      <c r="A3519" s="462" t="inlineStr">
        <is>
          <t>wage costed</t>
        </is>
      </c>
      <c r="B3519" s="466" t="n"/>
      <c r="C3519" s="1386">
        <f>C3518*C3517</f>
        <v/>
      </c>
      <c r="D3519" s="1378">
        <f>D3518*D3517</f>
        <v/>
      </c>
      <c r="E3519" s="466" t="n"/>
      <c r="F3519" s="1386">
        <f>F3518*F3517</f>
        <v/>
      </c>
      <c r="G3519" s="1378">
        <f>G3518*G3517</f>
        <v/>
      </c>
      <c r="H3519" s="870" t="n"/>
      <c r="I3519" s="1386">
        <f>I3518*I3517</f>
        <v/>
      </c>
      <c r="J3519" s="1378">
        <f>J3518*J3517</f>
        <v/>
      </c>
      <c r="K3519" s="870" t="n"/>
      <c r="L3519" s="1386">
        <f>L3518*L3517</f>
        <v/>
      </c>
      <c r="M3519" s="1378">
        <f>M3518*M3517</f>
        <v/>
      </c>
      <c r="N3519" s="870" t="n"/>
      <c r="O3519" s="1386">
        <f>O3518*O3517</f>
        <v/>
      </c>
      <c r="P3519" s="1378">
        <f>P3518*P3517</f>
        <v/>
      </c>
    </row>
    <row r="3520" ht="15.75" customHeight="1" s="2" thickBot="1">
      <c r="A3520" s="474" t="inlineStr">
        <is>
          <t>Number of hours used to cover sick leave</t>
        </is>
      </c>
      <c r="B3520" s="476" t="n"/>
      <c r="C3520" s="1387" t="n"/>
      <c r="D3520" s="1379" t="n"/>
      <c r="E3520" s="476" t="n"/>
      <c r="F3520" s="1387" t="n"/>
      <c r="G3520" s="1379" t="n"/>
      <c r="H3520" s="813" t="n"/>
      <c r="I3520" s="1387" t="n"/>
      <c r="J3520" s="1379" t="n"/>
      <c r="K3520" s="1229" t="n"/>
      <c r="L3520" s="1387" t="n"/>
      <c r="M3520" s="1379" t="n"/>
      <c r="N3520" s="813" t="n"/>
      <c r="O3520" s="1387" t="n"/>
      <c r="P3520" s="1379" t="n"/>
    </row>
    <row r="3521" ht="15.75" customHeight="1" s="2" thickBot="1">
      <c r="A3521" s="477" t="inlineStr">
        <is>
          <t xml:space="preserve">Minimum Hours </t>
        </is>
      </c>
      <c r="B3521" s="935" t="n"/>
      <c r="C3521" s="1388" t="inlineStr">
        <is>
          <t>Projected</t>
        </is>
      </c>
      <c r="D3521" s="1391" t="inlineStr">
        <is>
          <t>Min Hrs</t>
        </is>
      </c>
      <c r="E3521" s="935" t="n"/>
      <c r="F3521" s="1388" t="inlineStr">
        <is>
          <t>Projected</t>
        </is>
      </c>
      <c r="G3521" s="1391" t="inlineStr">
        <is>
          <t>Min Hrs</t>
        </is>
      </c>
      <c r="H3521" s="935" t="n"/>
      <c r="I3521" s="1388" t="inlineStr">
        <is>
          <t>Projected</t>
        </is>
      </c>
      <c r="J3521" s="1391" t="inlineStr">
        <is>
          <t>Min Hrs</t>
        </is>
      </c>
      <c r="K3521" s="935" t="n"/>
      <c r="L3521" s="1388" t="inlineStr">
        <is>
          <t>Projected</t>
        </is>
      </c>
      <c r="M3521" s="1391" t="inlineStr">
        <is>
          <t>Min Hrs</t>
        </is>
      </c>
      <c r="N3521" s="935" t="n"/>
      <c r="O3521" s="1388" t="inlineStr">
        <is>
          <t>Projected</t>
        </is>
      </c>
      <c r="P3521" s="1391" t="inlineStr">
        <is>
          <t>Min Hrs</t>
        </is>
      </c>
    </row>
    <row r="3522" ht="15.75" customHeight="1" s="2">
      <c r="A3522" s="479" t="inlineStr">
        <is>
          <t>Floor</t>
        </is>
      </c>
      <c r="B3522" s="810" t="n"/>
      <c r="C3522" s="1389" t="n"/>
      <c r="D3522" s="1392" t="n"/>
      <c r="E3522" s="810" t="n"/>
      <c r="F3522" s="1389" t="n"/>
      <c r="G3522" s="1392" t="n"/>
      <c r="H3522" s="810" t="n"/>
      <c r="I3522" s="1389" t="n"/>
      <c r="J3522" s="1392" t="n"/>
      <c r="K3522" s="810" t="n"/>
      <c r="L3522" s="1389" t="n"/>
      <c r="M3522" s="1392" t="n"/>
      <c r="N3522" s="810" t="n"/>
      <c r="O3522" s="1389" t="n"/>
      <c r="P3522" s="1392" t="n"/>
    </row>
    <row r="3523" ht="15.75" customHeight="1" s="2" thickBot="1">
      <c r="A3523" s="481" t="inlineStr">
        <is>
          <t>Kitchen</t>
        </is>
      </c>
      <c r="B3523" s="813" t="n"/>
      <c r="C3523" s="1387" t="n"/>
      <c r="D3523" s="1393" t="n"/>
      <c r="E3523" s="813" t="n"/>
      <c r="F3523" s="1390" t="n"/>
      <c r="G3523" s="1393" t="n"/>
      <c r="H3523" s="813" t="n"/>
      <c r="I3523" s="1390" t="n"/>
      <c r="J3523" s="1393" t="n"/>
      <c r="K3523" s="813" t="n"/>
      <c r="L3523" s="1390" t="n"/>
      <c r="M3523" s="1393" t="n"/>
      <c r="N3523" s="813" t="n"/>
      <c r="O3523" s="1387" t="n"/>
      <c r="P3523" s="1393" t="n"/>
    </row>
    <row r="3524" ht="15.75" customHeight="1" s="2" thickBot="1">
      <c r="A3524" s="834" t="n"/>
      <c r="B3524" s="836" t="n"/>
      <c r="C3524" s="1220" t="n"/>
      <c r="D3524" s="1220" t="n"/>
      <c r="E3524" s="839" t="n"/>
      <c r="F3524" s="1220" t="n"/>
      <c r="G3524" s="1220" t="n"/>
      <c r="H3524" s="839" t="n"/>
      <c r="I3524" s="1220" t="n"/>
      <c r="J3524" s="1220" t="n"/>
      <c r="K3524" s="839" t="n"/>
      <c r="L3524" s="1220" t="n"/>
      <c r="M3524" s="1220" t="n"/>
      <c r="N3524" s="839" t="n"/>
      <c r="O3524" s="835" t="n"/>
      <c r="P3524" s="835" t="n"/>
    </row>
    <row r="3525" ht="15.75" customHeight="1" s="2">
      <c r="A3525" s="506" t="inlineStr">
        <is>
          <t>Training explanation</t>
        </is>
      </c>
      <c r="B3525" s="837" t="n"/>
      <c r="C3525" s="1220" t="n"/>
      <c r="D3525" s="1220" t="n"/>
      <c r="E3525" s="837" t="n"/>
      <c r="F3525" s="1220" t="n"/>
      <c r="G3525" s="1220" t="n"/>
      <c r="H3525" s="837" t="n"/>
      <c r="I3525" s="1220" t="n"/>
      <c r="J3525" s="1220" t="n"/>
      <c r="K3525" s="837" t="n"/>
      <c r="L3525" s="1220" t="n"/>
      <c r="M3525" s="1220" t="n"/>
      <c r="N3525" s="837" t="n"/>
      <c r="O3525" s="835" t="n"/>
      <c r="P3525" s="835" t="n"/>
    </row>
    <row r="3526" ht="15.75" customHeight="1" s="2" thickBot="1">
      <c r="A3526" s="506" t="inlineStr">
        <is>
          <t>Who is being Trained</t>
        </is>
      </c>
      <c r="B3526" s="838" t="n"/>
      <c r="C3526" s="1221" t="n"/>
      <c r="D3526" s="1221" t="n"/>
      <c r="E3526" s="838" t="n"/>
      <c r="F3526" s="1221" t="n"/>
      <c r="G3526" s="1221" t="n"/>
      <c r="H3526" s="838" t="n"/>
      <c r="I3526" s="1221" t="n"/>
      <c r="J3526" s="1221" t="n"/>
      <c r="K3526" s="838" t="n"/>
      <c r="L3526" s="1221" t="n"/>
      <c r="M3526" s="1221" t="n"/>
      <c r="N3526" s="838" t="n"/>
    </row>
    <row r="3527" ht="15.75" customHeight="1" s="2" thickBot="1">
      <c r="A3527" s="506" t="n"/>
      <c r="C3527" s="523" t="inlineStr">
        <is>
          <t>floor</t>
        </is>
      </c>
      <c r="D3527" s="524" t="inlineStr">
        <is>
          <t>kitchen</t>
        </is>
      </c>
      <c r="E3527" s="509" t="n"/>
      <c r="F3527" s="507" t="inlineStr">
        <is>
          <t>floor</t>
        </is>
      </c>
      <c r="G3527" s="508" t="inlineStr">
        <is>
          <t>kitchen</t>
        </is>
      </c>
      <c r="H3527" s="510" t="n"/>
      <c r="I3527" s="535" t="inlineStr">
        <is>
          <t>floor</t>
        </is>
      </c>
      <c r="J3527" s="511" t="inlineStr">
        <is>
          <t>kitchen</t>
        </is>
      </c>
      <c r="K3527" s="512" t="n"/>
      <c r="L3527" s="535" t="inlineStr">
        <is>
          <t>floor</t>
        </is>
      </c>
      <c r="M3527" s="513" t="inlineStr">
        <is>
          <t>kitchen</t>
        </is>
      </c>
      <c r="N3527" s="512" t="n"/>
      <c r="O3527" s="535" t="inlineStr">
        <is>
          <t>floor</t>
        </is>
      </c>
      <c r="P3527" s="513" t="inlineStr">
        <is>
          <t>kitchen</t>
        </is>
      </c>
    </row>
    <row r="3528" ht="15.75" customHeight="1" s="2">
      <c r="A3528" s="506" t="n"/>
      <c r="C3528" s="525" t="n"/>
      <c r="D3528" s="527" t="n"/>
      <c r="E3528" s="514" t="n"/>
      <c r="F3528" s="525" t="n"/>
      <c r="G3528" s="527" t="n"/>
      <c r="H3528" s="515" t="n"/>
      <c r="I3528" s="531" t="n"/>
      <c r="J3528" s="824" t="n"/>
      <c r="K3528" s="515" t="n"/>
      <c r="L3528" s="536" t="n"/>
      <c r="M3528" s="532" t="n"/>
      <c r="N3528" s="515" t="n"/>
      <c r="O3528" s="536" t="n"/>
      <c r="P3528" s="532" t="n"/>
    </row>
    <row r="3529" ht="15.75" customHeight="1" s="2">
      <c r="C3529" s="891" t="n"/>
      <c r="D3529" s="526" t="n"/>
      <c r="E3529" s="514" t="n"/>
      <c r="F3529" s="891" t="n"/>
      <c r="G3529" s="526" t="n"/>
      <c r="H3529" s="516" t="n"/>
      <c r="I3529" s="1656" t="n"/>
      <c r="J3529" s="530" t="n"/>
      <c r="K3529" s="516" t="n"/>
      <c r="L3529" s="542" t="n"/>
      <c r="M3529" s="530" t="n"/>
      <c r="N3529" s="516" t="n"/>
      <c r="O3529" s="542" t="n"/>
      <c r="P3529" s="530" t="n"/>
    </row>
    <row r="3530" ht="15.75" customHeight="1" s="2">
      <c r="C3530" s="550" t="n"/>
      <c r="D3530" s="527" t="n"/>
      <c r="E3530" s="514" t="n"/>
      <c r="F3530" s="531" t="n"/>
      <c r="G3530" s="530" t="n"/>
      <c r="H3530" s="516" t="n"/>
      <c r="I3530" s="537" t="n"/>
      <c r="J3530" s="530" t="n"/>
      <c r="K3530" s="516" t="n"/>
      <c r="L3530" s="1657" t="n"/>
      <c r="M3530" s="539" t="n"/>
      <c r="N3530" s="516" t="n"/>
      <c r="O3530" s="542" t="n"/>
      <c r="P3530" s="539" t="n"/>
    </row>
    <row r="3531" ht="15.75" customHeight="1" s="2">
      <c r="C3531" s="561" t="n"/>
      <c r="D3531" s="561" t="n"/>
      <c r="E3531" s="519" t="n"/>
      <c r="F3531" s="517" t="n"/>
      <c r="G3531" s="1659" t="n"/>
      <c r="H3531" s="516" t="n"/>
      <c r="I3531" s="537" t="n"/>
      <c r="J3531" s="530" t="n"/>
      <c r="K3531" s="516" t="n"/>
      <c r="L3531" s="537" t="n"/>
      <c r="M3531" s="539" t="n"/>
      <c r="N3531" s="516" t="n"/>
      <c r="O3531" s="537" t="n"/>
      <c r="P3531" s="539" t="n"/>
    </row>
    <row r="3532" ht="15.75" customHeight="1" s="2">
      <c r="C3532" s="551" t="n"/>
      <c r="D3532" s="528" t="n"/>
      <c r="E3532" s="519" t="n"/>
      <c r="F3532" s="517" t="n"/>
      <c r="G3532" s="518" t="n"/>
      <c r="H3532" s="516" t="n"/>
      <c r="I3532" s="537" t="n"/>
      <c r="J3532" s="533" t="n"/>
      <c r="K3532" s="516" t="n"/>
      <c r="L3532" s="537" t="n"/>
      <c r="M3532" s="540" t="n"/>
      <c r="N3532" s="516" t="n"/>
      <c r="O3532" s="537" t="n"/>
      <c r="P3532" s="540" t="n"/>
    </row>
    <row r="3533" ht="15.75" customHeight="1" s="2">
      <c r="C3533" s="550" t="n"/>
      <c r="D3533" s="527" t="n"/>
      <c r="E3533" s="514" t="n"/>
      <c r="F3533" s="531" t="n"/>
      <c r="G3533" s="530" t="n"/>
      <c r="H3533" s="516" t="n"/>
      <c r="I3533" s="537" t="n"/>
      <c r="J3533" s="530" t="n"/>
      <c r="K3533" s="516" t="n"/>
      <c r="L3533" s="1657" t="n"/>
      <c r="M3533" s="539" t="n"/>
      <c r="N3533" s="516" t="n"/>
      <c r="O3533" s="542" t="n"/>
      <c r="P3533" s="539" t="n"/>
    </row>
    <row r="3534" ht="15.75" customHeight="1" s="2">
      <c r="C3534" s="561" t="n"/>
      <c r="D3534" s="561" t="n"/>
      <c r="E3534" s="519" t="n"/>
      <c r="F3534" s="517" t="n"/>
      <c r="G3534" s="1659" t="n"/>
      <c r="H3534" s="516" t="n"/>
      <c r="I3534" s="537" t="n"/>
      <c r="J3534" s="530" t="n"/>
      <c r="K3534" s="516" t="n"/>
      <c r="L3534" s="537" t="n"/>
      <c r="M3534" s="539" t="n"/>
      <c r="N3534" s="516" t="n"/>
      <c r="O3534" s="537" t="n"/>
      <c r="P3534" s="539" t="n"/>
    </row>
    <row r="3535" ht="15.75" customHeight="1" s="2">
      <c r="C3535" s="551" t="n"/>
      <c r="D3535" s="528" t="n"/>
      <c r="E3535" s="519" t="n"/>
      <c r="F3535" s="517" t="n"/>
      <c r="G3535" s="518" t="n"/>
      <c r="H3535" s="516" t="n"/>
      <c r="I3535" s="537" t="n"/>
      <c r="J3535" s="533" t="n"/>
      <c r="K3535" s="516" t="n"/>
      <c r="L3535" s="537" t="n"/>
      <c r="M3535" s="540" t="n"/>
      <c r="N3535" s="516" t="n"/>
      <c r="O3535" s="537" t="n"/>
      <c r="P3535" s="540" t="n"/>
    </row>
    <row r="3537" ht="15.75" customHeight="1" s="2" thickBot="1"/>
    <row r="3538" ht="15.75" customHeight="1" s="2" thickBot="1">
      <c r="B3538" s="1482" t="n"/>
      <c r="C3538" s="1483" t="n"/>
      <c r="D3538" s="1484" t="n"/>
      <c r="E3538" s="1485" t="n"/>
      <c r="F3538" s="1486" t="n"/>
      <c r="G3538" s="1487" t="n"/>
      <c r="H3538" s="1485" t="n"/>
      <c r="I3538" s="1486" t="n"/>
      <c r="J3538" s="1487" t="n"/>
      <c r="K3538" s="1485" t="n"/>
      <c r="L3538" s="1486" t="n"/>
      <c r="M3538" s="1487" t="n"/>
      <c r="N3538" s="1488" t="n"/>
      <c r="O3538" s="1489" t="n"/>
      <c r="P3538" s="1490" t="n"/>
    </row>
    <row r="3539" ht="15.75" customHeight="1" s="2" thickBot="1">
      <c r="A3539" s="455" t="n"/>
      <c r="B3539" s="1394" t="inlineStr">
        <is>
          <t>LAST YEAR</t>
        </is>
      </c>
      <c r="C3539" s="1395" t="inlineStr">
        <is>
          <t>Projected</t>
        </is>
      </c>
      <c r="D3539" s="1396" t="inlineStr">
        <is>
          <t>Actual</t>
        </is>
      </c>
      <c r="E3539" s="1394" t="inlineStr">
        <is>
          <t>LAST YEAR</t>
        </is>
      </c>
      <c r="F3539" s="1395" t="inlineStr">
        <is>
          <t>Projected</t>
        </is>
      </c>
      <c r="G3539" s="1396" t="inlineStr">
        <is>
          <t>Actual</t>
        </is>
      </c>
      <c r="H3539" s="1394" t="inlineStr">
        <is>
          <t>LAST YEAR</t>
        </is>
      </c>
      <c r="I3539" s="1395" t="inlineStr">
        <is>
          <t>Projected</t>
        </is>
      </c>
      <c r="J3539" s="1396" t="inlineStr">
        <is>
          <t>Actual</t>
        </is>
      </c>
      <c r="K3539" s="1394" t="inlineStr">
        <is>
          <t>LAST YEAR</t>
        </is>
      </c>
      <c r="L3539" s="1395" t="inlineStr">
        <is>
          <t>Projected</t>
        </is>
      </c>
      <c r="M3539" s="1396" t="inlineStr">
        <is>
          <t>Actual</t>
        </is>
      </c>
      <c r="N3539" s="1394" t="inlineStr">
        <is>
          <t>LAST YEAR</t>
        </is>
      </c>
      <c r="O3539" s="1395" t="inlineStr">
        <is>
          <t>Projected</t>
        </is>
      </c>
      <c r="P3539" s="1396" t="inlineStr">
        <is>
          <t>Actual</t>
        </is>
      </c>
    </row>
    <row r="3540" ht="15.75" customHeight="1" s="2">
      <c r="A3540" s="459" t="inlineStr">
        <is>
          <t>Total Receipts</t>
        </is>
      </c>
      <c r="B3540" s="1645" t="n"/>
      <c r="C3540" s="1700" t="n"/>
      <c r="D3540" s="1701" t="n"/>
      <c r="E3540" s="1645" t="n"/>
      <c r="F3540" s="1700" t="n"/>
      <c r="G3540" s="1701" t="n"/>
      <c r="H3540" s="1644" t="n"/>
      <c r="I3540" s="1700" t="n"/>
      <c r="J3540" s="1701" t="n"/>
      <c r="K3540" s="1644" t="n"/>
      <c r="L3540" s="1700" t="n"/>
      <c r="M3540" s="1701" t="n"/>
      <c r="N3540" s="1644" t="n"/>
      <c r="O3540" s="1700" t="n"/>
      <c r="P3540" s="1701" t="n"/>
    </row>
    <row r="3541" ht="15.75" customHeight="1" s="2">
      <c r="A3541" s="462" t="inlineStr">
        <is>
          <t>Nett Sales</t>
        </is>
      </c>
      <c r="B3541" s="1625" t="n"/>
      <c r="C3541" s="1702" t="n"/>
      <c r="D3541" s="1703" t="n"/>
      <c r="E3541" s="1637" t="n"/>
      <c r="F3541" s="1702" t="n"/>
      <c r="G3541" s="1703" t="n"/>
      <c r="H3541" s="1646" t="n"/>
      <c r="I3541" s="1702" t="n"/>
      <c r="J3541" s="1703" t="n"/>
      <c r="K3541" s="1646" t="n"/>
      <c r="L3541" s="1702" t="n"/>
      <c r="M3541" s="1703" t="n"/>
      <c r="N3541" s="1646" t="n"/>
      <c r="O3541" s="1702" t="n"/>
      <c r="P3541" s="1703" t="n"/>
    </row>
    <row r="3542" ht="15.75" customHeight="1" s="2">
      <c r="A3542" s="462" t="inlineStr">
        <is>
          <t>Customers</t>
        </is>
      </c>
      <c r="B3542" s="466" t="n"/>
      <c r="C3542" s="1382" t="n"/>
      <c r="D3542" s="1704" t="n"/>
      <c r="E3542" s="466" t="n"/>
      <c r="F3542" s="1382" t="n"/>
      <c r="G3542" s="1704" t="n"/>
      <c r="H3542" s="866" t="n"/>
      <c r="I3542" s="1382" t="n"/>
      <c r="J3542" s="1704" t="n"/>
      <c r="K3542" s="866" t="n"/>
      <c r="L3542" s="1382" t="n"/>
      <c r="M3542" s="1704" t="n"/>
      <c r="N3542" s="866" t="n"/>
      <c r="O3542" s="1382" t="n"/>
      <c r="P3542" s="1704" t="n"/>
    </row>
    <row r="3543" ht="15.75" customHeight="1" s="2">
      <c r="A3543" s="462" t="inlineStr">
        <is>
          <t>Average Customer Spend</t>
        </is>
      </c>
      <c r="B3543" s="1649" t="n"/>
      <c r="C3543" s="1705" t="n"/>
      <c r="D3543" s="1706" t="n"/>
      <c r="E3543" s="1649" t="n"/>
      <c r="F3543" s="1705" t="n"/>
      <c r="G3543" s="1706" t="n"/>
      <c r="H3543" s="1648" t="n"/>
      <c r="I3543" s="1705" t="n"/>
      <c r="J3543" s="1706" t="n"/>
      <c r="K3543" s="1648" t="n"/>
      <c r="L3543" s="1705" t="n"/>
      <c r="M3543" s="1706" t="n"/>
      <c r="N3543" s="1648" t="n"/>
      <c r="O3543" s="1705" t="n"/>
      <c r="P3543" s="1706" t="n"/>
    </row>
    <row r="3544" ht="15.75" customHeight="1" s="2">
      <c r="A3544" s="462" t="inlineStr">
        <is>
          <t>Wage % to Total Receipts</t>
        </is>
      </c>
      <c r="B3544" s="863" t="n"/>
      <c r="C3544" s="1384">
        <f>C3549/C3540</f>
        <v/>
      </c>
      <c r="D3544" s="1375">
        <f>D3549/D3540</f>
        <v/>
      </c>
      <c r="E3544" s="863" t="n"/>
      <c r="F3544" s="1384">
        <f>F3549/F3540</f>
        <v/>
      </c>
      <c r="G3544" s="1375">
        <f>G3549/G3540</f>
        <v/>
      </c>
      <c r="H3544" s="868" t="n"/>
      <c r="I3544" s="1384">
        <f>I3549/I3540</f>
        <v/>
      </c>
      <c r="J3544" s="1375">
        <f>J3549/J3540</f>
        <v/>
      </c>
      <c r="K3544" s="868" t="n"/>
      <c r="L3544" s="1384">
        <f>L3549/L3540</f>
        <v/>
      </c>
      <c r="M3544" s="1375">
        <f>M3549/M3540</f>
        <v/>
      </c>
      <c r="N3544" s="868" t="n"/>
      <c r="O3544" s="1384">
        <f>O3549/O3540</f>
        <v/>
      </c>
      <c r="P3544" s="1375">
        <f>P3549/P3540</f>
        <v/>
      </c>
    </row>
    <row r="3545" ht="15.75" customHeight="1" s="2">
      <c r="A3545" s="462" t="inlineStr">
        <is>
          <t>Wage % to Nett Sales</t>
        </is>
      </c>
      <c r="B3545" s="863" t="n"/>
      <c r="C3545" s="1384">
        <f>C3549/C3541</f>
        <v/>
      </c>
      <c r="D3545" s="1375">
        <f>D3549/D3541</f>
        <v/>
      </c>
      <c r="E3545" s="863" t="n"/>
      <c r="F3545" s="1384">
        <f>F3549/F3541</f>
        <v/>
      </c>
      <c r="G3545" s="1375">
        <f>G3549/G3541</f>
        <v/>
      </c>
      <c r="H3545" s="868" t="n"/>
      <c r="I3545" s="1384">
        <f>I3549/I3541</f>
        <v/>
      </c>
      <c r="J3545" s="1375">
        <f>J3549/J3541</f>
        <v/>
      </c>
      <c r="K3545" s="868" t="n"/>
      <c r="L3545" s="1384">
        <f>L3549/L3541</f>
        <v/>
      </c>
      <c r="M3545" s="1375">
        <f>M3549/M3541</f>
        <v/>
      </c>
      <c r="N3545" s="868" t="n"/>
      <c r="O3545" s="1384">
        <f>O3549/O3541</f>
        <v/>
      </c>
      <c r="P3545" s="1375">
        <f>P3549/P3541</f>
        <v/>
      </c>
    </row>
    <row r="3546" ht="15.75" customHeight="1" s="2">
      <c r="A3546" s="462" t="inlineStr">
        <is>
          <t>Productivity</t>
        </is>
      </c>
      <c r="B3546" s="472" t="n"/>
      <c r="C3546" s="1385">
        <f>C3542/C3548</f>
        <v/>
      </c>
      <c r="D3546" s="1376">
        <f>D3542/D3548</f>
        <v/>
      </c>
      <c r="E3546" s="472" t="n"/>
      <c r="F3546" s="1385">
        <f>F3542/F3548</f>
        <v/>
      </c>
      <c r="G3546" s="1376">
        <f>G3542/G3548</f>
        <v/>
      </c>
      <c r="H3546" s="869" t="n"/>
      <c r="I3546" s="1385">
        <f>I3542/I3548</f>
        <v/>
      </c>
      <c r="J3546" s="1376">
        <f>J3542/J3548</f>
        <v/>
      </c>
      <c r="K3546" s="869" t="n"/>
      <c r="L3546" s="1385">
        <f>L3542/L3548</f>
        <v/>
      </c>
      <c r="M3546" s="1376">
        <f>M3542/M3548</f>
        <v/>
      </c>
      <c r="N3546" s="869" t="n"/>
      <c r="O3546" s="1385">
        <f>O3542/O3548</f>
        <v/>
      </c>
      <c r="P3546" s="1376">
        <f>P3542/P3548</f>
        <v/>
      </c>
    </row>
    <row r="3547" ht="15.75" customHeight="1" s="2">
      <c r="A3547" s="462" t="inlineStr">
        <is>
          <t>Average Hourly Rate</t>
        </is>
      </c>
      <c r="B3547" s="1649" t="n"/>
      <c r="C3547" s="1385" t="n"/>
      <c r="D3547" s="1706" t="n"/>
      <c r="E3547" s="1649" t="n"/>
      <c r="F3547" s="1385" t="n"/>
      <c r="G3547" s="1706" t="n"/>
      <c r="H3547" s="869" t="n"/>
      <c r="I3547" s="1385" t="n"/>
      <c r="J3547" s="1706" t="n"/>
      <c r="K3547" s="869" t="n"/>
      <c r="L3547" s="1385" t="n"/>
      <c r="M3547" s="1706" t="n"/>
      <c r="N3547" s="869" t="n"/>
      <c r="O3547" s="1385" t="n"/>
      <c r="P3547" s="1706" t="n"/>
    </row>
    <row r="3548" ht="15.75" customHeight="1" s="2">
      <c r="A3548" s="462" t="inlineStr">
        <is>
          <t>Total hours for productivity</t>
        </is>
      </c>
      <c r="B3548" s="466" t="n"/>
      <c r="C3548" s="1385" t="n"/>
      <c r="D3548" s="1377" t="n"/>
      <c r="E3548" s="466" t="n"/>
      <c r="F3548" s="1385" t="n"/>
      <c r="G3548" s="1377" t="n"/>
      <c r="H3548" s="869" t="n"/>
      <c r="I3548" s="1385" t="n"/>
      <c r="J3548" s="1377" t="n"/>
      <c r="K3548" s="869" t="n"/>
      <c r="L3548" s="1385" t="n"/>
      <c r="M3548" s="1377" t="n"/>
      <c r="N3548" s="869" t="n"/>
      <c r="O3548" s="1385" t="n"/>
      <c r="P3548" s="1377" t="n"/>
    </row>
    <row r="3549" ht="15.75" customHeight="1" s="2">
      <c r="A3549" s="462" t="inlineStr">
        <is>
          <t>wage costed</t>
        </is>
      </c>
      <c r="B3549" s="466" t="n"/>
      <c r="C3549" s="1386">
        <f>C3548*C3547</f>
        <v/>
      </c>
      <c r="D3549" s="1378">
        <f>D3548*D3547</f>
        <v/>
      </c>
      <c r="E3549" s="466" t="n"/>
      <c r="F3549" s="1386">
        <f>F3548*F3547</f>
        <v/>
      </c>
      <c r="G3549" s="1378">
        <f>G3548*G3547</f>
        <v/>
      </c>
      <c r="H3549" s="870" t="n"/>
      <c r="I3549" s="1386">
        <f>I3548*I3547</f>
        <v/>
      </c>
      <c r="J3549" s="1378">
        <f>J3548*J3547</f>
        <v/>
      </c>
      <c r="K3549" s="870" t="n"/>
      <c r="L3549" s="1386">
        <f>L3548*L3547</f>
        <v/>
      </c>
      <c r="M3549" s="1378">
        <f>M3548*M3547</f>
        <v/>
      </c>
      <c r="N3549" s="870" t="n"/>
      <c r="O3549" s="1386">
        <f>O3548*O3547</f>
        <v/>
      </c>
      <c r="P3549" s="1378">
        <f>P3548*P3547</f>
        <v/>
      </c>
    </row>
    <row r="3550" ht="15.75" customHeight="1" s="2" thickBot="1">
      <c r="A3550" s="474" t="inlineStr">
        <is>
          <t>Number of hours used to cover sick leave</t>
        </is>
      </c>
      <c r="B3550" s="476" t="n"/>
      <c r="C3550" s="1387" t="n"/>
      <c r="D3550" s="1379" t="n"/>
      <c r="E3550" s="476" t="n"/>
      <c r="F3550" s="1387" t="n"/>
      <c r="G3550" s="1379" t="n"/>
      <c r="H3550" s="813" t="n"/>
      <c r="I3550" s="1387" t="n"/>
      <c r="J3550" s="1379" t="n"/>
      <c r="K3550" s="1229" t="n"/>
      <c r="L3550" s="1387" t="n"/>
      <c r="M3550" s="1379" t="n"/>
      <c r="N3550" s="813" t="n"/>
      <c r="O3550" s="1387" t="n"/>
      <c r="P3550" s="1379" t="n"/>
    </row>
    <row r="3551" ht="15.75" customHeight="1" s="2" thickBot="1">
      <c r="A3551" s="477" t="inlineStr">
        <is>
          <t xml:space="preserve">Minimum Hours </t>
        </is>
      </c>
      <c r="B3551" s="935" t="n"/>
      <c r="C3551" s="1388" t="inlineStr">
        <is>
          <t>Projected</t>
        </is>
      </c>
      <c r="D3551" s="1391" t="inlineStr">
        <is>
          <t>Min Hrs</t>
        </is>
      </c>
      <c r="E3551" s="935" t="n"/>
      <c r="F3551" s="1388" t="inlineStr">
        <is>
          <t>Projected</t>
        </is>
      </c>
      <c r="G3551" s="1391" t="inlineStr">
        <is>
          <t>Min Hrs</t>
        </is>
      </c>
      <c r="H3551" s="935" t="n"/>
      <c r="I3551" s="1388" t="inlineStr">
        <is>
          <t>Projected</t>
        </is>
      </c>
      <c r="J3551" s="1391" t="inlineStr">
        <is>
          <t>Min Hrs</t>
        </is>
      </c>
      <c r="K3551" s="935" t="n"/>
      <c r="L3551" s="1388" t="inlineStr">
        <is>
          <t>Projected</t>
        </is>
      </c>
      <c r="M3551" s="1391" t="inlineStr">
        <is>
          <t>Min Hrs</t>
        </is>
      </c>
      <c r="N3551" s="935" t="n"/>
      <c r="O3551" s="1388" t="inlineStr">
        <is>
          <t>Projected</t>
        </is>
      </c>
      <c r="P3551" s="1391" t="inlineStr">
        <is>
          <t>Min Hrs</t>
        </is>
      </c>
    </row>
    <row r="3552" ht="15.75" customHeight="1" s="2">
      <c r="A3552" s="479" t="inlineStr">
        <is>
          <t>Floor</t>
        </is>
      </c>
      <c r="B3552" s="810" t="n"/>
      <c r="C3552" s="1389" t="n"/>
      <c r="D3552" s="1392" t="n"/>
      <c r="E3552" s="810" t="n"/>
      <c r="F3552" s="1389" t="n"/>
      <c r="G3552" s="1392" t="n"/>
      <c r="H3552" s="810" t="n"/>
      <c r="I3552" s="1389" t="n"/>
      <c r="J3552" s="1392" t="n"/>
      <c r="K3552" s="810" t="n"/>
      <c r="L3552" s="1389" t="n"/>
      <c r="M3552" s="1392" t="n"/>
      <c r="N3552" s="810" t="n"/>
      <c r="O3552" s="1389" t="n"/>
      <c r="P3552" s="1392" t="n"/>
    </row>
    <row r="3553" ht="15.75" customHeight="1" s="2" thickBot="1">
      <c r="A3553" s="481" t="inlineStr">
        <is>
          <t>Kitchen</t>
        </is>
      </c>
      <c r="B3553" s="813" t="n"/>
      <c r="C3553" s="1387" t="n"/>
      <c r="D3553" s="1393" t="n"/>
      <c r="E3553" s="813" t="n"/>
      <c r="F3553" s="1390" t="n"/>
      <c r="G3553" s="1393" t="n"/>
      <c r="H3553" s="813" t="n"/>
      <c r="I3553" s="1390" t="n"/>
      <c r="J3553" s="1393" t="n"/>
      <c r="K3553" s="813" t="n"/>
      <c r="L3553" s="1390" t="n"/>
      <c r="M3553" s="1393" t="n"/>
      <c r="N3553" s="813" t="n"/>
      <c r="O3553" s="1387" t="n"/>
      <c r="P3553" s="1393" t="n"/>
    </row>
    <row r="3554" ht="15.75" customHeight="1" s="2" thickBot="1">
      <c r="A3554" s="834" t="n"/>
      <c r="B3554" s="836" t="n"/>
      <c r="C3554" s="1220" t="n"/>
      <c r="D3554" s="1220" t="n"/>
      <c r="E3554" s="839" t="n"/>
      <c r="F3554" s="1220" t="n"/>
      <c r="G3554" s="1220" t="n"/>
      <c r="H3554" s="839" t="n"/>
      <c r="I3554" s="1220" t="n"/>
      <c r="J3554" s="1220" t="n"/>
      <c r="K3554" s="839" t="n"/>
      <c r="L3554" s="1220" t="n"/>
      <c r="M3554" s="1220" t="n"/>
      <c r="N3554" s="839" t="n"/>
      <c r="O3554" s="835" t="n"/>
      <c r="P3554" s="835" t="n"/>
    </row>
    <row r="3555" ht="15.75" customHeight="1" s="2">
      <c r="A3555" s="506" t="inlineStr">
        <is>
          <t>Training explanation</t>
        </is>
      </c>
      <c r="B3555" s="837" t="n"/>
      <c r="C3555" s="1220" t="n"/>
      <c r="D3555" s="1220" t="n"/>
      <c r="E3555" s="837" t="n"/>
      <c r="F3555" s="1220" t="n"/>
      <c r="G3555" s="1220" t="n"/>
      <c r="H3555" s="837" t="n"/>
      <c r="I3555" s="1220" t="n"/>
      <c r="J3555" s="1220" t="n"/>
      <c r="K3555" s="837" t="n"/>
      <c r="L3555" s="1220" t="n"/>
      <c r="M3555" s="1220" t="n"/>
      <c r="N3555" s="837" t="n"/>
      <c r="O3555" s="835" t="n"/>
      <c r="P3555" s="835" t="n"/>
    </row>
    <row r="3556" ht="15.75" customHeight="1" s="2" thickBot="1">
      <c r="A3556" s="506" t="inlineStr">
        <is>
          <t>Who is being Trained</t>
        </is>
      </c>
      <c r="B3556" s="838" t="n"/>
      <c r="C3556" s="1221" t="n"/>
      <c r="D3556" s="1221" t="n"/>
      <c r="E3556" s="838" t="n"/>
      <c r="F3556" s="1221" t="n"/>
      <c r="G3556" s="1221" t="n"/>
      <c r="H3556" s="838" t="n"/>
      <c r="I3556" s="1221" t="n"/>
      <c r="J3556" s="1221" t="n"/>
      <c r="K3556" s="838" t="n"/>
      <c r="L3556" s="1221" t="n"/>
      <c r="M3556" s="1221" t="n"/>
      <c r="N3556" s="838" t="n"/>
    </row>
    <row r="3557" ht="15.75" customHeight="1" s="2" thickBot="1">
      <c r="A3557" s="506" t="n"/>
      <c r="C3557" s="523" t="inlineStr">
        <is>
          <t>floor</t>
        </is>
      </c>
      <c r="D3557" s="524" t="inlineStr">
        <is>
          <t>kitchen</t>
        </is>
      </c>
      <c r="E3557" s="509" t="n"/>
      <c r="F3557" s="507" t="inlineStr">
        <is>
          <t>floor</t>
        </is>
      </c>
      <c r="G3557" s="508" t="inlineStr">
        <is>
          <t>kitchen</t>
        </is>
      </c>
      <c r="H3557" s="510" t="n"/>
      <c r="I3557" s="535" t="inlineStr">
        <is>
          <t>floor</t>
        </is>
      </c>
      <c r="J3557" s="511" t="inlineStr">
        <is>
          <t>kitchen</t>
        </is>
      </c>
      <c r="K3557" s="512" t="n"/>
      <c r="L3557" s="535" t="inlineStr">
        <is>
          <t>floor</t>
        </is>
      </c>
      <c r="M3557" s="513" t="inlineStr">
        <is>
          <t>kitchen</t>
        </is>
      </c>
      <c r="N3557" s="512" t="n"/>
      <c r="O3557" s="535" t="inlineStr">
        <is>
          <t>floor</t>
        </is>
      </c>
      <c r="P3557" s="513" t="inlineStr">
        <is>
          <t>kitchen</t>
        </is>
      </c>
    </row>
    <row r="3558" ht="15.75" customHeight="1" s="2">
      <c r="A3558" s="506" t="n"/>
      <c r="C3558" s="525" t="n"/>
      <c r="D3558" s="527" t="n"/>
      <c r="E3558" s="514" t="n"/>
      <c r="F3558" s="525" t="n"/>
      <c r="G3558" s="527" t="n"/>
      <c r="H3558" s="515" t="n"/>
      <c r="I3558" s="531" t="n"/>
      <c r="J3558" s="824" t="n"/>
      <c r="K3558" s="515" t="n"/>
      <c r="L3558" s="536" t="n"/>
      <c r="M3558" s="532" t="n"/>
      <c r="N3558" s="515" t="n"/>
      <c r="O3558" s="536" t="n"/>
      <c r="P3558" s="532" t="n"/>
    </row>
    <row r="3559" ht="15.75" customHeight="1" s="2">
      <c r="C3559" s="891" t="n"/>
      <c r="D3559" s="526" t="n"/>
      <c r="E3559" s="514" t="n"/>
      <c r="F3559" s="891" t="n"/>
      <c r="G3559" s="526" t="n"/>
      <c r="H3559" s="516" t="n"/>
      <c r="I3559" s="1656" t="n"/>
      <c r="J3559" s="530" t="n"/>
      <c r="K3559" s="516" t="n"/>
      <c r="L3559" s="542" t="n"/>
      <c r="M3559" s="530" t="n"/>
      <c r="N3559" s="516" t="n"/>
      <c r="O3559" s="542" t="n"/>
      <c r="P3559" s="530" t="n"/>
    </row>
    <row r="3560" ht="15.75" customHeight="1" s="2">
      <c r="C3560" s="550" t="n"/>
      <c r="D3560" s="527" t="n"/>
      <c r="E3560" s="514" t="n"/>
      <c r="F3560" s="531" t="n"/>
      <c r="G3560" s="530" t="n"/>
      <c r="H3560" s="516" t="n"/>
      <c r="I3560" s="537" t="n"/>
      <c r="J3560" s="530" t="n"/>
      <c r="K3560" s="516" t="n"/>
      <c r="L3560" s="1657" t="n"/>
      <c r="M3560" s="539" t="n"/>
      <c r="N3560" s="516" t="n"/>
      <c r="O3560" s="542" t="n"/>
      <c r="P3560" s="539" t="n"/>
    </row>
    <row r="3561" ht="15.75" customHeight="1" s="2">
      <c r="C3561" s="561" t="n"/>
      <c r="D3561" s="561" t="n"/>
      <c r="E3561" s="519" t="n"/>
      <c r="F3561" s="517" t="n"/>
      <c r="G3561" s="1659" t="n"/>
      <c r="H3561" s="516" t="n"/>
      <c r="I3561" s="537" t="n"/>
      <c r="J3561" s="530" t="n"/>
      <c r="K3561" s="516" t="n"/>
      <c r="L3561" s="537" t="n"/>
      <c r="M3561" s="539" t="n"/>
      <c r="N3561" s="516" t="n"/>
      <c r="O3561" s="537" t="n"/>
      <c r="P3561" s="539" t="n"/>
    </row>
    <row r="3562" ht="15.75" customHeight="1" s="2">
      <c r="C3562" s="551" t="n"/>
      <c r="D3562" s="528" t="n"/>
      <c r="E3562" s="519" t="n"/>
      <c r="F3562" s="517" t="n"/>
      <c r="G3562" s="518" t="n"/>
      <c r="H3562" s="516" t="n"/>
      <c r="I3562" s="537" t="n"/>
      <c r="J3562" s="533" t="n"/>
      <c r="K3562" s="516" t="n"/>
      <c r="L3562" s="537" t="n"/>
      <c r="M3562" s="540" t="n"/>
      <c r="N3562" s="516" t="n"/>
      <c r="O3562" s="537" t="n"/>
      <c r="P3562" s="540" t="n"/>
    </row>
    <row r="3563" ht="15.75" customHeight="1" s="2">
      <c r="C3563" s="550" t="n"/>
      <c r="D3563" s="527" t="n"/>
      <c r="E3563" s="514" t="n"/>
      <c r="F3563" s="531" t="n"/>
      <c r="G3563" s="530" t="n"/>
      <c r="H3563" s="516" t="n"/>
      <c r="I3563" s="537" t="n"/>
      <c r="J3563" s="530" t="n"/>
      <c r="K3563" s="516" t="n"/>
      <c r="L3563" s="1657" t="n"/>
      <c r="M3563" s="539" t="n"/>
      <c r="N3563" s="516" t="n"/>
      <c r="O3563" s="542" t="n"/>
      <c r="P3563" s="539" t="n"/>
    </row>
    <row r="3564" ht="15.75" customHeight="1" s="2">
      <c r="C3564" s="561" t="n"/>
      <c r="D3564" s="561" t="n"/>
      <c r="E3564" s="519" t="n"/>
      <c r="F3564" s="517" t="n"/>
      <c r="G3564" s="1659" t="n"/>
      <c r="H3564" s="516" t="n"/>
      <c r="I3564" s="537" t="n"/>
      <c r="J3564" s="530" t="n"/>
      <c r="K3564" s="516" t="n"/>
      <c r="L3564" s="537" t="n"/>
      <c r="M3564" s="539" t="n"/>
      <c r="N3564" s="516" t="n"/>
      <c r="O3564" s="537" t="n"/>
      <c r="P3564" s="539" t="n"/>
    </row>
    <row r="3565" ht="15.75" customHeight="1" s="2">
      <c r="C3565" s="551" t="n"/>
      <c r="D3565" s="528" t="n"/>
      <c r="E3565" s="519" t="n"/>
      <c r="F3565" s="517" t="n"/>
      <c r="G3565" s="518" t="n"/>
      <c r="H3565" s="516" t="n"/>
      <c r="I3565" s="537" t="n"/>
      <c r="J3565" s="533" t="n"/>
      <c r="K3565" s="516" t="n"/>
      <c r="L3565" s="537" t="n"/>
      <c r="M3565" s="540" t="n"/>
      <c r="N3565" s="516" t="n"/>
      <c r="O3565" s="537" t="n"/>
      <c r="P3565" s="540" t="n"/>
    </row>
    <row r="3567" ht="15.75" customHeight="1" s="2" thickBot="1"/>
    <row r="3568" ht="15.75" customHeight="1" s="2" thickBot="1">
      <c r="B3568" s="1482" t="n"/>
      <c r="C3568" s="1483" t="n"/>
      <c r="D3568" s="1484" t="n"/>
      <c r="E3568" s="1485" t="n"/>
      <c r="F3568" s="1486" t="n"/>
      <c r="G3568" s="1487" t="n"/>
      <c r="H3568" s="1485" t="n"/>
      <c r="I3568" s="1486" t="n"/>
      <c r="J3568" s="1487" t="n"/>
      <c r="K3568" s="1485" t="n"/>
      <c r="L3568" s="1486" t="n"/>
      <c r="M3568" s="1487" t="n"/>
      <c r="N3568" s="1488" t="n"/>
      <c r="O3568" s="1489" t="n"/>
      <c r="P3568" s="1490" t="n"/>
    </row>
    <row r="3569" ht="15.75" customHeight="1" s="2" thickBot="1">
      <c r="A3569" s="455" t="n"/>
      <c r="B3569" s="1394" t="inlineStr">
        <is>
          <t>LAST YEAR</t>
        </is>
      </c>
      <c r="C3569" s="1395" t="inlineStr">
        <is>
          <t>Projected</t>
        </is>
      </c>
      <c r="D3569" s="1396" t="inlineStr">
        <is>
          <t>Actual</t>
        </is>
      </c>
      <c r="E3569" s="1394" t="inlineStr">
        <is>
          <t>LAST YEAR</t>
        </is>
      </c>
      <c r="F3569" s="1395" t="inlineStr">
        <is>
          <t>Projected</t>
        </is>
      </c>
      <c r="G3569" s="1396" t="inlineStr">
        <is>
          <t>Actual</t>
        </is>
      </c>
      <c r="H3569" s="1394" t="inlineStr">
        <is>
          <t>LAST YEAR</t>
        </is>
      </c>
      <c r="I3569" s="1395" t="inlineStr">
        <is>
          <t>Projected</t>
        </is>
      </c>
      <c r="J3569" s="1396" t="inlineStr">
        <is>
          <t>Actual</t>
        </is>
      </c>
      <c r="K3569" s="1394" t="inlineStr">
        <is>
          <t>LAST YEAR</t>
        </is>
      </c>
      <c r="L3569" s="1395" t="inlineStr">
        <is>
          <t>Projected</t>
        </is>
      </c>
      <c r="M3569" s="1396" t="inlineStr">
        <is>
          <t>Actual</t>
        </is>
      </c>
      <c r="N3569" s="1394" t="inlineStr">
        <is>
          <t>LAST YEAR</t>
        </is>
      </c>
      <c r="O3569" s="1395" t="inlineStr">
        <is>
          <t>Projected</t>
        </is>
      </c>
      <c r="P3569" s="1396" t="inlineStr">
        <is>
          <t>Actual</t>
        </is>
      </c>
    </row>
    <row r="3570" ht="15.75" customHeight="1" s="2">
      <c r="A3570" s="459" t="inlineStr">
        <is>
          <t>Total Receipts</t>
        </is>
      </c>
      <c r="B3570" s="1645" t="n"/>
      <c r="C3570" s="1700" t="n"/>
      <c r="D3570" s="1701" t="n"/>
      <c r="E3570" s="1645" t="n"/>
      <c r="F3570" s="1700" t="n"/>
      <c r="G3570" s="1701" t="n"/>
      <c r="H3570" s="1644" t="n"/>
      <c r="I3570" s="1700" t="n"/>
      <c r="J3570" s="1701" t="n"/>
      <c r="K3570" s="1644" t="n"/>
      <c r="L3570" s="1700" t="n"/>
      <c r="M3570" s="1701" t="n"/>
      <c r="N3570" s="1644" t="n"/>
      <c r="O3570" s="1700" t="n"/>
      <c r="P3570" s="1701" t="n"/>
    </row>
    <row r="3571" ht="15.75" customHeight="1" s="2">
      <c r="A3571" s="462" t="inlineStr">
        <is>
          <t>Nett Sales</t>
        </is>
      </c>
      <c r="B3571" s="1625" t="n"/>
      <c r="C3571" s="1702" t="n"/>
      <c r="D3571" s="1703" t="n"/>
      <c r="E3571" s="1637" t="n"/>
      <c r="F3571" s="1702" t="n"/>
      <c r="G3571" s="1703" t="n"/>
      <c r="H3571" s="1646" t="n"/>
      <c r="I3571" s="1702" t="n"/>
      <c r="J3571" s="1703" t="n"/>
      <c r="K3571" s="1646" t="n"/>
      <c r="L3571" s="1702" t="n"/>
      <c r="M3571" s="1703" t="n"/>
      <c r="N3571" s="1646" t="n"/>
      <c r="O3571" s="1702" t="n"/>
      <c r="P3571" s="1703" t="n"/>
    </row>
    <row r="3572" ht="15.75" customHeight="1" s="2">
      <c r="A3572" s="462" t="inlineStr">
        <is>
          <t>Customers</t>
        </is>
      </c>
      <c r="B3572" s="466" t="n"/>
      <c r="C3572" s="1382" t="n"/>
      <c r="D3572" s="1704" t="n"/>
      <c r="E3572" s="466" t="n"/>
      <c r="F3572" s="1382" t="n"/>
      <c r="G3572" s="1704" t="n"/>
      <c r="H3572" s="866" t="n"/>
      <c r="I3572" s="1382" t="n"/>
      <c r="J3572" s="1704" t="n"/>
      <c r="K3572" s="866" t="n"/>
      <c r="L3572" s="1382" t="n"/>
      <c r="M3572" s="1704" t="n"/>
      <c r="N3572" s="866" t="n"/>
      <c r="O3572" s="1382" t="n"/>
      <c r="P3572" s="1704" t="n"/>
    </row>
    <row r="3573" ht="15.75" customHeight="1" s="2">
      <c r="A3573" s="462" t="inlineStr">
        <is>
          <t>Average Customer Spend</t>
        </is>
      </c>
      <c r="B3573" s="1649" t="n"/>
      <c r="C3573" s="1705" t="n"/>
      <c r="D3573" s="1706" t="n"/>
      <c r="E3573" s="1649" t="n"/>
      <c r="F3573" s="1705" t="n"/>
      <c r="G3573" s="1706" t="n"/>
      <c r="H3573" s="1648" t="n"/>
      <c r="I3573" s="1705" t="n"/>
      <c r="J3573" s="1706" t="n"/>
      <c r="K3573" s="1648" t="n"/>
      <c r="L3573" s="1705" t="n"/>
      <c r="M3573" s="1706" t="n"/>
      <c r="N3573" s="1648" t="n"/>
      <c r="O3573" s="1705" t="n"/>
      <c r="P3573" s="1706" t="n"/>
    </row>
    <row r="3574" ht="15.75" customHeight="1" s="2">
      <c r="A3574" s="462" t="inlineStr">
        <is>
          <t>Wage % to Total Receipts</t>
        </is>
      </c>
      <c r="B3574" s="863" t="n"/>
      <c r="C3574" s="1384">
        <f>C3579/C3570</f>
        <v/>
      </c>
      <c r="D3574" s="1375">
        <f>D3579/D3570</f>
        <v/>
      </c>
      <c r="E3574" s="863" t="n"/>
      <c r="F3574" s="1384">
        <f>F3579/F3570</f>
        <v/>
      </c>
      <c r="G3574" s="1375">
        <f>G3579/G3570</f>
        <v/>
      </c>
      <c r="H3574" s="868" t="n"/>
      <c r="I3574" s="1384">
        <f>I3579/I3570</f>
        <v/>
      </c>
      <c r="J3574" s="1375">
        <f>J3579/J3570</f>
        <v/>
      </c>
      <c r="K3574" s="868" t="n"/>
      <c r="L3574" s="1384">
        <f>L3579/L3570</f>
        <v/>
      </c>
      <c r="M3574" s="1375">
        <f>M3579/M3570</f>
        <v/>
      </c>
      <c r="N3574" s="868" t="n"/>
      <c r="O3574" s="1384">
        <f>O3579/O3570</f>
        <v/>
      </c>
      <c r="P3574" s="1375">
        <f>P3579/P3570</f>
        <v/>
      </c>
    </row>
    <row r="3575" ht="15.75" customHeight="1" s="2">
      <c r="A3575" s="462" t="inlineStr">
        <is>
          <t>Wage % to Nett Sales</t>
        </is>
      </c>
      <c r="B3575" s="863" t="n"/>
      <c r="C3575" s="1384">
        <f>C3579/C3571</f>
        <v/>
      </c>
      <c r="D3575" s="1375">
        <f>D3579/D3571</f>
        <v/>
      </c>
      <c r="E3575" s="863" t="n"/>
      <c r="F3575" s="1384">
        <f>F3579/F3571</f>
        <v/>
      </c>
      <c r="G3575" s="1375">
        <f>G3579/G3571</f>
        <v/>
      </c>
      <c r="H3575" s="868" t="n"/>
      <c r="I3575" s="1384">
        <f>I3579/I3571</f>
        <v/>
      </c>
      <c r="J3575" s="1375">
        <f>J3579/J3571</f>
        <v/>
      </c>
      <c r="K3575" s="868" t="n"/>
      <c r="L3575" s="1384">
        <f>L3579/L3571</f>
        <v/>
      </c>
      <c r="M3575" s="1375">
        <f>M3579/M3571</f>
        <v/>
      </c>
      <c r="N3575" s="868" t="n"/>
      <c r="O3575" s="1384">
        <f>O3579/O3571</f>
        <v/>
      </c>
      <c r="P3575" s="1375">
        <f>P3579/P3571</f>
        <v/>
      </c>
    </row>
    <row r="3576" ht="15.75" customHeight="1" s="2">
      <c r="A3576" s="462" t="inlineStr">
        <is>
          <t>Productivity</t>
        </is>
      </c>
      <c r="B3576" s="472" t="n"/>
      <c r="C3576" s="1385">
        <f>C3572/C3578</f>
        <v/>
      </c>
      <c r="D3576" s="1376">
        <f>D3572/D3578</f>
        <v/>
      </c>
      <c r="E3576" s="472" t="n"/>
      <c r="F3576" s="1385">
        <f>F3572/F3578</f>
        <v/>
      </c>
      <c r="G3576" s="1376">
        <f>G3572/G3578</f>
        <v/>
      </c>
      <c r="H3576" s="869" t="n"/>
      <c r="I3576" s="1385">
        <f>I3572/I3578</f>
        <v/>
      </c>
      <c r="J3576" s="1376">
        <f>J3572/J3578</f>
        <v/>
      </c>
      <c r="K3576" s="869" t="n"/>
      <c r="L3576" s="1385">
        <f>L3572/L3578</f>
        <v/>
      </c>
      <c r="M3576" s="1376">
        <f>M3572/M3578</f>
        <v/>
      </c>
      <c r="N3576" s="869" t="n"/>
      <c r="O3576" s="1385">
        <f>O3572/O3578</f>
        <v/>
      </c>
      <c r="P3576" s="1376">
        <f>P3572/P3578</f>
        <v/>
      </c>
    </row>
    <row r="3577" ht="15.75" customHeight="1" s="2">
      <c r="A3577" s="462" t="inlineStr">
        <is>
          <t>Average Hourly Rate</t>
        </is>
      </c>
      <c r="B3577" s="1649" t="n"/>
      <c r="C3577" s="1385" t="n"/>
      <c r="D3577" s="1706" t="n"/>
      <c r="E3577" s="1649" t="n"/>
      <c r="F3577" s="1385" t="n"/>
      <c r="G3577" s="1706" t="n"/>
      <c r="H3577" s="869" t="n"/>
      <c r="I3577" s="1385" t="n"/>
      <c r="J3577" s="1706" t="n"/>
      <c r="K3577" s="869" t="n"/>
      <c r="L3577" s="1385" t="n"/>
      <c r="M3577" s="1706" t="n"/>
      <c r="N3577" s="869" t="n"/>
      <c r="O3577" s="1385" t="n"/>
      <c r="P3577" s="1706" t="n"/>
    </row>
    <row r="3578" ht="15.75" customHeight="1" s="2">
      <c r="A3578" s="462" t="inlineStr">
        <is>
          <t>Total hours for productivity</t>
        </is>
      </c>
      <c r="B3578" s="466" t="n"/>
      <c r="C3578" s="1385" t="n"/>
      <c r="D3578" s="1377" t="n"/>
      <c r="E3578" s="466" t="n"/>
      <c r="F3578" s="1385" t="n"/>
      <c r="G3578" s="1377" t="n"/>
      <c r="H3578" s="869" t="n"/>
      <c r="I3578" s="1385" t="n"/>
      <c r="J3578" s="1377" t="n"/>
      <c r="K3578" s="869" t="n"/>
      <c r="L3578" s="1385" t="n"/>
      <c r="M3578" s="1377" t="n"/>
      <c r="N3578" s="869" t="n"/>
      <c r="O3578" s="1385" t="n"/>
      <c r="P3578" s="1377" t="n"/>
    </row>
    <row r="3579" ht="15.75" customHeight="1" s="2">
      <c r="A3579" s="462" t="inlineStr">
        <is>
          <t>wage costed</t>
        </is>
      </c>
      <c r="B3579" s="466" t="n"/>
      <c r="C3579" s="1386">
        <f>C3578*C3577</f>
        <v/>
      </c>
      <c r="D3579" s="1378">
        <f>D3578*D3577</f>
        <v/>
      </c>
      <c r="E3579" s="466" t="n"/>
      <c r="F3579" s="1386">
        <f>F3578*F3577</f>
        <v/>
      </c>
      <c r="G3579" s="1378">
        <f>G3578*G3577</f>
        <v/>
      </c>
      <c r="H3579" s="870" t="n"/>
      <c r="I3579" s="1386">
        <f>I3578*I3577</f>
        <v/>
      </c>
      <c r="J3579" s="1378">
        <f>J3578*J3577</f>
        <v/>
      </c>
      <c r="K3579" s="870" t="n"/>
      <c r="L3579" s="1386">
        <f>L3578*L3577</f>
        <v/>
      </c>
      <c r="M3579" s="1378">
        <f>M3578*M3577</f>
        <v/>
      </c>
      <c r="N3579" s="870" t="n"/>
      <c r="O3579" s="1386">
        <f>O3578*O3577</f>
        <v/>
      </c>
      <c r="P3579" s="1378">
        <f>P3578*P3577</f>
        <v/>
      </c>
    </row>
    <row r="3580" ht="15.75" customHeight="1" s="2" thickBot="1">
      <c r="A3580" s="474" t="inlineStr">
        <is>
          <t>Number of hours used to cover sick leave</t>
        </is>
      </c>
      <c r="B3580" s="476" t="n"/>
      <c r="C3580" s="1387" t="n"/>
      <c r="D3580" s="1379" t="n"/>
      <c r="E3580" s="476" t="n"/>
      <c r="F3580" s="1387" t="n"/>
      <c r="G3580" s="1379" t="n"/>
      <c r="H3580" s="813" t="n"/>
      <c r="I3580" s="1387" t="n"/>
      <c r="J3580" s="1379" t="n"/>
      <c r="K3580" s="1229" t="n"/>
      <c r="L3580" s="1387" t="n"/>
      <c r="M3580" s="1379" t="n"/>
      <c r="N3580" s="813" t="n"/>
      <c r="O3580" s="1387" t="n"/>
      <c r="P3580" s="1379" t="n"/>
    </row>
    <row r="3581" ht="15.75" customHeight="1" s="2" thickBot="1">
      <c r="A3581" s="477" t="inlineStr">
        <is>
          <t xml:space="preserve">Minimum Hours </t>
        </is>
      </c>
      <c r="B3581" s="935" t="n"/>
      <c r="C3581" s="1388" t="inlineStr">
        <is>
          <t>Projected</t>
        </is>
      </c>
      <c r="D3581" s="1391" t="inlineStr">
        <is>
          <t>Min Hrs</t>
        </is>
      </c>
      <c r="E3581" s="935" t="n"/>
      <c r="F3581" s="1388" t="inlineStr">
        <is>
          <t>Projected</t>
        </is>
      </c>
      <c r="G3581" s="1391" t="inlineStr">
        <is>
          <t>Min Hrs</t>
        </is>
      </c>
      <c r="H3581" s="935" t="n"/>
      <c r="I3581" s="1388" t="inlineStr">
        <is>
          <t>Projected</t>
        </is>
      </c>
      <c r="J3581" s="1391" t="inlineStr">
        <is>
          <t>Min Hrs</t>
        </is>
      </c>
      <c r="K3581" s="935" t="n"/>
      <c r="L3581" s="1388" t="inlineStr">
        <is>
          <t>Projected</t>
        </is>
      </c>
      <c r="M3581" s="1391" t="inlineStr">
        <is>
          <t>Min Hrs</t>
        </is>
      </c>
      <c r="N3581" s="935" t="n"/>
      <c r="O3581" s="1388" t="inlineStr">
        <is>
          <t>Projected</t>
        </is>
      </c>
      <c r="P3581" s="1391" t="inlineStr">
        <is>
          <t>Min Hrs</t>
        </is>
      </c>
    </row>
    <row r="3582" ht="15.75" customHeight="1" s="2">
      <c r="A3582" s="479" t="inlineStr">
        <is>
          <t>Floor</t>
        </is>
      </c>
      <c r="B3582" s="810" t="n"/>
      <c r="C3582" s="1389" t="n"/>
      <c r="D3582" s="1392" t="n"/>
      <c r="E3582" s="810" t="n"/>
      <c r="F3582" s="1389" t="n"/>
      <c r="G3582" s="1392" t="n"/>
      <c r="H3582" s="810" t="n"/>
      <c r="I3582" s="1389" t="n"/>
      <c r="J3582" s="1392" t="n"/>
      <c r="K3582" s="810" t="n"/>
      <c r="L3582" s="1389" t="n"/>
      <c r="M3582" s="1392" t="n"/>
      <c r="N3582" s="810" t="n"/>
      <c r="O3582" s="1389" t="n"/>
      <c r="P3582" s="1392" t="n"/>
    </row>
    <row r="3583" ht="15.75" customHeight="1" s="2" thickBot="1">
      <c r="A3583" s="481" t="inlineStr">
        <is>
          <t>Kitchen</t>
        </is>
      </c>
      <c r="B3583" s="813" t="n"/>
      <c r="C3583" s="1387" t="n"/>
      <c r="D3583" s="1393" t="n"/>
      <c r="E3583" s="813" t="n"/>
      <c r="F3583" s="1390" t="n"/>
      <c r="G3583" s="1393" t="n"/>
      <c r="H3583" s="813" t="n"/>
      <c r="I3583" s="1390" t="n"/>
      <c r="J3583" s="1393" t="n"/>
      <c r="K3583" s="813" t="n"/>
      <c r="L3583" s="1390" t="n"/>
      <c r="M3583" s="1393" t="n"/>
      <c r="N3583" s="813" t="n"/>
      <c r="O3583" s="1387" t="n"/>
      <c r="P3583" s="1393" t="n"/>
    </row>
    <row r="3584" ht="15.75" customHeight="1" s="2" thickBot="1">
      <c r="A3584" s="834" t="n"/>
      <c r="B3584" s="836" t="n"/>
      <c r="C3584" s="1220" t="n"/>
      <c r="D3584" s="1220" t="n"/>
      <c r="E3584" s="839" t="n"/>
      <c r="F3584" s="1220" t="n"/>
      <c r="G3584" s="1220" t="n"/>
      <c r="H3584" s="839" t="n"/>
      <c r="I3584" s="1220" t="n"/>
      <c r="J3584" s="1220" t="n"/>
      <c r="K3584" s="839" t="n"/>
      <c r="L3584" s="1220" t="n"/>
      <c r="M3584" s="1220" t="n"/>
      <c r="N3584" s="839" t="n"/>
      <c r="O3584" s="835" t="n"/>
      <c r="P3584" s="835" t="n"/>
    </row>
    <row r="3585" ht="15.75" customHeight="1" s="2">
      <c r="A3585" s="506" t="inlineStr">
        <is>
          <t>Training explanation</t>
        </is>
      </c>
      <c r="B3585" s="837" t="n"/>
      <c r="C3585" s="1220" t="n"/>
      <c r="D3585" s="1220" t="n"/>
      <c r="E3585" s="837" t="n"/>
      <c r="F3585" s="1220" t="n"/>
      <c r="G3585" s="1220" t="n"/>
      <c r="H3585" s="837" t="n"/>
      <c r="I3585" s="1220" t="n"/>
      <c r="J3585" s="1220" t="n"/>
      <c r="K3585" s="837" t="n"/>
      <c r="L3585" s="1220" t="n"/>
      <c r="M3585" s="1220" t="n"/>
      <c r="N3585" s="837" t="n"/>
      <c r="O3585" s="835" t="n"/>
      <c r="P3585" s="835" t="n"/>
    </row>
    <row r="3586" ht="15.75" customHeight="1" s="2" thickBot="1">
      <c r="A3586" s="506" t="inlineStr">
        <is>
          <t>Who is being Trained</t>
        </is>
      </c>
      <c r="B3586" s="838" t="n"/>
      <c r="C3586" s="1221" t="n"/>
      <c r="D3586" s="1221" t="n"/>
      <c r="E3586" s="838" t="n"/>
      <c r="F3586" s="1221" t="n"/>
      <c r="G3586" s="1221" t="n"/>
      <c r="H3586" s="838" t="n"/>
      <c r="I3586" s="1221" t="n"/>
      <c r="J3586" s="1221" t="n"/>
      <c r="K3586" s="838" t="n"/>
      <c r="L3586" s="1221" t="n"/>
      <c r="M3586" s="1221" t="n"/>
      <c r="N3586" s="838" t="n"/>
    </row>
    <row r="3587" ht="15.75" customHeight="1" s="2" thickBot="1">
      <c r="A3587" s="506" t="n"/>
      <c r="C3587" s="523" t="inlineStr">
        <is>
          <t>floor</t>
        </is>
      </c>
      <c r="D3587" s="524" t="inlineStr">
        <is>
          <t>kitchen</t>
        </is>
      </c>
      <c r="E3587" s="509" t="n"/>
      <c r="F3587" s="507" t="inlineStr">
        <is>
          <t>floor</t>
        </is>
      </c>
      <c r="G3587" s="508" t="inlineStr">
        <is>
          <t>kitchen</t>
        </is>
      </c>
      <c r="H3587" s="510" t="n"/>
      <c r="I3587" s="535" t="inlineStr">
        <is>
          <t>floor</t>
        </is>
      </c>
      <c r="J3587" s="511" t="inlineStr">
        <is>
          <t>kitchen</t>
        </is>
      </c>
      <c r="K3587" s="512" t="n"/>
      <c r="L3587" s="535" t="inlineStr">
        <is>
          <t>floor</t>
        </is>
      </c>
      <c r="M3587" s="513" t="inlineStr">
        <is>
          <t>kitchen</t>
        </is>
      </c>
      <c r="N3587" s="512" t="n"/>
      <c r="O3587" s="535" t="inlineStr">
        <is>
          <t>floor</t>
        </is>
      </c>
      <c r="P3587" s="513" t="inlineStr">
        <is>
          <t>kitchen</t>
        </is>
      </c>
    </row>
    <row r="3588" ht="15.75" customHeight="1" s="2">
      <c r="A3588" s="506" t="n"/>
      <c r="C3588" s="525" t="n"/>
      <c r="D3588" s="527" t="n"/>
      <c r="E3588" s="514" t="n"/>
      <c r="F3588" s="525" t="n"/>
      <c r="G3588" s="527" t="n"/>
      <c r="H3588" s="515" t="n"/>
      <c r="I3588" s="531" t="n"/>
      <c r="J3588" s="824" t="n"/>
      <c r="K3588" s="515" t="n"/>
      <c r="L3588" s="536" t="n"/>
      <c r="M3588" s="532" t="n"/>
      <c r="N3588" s="515" t="n"/>
      <c r="O3588" s="536" t="n"/>
      <c r="P3588" s="532" t="n"/>
    </row>
    <row r="3589" ht="15.75" customHeight="1" s="2">
      <c r="C3589" s="891" t="n"/>
      <c r="D3589" s="526" t="n"/>
      <c r="E3589" s="514" t="n"/>
      <c r="F3589" s="891" t="n"/>
      <c r="G3589" s="526" t="n"/>
      <c r="H3589" s="516" t="n"/>
      <c r="I3589" s="1656" t="n"/>
      <c r="J3589" s="530" t="n"/>
      <c r="K3589" s="516" t="n"/>
      <c r="L3589" s="542" t="n"/>
      <c r="M3589" s="530" t="n"/>
      <c r="N3589" s="516" t="n"/>
      <c r="O3589" s="542" t="n"/>
      <c r="P3589" s="530" t="n"/>
    </row>
    <row r="3590" ht="15.75" customHeight="1" s="2">
      <c r="C3590" s="550" t="n"/>
      <c r="D3590" s="527" t="n"/>
      <c r="E3590" s="514" t="n"/>
      <c r="F3590" s="531" t="n"/>
      <c r="G3590" s="530" t="n"/>
      <c r="H3590" s="516" t="n"/>
      <c r="I3590" s="537" t="n"/>
      <c r="J3590" s="530" t="n"/>
      <c r="K3590" s="516" t="n"/>
      <c r="L3590" s="1657" t="n"/>
      <c r="M3590" s="539" t="n"/>
      <c r="N3590" s="516" t="n"/>
      <c r="O3590" s="542" t="n"/>
      <c r="P3590" s="539" t="n"/>
    </row>
    <row r="3591" ht="15.75" customHeight="1" s="2">
      <c r="C3591" s="561" t="n"/>
      <c r="D3591" s="561" t="n"/>
      <c r="E3591" s="519" t="n"/>
      <c r="F3591" s="517" t="n"/>
      <c r="G3591" s="1659" t="n"/>
      <c r="H3591" s="516" t="n"/>
      <c r="I3591" s="537" t="n"/>
      <c r="J3591" s="530" t="n"/>
      <c r="K3591" s="516" t="n"/>
      <c r="L3591" s="537" t="n"/>
      <c r="M3591" s="539" t="n"/>
      <c r="N3591" s="516" t="n"/>
      <c r="O3591" s="537" t="n"/>
      <c r="P3591" s="539" t="n"/>
    </row>
    <row r="3592" ht="15.75" customHeight="1" s="2">
      <c r="C3592" s="551" t="n"/>
      <c r="D3592" s="528" t="n"/>
      <c r="E3592" s="519" t="n"/>
      <c r="F3592" s="517" t="n"/>
      <c r="G3592" s="518" t="n"/>
      <c r="H3592" s="516" t="n"/>
      <c r="I3592" s="537" t="n"/>
      <c r="J3592" s="533" t="n"/>
      <c r="K3592" s="516" t="n"/>
      <c r="L3592" s="537" t="n"/>
      <c r="M3592" s="540" t="n"/>
      <c r="N3592" s="516" t="n"/>
      <c r="O3592" s="537" t="n"/>
      <c r="P3592" s="540" t="n"/>
    </row>
    <row r="3593" ht="15.75" customHeight="1" s="2">
      <c r="C3593" s="550" t="n"/>
      <c r="D3593" s="527" t="n"/>
      <c r="E3593" s="514" t="n"/>
      <c r="F3593" s="531" t="n"/>
      <c r="G3593" s="530" t="n"/>
      <c r="H3593" s="516" t="n"/>
      <c r="I3593" s="537" t="n"/>
      <c r="J3593" s="530" t="n"/>
      <c r="K3593" s="516" t="n"/>
      <c r="L3593" s="1657" t="n"/>
      <c r="M3593" s="539" t="n"/>
      <c r="N3593" s="516" t="n"/>
      <c r="O3593" s="542" t="n"/>
      <c r="P3593" s="539" t="n"/>
    </row>
    <row r="3594" ht="15.75" customHeight="1" s="2">
      <c r="C3594" s="561" t="n"/>
      <c r="D3594" s="561" t="n"/>
      <c r="E3594" s="519" t="n"/>
      <c r="F3594" s="517" t="n"/>
      <c r="G3594" s="1659" t="n"/>
      <c r="H3594" s="516" t="n"/>
      <c r="I3594" s="537" t="n"/>
      <c r="J3594" s="530" t="n"/>
      <c r="K3594" s="516" t="n"/>
      <c r="L3594" s="537" t="n"/>
      <c r="M3594" s="539" t="n"/>
      <c r="N3594" s="516" t="n"/>
      <c r="O3594" s="537" t="n"/>
      <c r="P3594" s="539" t="n"/>
    </row>
    <row r="3595" ht="15.75" customHeight="1" s="2">
      <c r="C3595" s="551" t="n"/>
      <c r="D3595" s="528" t="n"/>
      <c r="E3595" s="519" t="n"/>
      <c r="F3595" s="517" t="n"/>
      <c r="G3595" s="518" t="n"/>
      <c r="H3595" s="516" t="n"/>
      <c r="I3595" s="537" t="n"/>
      <c r="J3595" s="533" t="n"/>
      <c r="K3595" s="516" t="n"/>
      <c r="L3595" s="537" t="n"/>
      <c r="M3595" s="540" t="n"/>
      <c r="N3595" s="516" t="n"/>
      <c r="O3595" s="537" t="n"/>
      <c r="P3595" s="540" t="n"/>
    </row>
    <row r="3597" ht="15.75" customHeight="1" s="2" thickBot="1"/>
    <row r="3598" ht="15.75" customHeight="1" s="2" thickBot="1">
      <c r="B3598" s="1482" t="n"/>
      <c r="C3598" s="1483" t="n"/>
      <c r="D3598" s="1484" t="n"/>
      <c r="E3598" s="1485" t="n"/>
      <c r="F3598" s="1486" t="n"/>
      <c r="G3598" s="1487" t="n"/>
      <c r="H3598" s="1485" t="n"/>
      <c r="I3598" s="1486" t="n"/>
      <c r="J3598" s="1487" t="n"/>
      <c r="K3598" s="1485" t="n"/>
      <c r="L3598" s="1486" t="n"/>
      <c r="M3598" s="1487" t="n"/>
      <c r="N3598" s="1488" t="n"/>
      <c r="O3598" s="1489" t="n"/>
      <c r="P3598" s="1490" t="n"/>
    </row>
    <row r="3599" ht="15.75" customHeight="1" s="2" thickBot="1">
      <c r="A3599" s="455" t="n"/>
      <c r="B3599" s="1394" t="inlineStr">
        <is>
          <t>LAST YEAR</t>
        </is>
      </c>
      <c r="C3599" s="1395" t="inlineStr">
        <is>
          <t>Projected</t>
        </is>
      </c>
      <c r="D3599" s="1396" t="inlineStr">
        <is>
          <t>Actual</t>
        </is>
      </c>
      <c r="E3599" s="1394" t="inlineStr">
        <is>
          <t>LAST YEAR</t>
        </is>
      </c>
      <c r="F3599" s="1395" t="inlineStr">
        <is>
          <t>Projected</t>
        </is>
      </c>
      <c r="G3599" s="1396" t="inlineStr">
        <is>
          <t>Actual</t>
        </is>
      </c>
      <c r="H3599" s="1394" t="inlineStr">
        <is>
          <t>LAST YEAR</t>
        </is>
      </c>
      <c r="I3599" s="1395" t="inlineStr">
        <is>
          <t>Projected</t>
        </is>
      </c>
      <c r="J3599" s="1396" t="inlineStr">
        <is>
          <t>Actual</t>
        </is>
      </c>
      <c r="K3599" s="1394" t="inlineStr">
        <is>
          <t>LAST YEAR</t>
        </is>
      </c>
      <c r="L3599" s="1395" t="inlineStr">
        <is>
          <t>Projected</t>
        </is>
      </c>
      <c r="M3599" s="1396" t="inlineStr">
        <is>
          <t>Actual</t>
        </is>
      </c>
      <c r="N3599" s="1394" t="inlineStr">
        <is>
          <t>LAST YEAR</t>
        </is>
      </c>
      <c r="O3599" s="1395" t="inlineStr">
        <is>
          <t>Projected</t>
        </is>
      </c>
      <c r="P3599" s="1396" t="inlineStr">
        <is>
          <t>Actual</t>
        </is>
      </c>
    </row>
    <row r="3600" ht="15.75" customHeight="1" s="2">
      <c r="A3600" s="459" t="inlineStr">
        <is>
          <t>Total Receipts</t>
        </is>
      </c>
      <c r="B3600" s="1645" t="n"/>
      <c r="C3600" s="1700" t="n"/>
      <c r="D3600" s="1701" t="n"/>
      <c r="E3600" s="1645" t="n"/>
      <c r="F3600" s="1700" t="n"/>
      <c r="G3600" s="1701" t="n"/>
      <c r="H3600" s="1644" t="n"/>
      <c r="I3600" s="1700" t="n"/>
      <c r="J3600" s="1701" t="n"/>
      <c r="K3600" s="1644" t="n"/>
      <c r="L3600" s="1700" t="n"/>
      <c r="M3600" s="1701" t="n"/>
      <c r="N3600" s="1644" t="n"/>
      <c r="O3600" s="1700" t="n"/>
      <c r="P3600" s="1701" t="n"/>
    </row>
    <row r="3601" ht="15.75" customHeight="1" s="2">
      <c r="A3601" s="462" t="inlineStr">
        <is>
          <t>Nett Sales</t>
        </is>
      </c>
      <c r="B3601" s="1625" t="n"/>
      <c r="C3601" s="1702" t="n"/>
      <c r="D3601" s="1703" t="n"/>
      <c r="E3601" s="1637" t="n"/>
      <c r="F3601" s="1702" t="n"/>
      <c r="G3601" s="1703" t="n"/>
      <c r="H3601" s="1646" t="n"/>
      <c r="I3601" s="1702" t="n"/>
      <c r="J3601" s="1703" t="n"/>
      <c r="K3601" s="1646" t="n"/>
      <c r="L3601" s="1702" t="n"/>
      <c r="M3601" s="1703" t="n"/>
      <c r="N3601" s="1646" t="n"/>
      <c r="O3601" s="1702" t="n"/>
      <c r="P3601" s="1703" t="n"/>
    </row>
    <row r="3602" ht="15.75" customHeight="1" s="2">
      <c r="A3602" s="462" t="inlineStr">
        <is>
          <t>Customers</t>
        </is>
      </c>
      <c r="B3602" s="466" t="n"/>
      <c r="C3602" s="1382" t="n"/>
      <c r="D3602" s="1704" t="n"/>
      <c r="E3602" s="466" t="n"/>
      <c r="F3602" s="1382" t="n"/>
      <c r="G3602" s="1704" t="n"/>
      <c r="H3602" s="866" t="n"/>
      <c r="I3602" s="1382" t="n"/>
      <c r="J3602" s="1704" t="n"/>
      <c r="K3602" s="866" t="n"/>
      <c r="L3602" s="1382" t="n"/>
      <c r="M3602" s="1704" t="n"/>
      <c r="N3602" s="866" t="n"/>
      <c r="O3602" s="1382" t="n"/>
      <c r="P3602" s="1704" t="n"/>
    </row>
    <row r="3603" ht="15.75" customHeight="1" s="2">
      <c r="A3603" s="462" t="inlineStr">
        <is>
          <t>Average Customer Spend</t>
        </is>
      </c>
      <c r="B3603" s="1649" t="n"/>
      <c r="C3603" s="1705" t="n"/>
      <c r="D3603" s="1706" t="n"/>
      <c r="E3603" s="1649" t="n"/>
      <c r="F3603" s="1705" t="n"/>
      <c r="G3603" s="1706" t="n"/>
      <c r="H3603" s="1648" t="n"/>
      <c r="I3603" s="1705" t="n"/>
      <c r="J3603" s="1706" t="n"/>
      <c r="K3603" s="1648" t="n"/>
      <c r="L3603" s="1705" t="n"/>
      <c r="M3603" s="1706" t="n"/>
      <c r="N3603" s="1648" t="n"/>
      <c r="O3603" s="1705" t="n"/>
      <c r="P3603" s="1706" t="n"/>
    </row>
    <row r="3604" ht="15.75" customHeight="1" s="2">
      <c r="A3604" s="462" t="inlineStr">
        <is>
          <t>Wage % to Total Receipts</t>
        </is>
      </c>
      <c r="B3604" s="863" t="n"/>
      <c r="C3604" s="1384">
        <f>C3609/C3600</f>
        <v/>
      </c>
      <c r="D3604" s="1375">
        <f>D3609/D3600</f>
        <v/>
      </c>
      <c r="E3604" s="863" t="n"/>
      <c r="F3604" s="1384">
        <f>F3609/F3600</f>
        <v/>
      </c>
      <c r="G3604" s="1375">
        <f>G3609/G3600</f>
        <v/>
      </c>
      <c r="H3604" s="868" t="n"/>
      <c r="I3604" s="1384">
        <f>I3609/I3600</f>
        <v/>
      </c>
      <c r="J3604" s="1375">
        <f>J3609/J3600</f>
        <v/>
      </c>
      <c r="K3604" s="868" t="n"/>
      <c r="L3604" s="1384">
        <f>L3609/L3600</f>
        <v/>
      </c>
      <c r="M3604" s="1375">
        <f>M3609/M3600</f>
        <v/>
      </c>
      <c r="N3604" s="868" t="n"/>
      <c r="O3604" s="1384">
        <f>O3609/O3600</f>
        <v/>
      </c>
      <c r="P3604" s="1375">
        <f>P3609/P3600</f>
        <v/>
      </c>
    </row>
    <row r="3605" ht="15.75" customHeight="1" s="2">
      <c r="A3605" s="462" t="inlineStr">
        <is>
          <t>Wage % to Nett Sales</t>
        </is>
      </c>
      <c r="B3605" s="863" t="n"/>
      <c r="C3605" s="1384">
        <f>C3609/C3601</f>
        <v/>
      </c>
      <c r="D3605" s="1375">
        <f>D3609/D3601</f>
        <v/>
      </c>
      <c r="E3605" s="863" t="n"/>
      <c r="F3605" s="1384">
        <f>F3609/F3601</f>
        <v/>
      </c>
      <c r="G3605" s="1375">
        <f>G3609/G3601</f>
        <v/>
      </c>
      <c r="H3605" s="868" t="n"/>
      <c r="I3605" s="1384">
        <f>I3609/I3601</f>
        <v/>
      </c>
      <c r="J3605" s="1375">
        <f>J3609/J3601</f>
        <v/>
      </c>
      <c r="K3605" s="868" t="n"/>
      <c r="L3605" s="1384">
        <f>L3609/L3601</f>
        <v/>
      </c>
      <c r="M3605" s="1375">
        <f>M3609/M3601</f>
        <v/>
      </c>
      <c r="N3605" s="868" t="n"/>
      <c r="O3605" s="1384">
        <f>O3609/O3601</f>
        <v/>
      </c>
      <c r="P3605" s="1375">
        <f>P3609/P3601</f>
        <v/>
      </c>
    </row>
    <row r="3606" ht="15.75" customHeight="1" s="2">
      <c r="A3606" s="462" t="inlineStr">
        <is>
          <t>Productivity</t>
        </is>
      </c>
      <c r="B3606" s="472" t="n"/>
      <c r="C3606" s="1385">
        <f>C3602/C3608</f>
        <v/>
      </c>
      <c r="D3606" s="1376">
        <f>D3602/D3608</f>
        <v/>
      </c>
      <c r="E3606" s="472" t="n"/>
      <c r="F3606" s="1385">
        <f>F3602/F3608</f>
        <v/>
      </c>
      <c r="G3606" s="1376">
        <f>G3602/G3608</f>
        <v/>
      </c>
      <c r="H3606" s="869" t="n"/>
      <c r="I3606" s="1385">
        <f>I3602/I3608</f>
        <v/>
      </c>
      <c r="J3606" s="1376">
        <f>J3602/J3608</f>
        <v/>
      </c>
      <c r="K3606" s="869" t="n"/>
      <c r="L3606" s="1385">
        <f>L3602/L3608</f>
        <v/>
      </c>
      <c r="M3606" s="1376">
        <f>M3602/M3608</f>
        <v/>
      </c>
      <c r="N3606" s="869" t="n"/>
      <c r="O3606" s="1385">
        <f>O3602/O3608</f>
        <v/>
      </c>
      <c r="P3606" s="1376">
        <f>P3602/P3608</f>
        <v/>
      </c>
    </row>
    <row r="3607" ht="15.75" customHeight="1" s="2">
      <c r="A3607" s="462" t="inlineStr">
        <is>
          <t>Average Hourly Rate</t>
        </is>
      </c>
      <c r="B3607" s="1649" t="n"/>
      <c r="C3607" s="1385" t="n"/>
      <c r="D3607" s="1706" t="n"/>
      <c r="E3607" s="1649" t="n"/>
      <c r="F3607" s="1385" t="n"/>
      <c r="G3607" s="1706" t="n"/>
      <c r="H3607" s="869" t="n"/>
      <c r="I3607" s="1385" t="n"/>
      <c r="J3607" s="1706" t="n"/>
      <c r="K3607" s="869" t="n"/>
      <c r="L3607" s="1385" t="n"/>
      <c r="M3607" s="1706" t="n"/>
      <c r="N3607" s="869" t="n"/>
      <c r="O3607" s="1385" t="n"/>
      <c r="P3607" s="1706" t="n"/>
    </row>
    <row r="3608" ht="15.75" customHeight="1" s="2">
      <c r="A3608" s="462" t="inlineStr">
        <is>
          <t>Total hours for productivity</t>
        </is>
      </c>
      <c r="B3608" s="466" t="n"/>
      <c r="C3608" s="1385" t="n"/>
      <c r="D3608" s="1377" t="n"/>
      <c r="E3608" s="466" t="n"/>
      <c r="F3608" s="1385" t="n"/>
      <c r="G3608" s="1377" t="n"/>
      <c r="H3608" s="869" t="n"/>
      <c r="I3608" s="1385" t="n"/>
      <c r="J3608" s="1377" t="n"/>
      <c r="K3608" s="869" t="n"/>
      <c r="L3608" s="1385" t="n"/>
      <c r="M3608" s="1377" t="n"/>
      <c r="N3608" s="869" t="n"/>
      <c r="O3608" s="1385" t="n"/>
      <c r="P3608" s="1377" t="n"/>
    </row>
    <row r="3609" ht="15.75" customHeight="1" s="2">
      <c r="A3609" s="462" t="inlineStr">
        <is>
          <t>wage costed</t>
        </is>
      </c>
      <c r="B3609" s="466" t="n"/>
      <c r="C3609" s="1386">
        <f>C3608*C3607</f>
        <v/>
      </c>
      <c r="D3609" s="1378">
        <f>D3608*D3607</f>
        <v/>
      </c>
      <c r="E3609" s="466" t="n"/>
      <c r="F3609" s="1386">
        <f>F3608*F3607</f>
        <v/>
      </c>
      <c r="G3609" s="1378">
        <f>G3608*G3607</f>
        <v/>
      </c>
      <c r="H3609" s="870" t="n"/>
      <c r="I3609" s="1386">
        <f>I3608*I3607</f>
        <v/>
      </c>
      <c r="J3609" s="1378">
        <f>J3608*J3607</f>
        <v/>
      </c>
      <c r="K3609" s="870" t="n"/>
      <c r="L3609" s="1386">
        <f>L3608*L3607</f>
        <v/>
      </c>
      <c r="M3609" s="1378">
        <f>M3608*M3607</f>
        <v/>
      </c>
      <c r="N3609" s="870" t="n"/>
      <c r="O3609" s="1386">
        <f>O3608*O3607</f>
        <v/>
      </c>
      <c r="P3609" s="1378">
        <f>P3608*P3607</f>
        <v/>
      </c>
    </row>
    <row r="3610" ht="15.75" customHeight="1" s="2" thickBot="1">
      <c r="A3610" s="474" t="inlineStr">
        <is>
          <t>Number of hours used to cover sick leave</t>
        </is>
      </c>
      <c r="B3610" s="476" t="n"/>
      <c r="C3610" s="1387" t="n"/>
      <c r="D3610" s="1379" t="n"/>
      <c r="E3610" s="476" t="n"/>
      <c r="F3610" s="1387" t="n"/>
      <c r="G3610" s="1379" t="n"/>
      <c r="H3610" s="813" t="n"/>
      <c r="I3610" s="1387" t="n"/>
      <c r="J3610" s="1379" t="n"/>
      <c r="K3610" s="1229" t="n"/>
      <c r="L3610" s="1387" t="n"/>
      <c r="M3610" s="1379" t="n"/>
      <c r="N3610" s="813" t="n"/>
      <c r="O3610" s="1387" t="n"/>
      <c r="P3610" s="1379" t="n"/>
    </row>
    <row r="3611" ht="15.75" customHeight="1" s="2" thickBot="1">
      <c r="A3611" s="477" t="inlineStr">
        <is>
          <t xml:space="preserve">Minimum Hours </t>
        </is>
      </c>
      <c r="B3611" s="935" t="n"/>
      <c r="C3611" s="1388" t="inlineStr">
        <is>
          <t>Projected</t>
        </is>
      </c>
      <c r="D3611" s="1391" t="inlineStr">
        <is>
          <t>Min Hrs</t>
        </is>
      </c>
      <c r="E3611" s="935" t="n"/>
      <c r="F3611" s="1388" t="inlineStr">
        <is>
          <t>Projected</t>
        </is>
      </c>
      <c r="G3611" s="1391" t="inlineStr">
        <is>
          <t>Min Hrs</t>
        </is>
      </c>
      <c r="H3611" s="935" t="n"/>
      <c r="I3611" s="1388" t="inlineStr">
        <is>
          <t>Projected</t>
        </is>
      </c>
      <c r="J3611" s="1391" t="inlineStr">
        <is>
          <t>Min Hrs</t>
        </is>
      </c>
      <c r="K3611" s="935" t="n"/>
      <c r="L3611" s="1388" t="inlineStr">
        <is>
          <t>Projected</t>
        </is>
      </c>
      <c r="M3611" s="1391" t="inlineStr">
        <is>
          <t>Min Hrs</t>
        </is>
      </c>
      <c r="N3611" s="935" t="n"/>
      <c r="O3611" s="1388" t="inlineStr">
        <is>
          <t>Projected</t>
        </is>
      </c>
      <c r="P3611" s="1391" t="inlineStr">
        <is>
          <t>Min Hrs</t>
        </is>
      </c>
    </row>
    <row r="3612" ht="15.75" customHeight="1" s="2">
      <c r="A3612" s="479" t="inlineStr">
        <is>
          <t>Floor</t>
        </is>
      </c>
      <c r="B3612" s="810" t="n"/>
      <c r="C3612" s="1389" t="n"/>
      <c r="D3612" s="1392" t="n"/>
      <c r="E3612" s="810" t="n"/>
      <c r="F3612" s="1389" t="n"/>
      <c r="G3612" s="1392" t="n"/>
      <c r="H3612" s="810" t="n"/>
      <c r="I3612" s="1389" t="n"/>
      <c r="J3612" s="1392" t="n"/>
      <c r="K3612" s="810" t="n"/>
      <c r="L3612" s="1389" t="n"/>
      <c r="M3612" s="1392" t="n"/>
      <c r="N3612" s="810" t="n"/>
      <c r="O3612" s="1389" t="n"/>
      <c r="P3612" s="1392" t="n"/>
    </row>
    <row r="3613" ht="15.75" customHeight="1" s="2" thickBot="1">
      <c r="A3613" s="481" t="inlineStr">
        <is>
          <t>Kitchen</t>
        </is>
      </c>
      <c r="B3613" s="813" t="n"/>
      <c r="C3613" s="1387" t="n"/>
      <c r="D3613" s="1393" t="n"/>
      <c r="E3613" s="813" t="n"/>
      <c r="F3613" s="1390" t="n"/>
      <c r="G3613" s="1393" t="n"/>
      <c r="H3613" s="813" t="n"/>
      <c r="I3613" s="1390" t="n"/>
      <c r="J3613" s="1393" t="n"/>
      <c r="K3613" s="813" t="n"/>
      <c r="L3613" s="1390" t="n"/>
      <c r="M3613" s="1393" t="n"/>
      <c r="N3613" s="813" t="n"/>
      <c r="O3613" s="1387" t="n"/>
      <c r="P3613" s="1393" t="n"/>
    </row>
    <row r="3614" ht="15.75" customHeight="1" s="2" thickBot="1">
      <c r="A3614" s="834" t="n"/>
      <c r="B3614" s="836" t="n"/>
      <c r="C3614" s="1220" t="n"/>
      <c r="D3614" s="1220" t="n"/>
      <c r="E3614" s="839" t="n"/>
      <c r="F3614" s="1220" t="n"/>
      <c r="G3614" s="1220" t="n"/>
      <c r="H3614" s="839" t="n"/>
      <c r="I3614" s="1220" t="n"/>
      <c r="J3614" s="1220" t="n"/>
      <c r="K3614" s="839" t="n"/>
      <c r="L3614" s="1220" t="n"/>
      <c r="M3614" s="1220" t="n"/>
      <c r="N3614" s="839" t="n"/>
      <c r="O3614" s="835" t="n"/>
      <c r="P3614" s="835" t="n"/>
    </row>
    <row r="3615" ht="15.75" customHeight="1" s="2">
      <c r="A3615" s="506" t="inlineStr">
        <is>
          <t>Training explanation</t>
        </is>
      </c>
      <c r="B3615" s="837" t="n"/>
      <c r="C3615" s="1220" t="n"/>
      <c r="D3615" s="1220" t="n"/>
      <c r="E3615" s="837" t="n"/>
      <c r="F3615" s="1220" t="n"/>
      <c r="G3615" s="1220" t="n"/>
      <c r="H3615" s="837" t="n"/>
      <c r="I3615" s="1220" t="n"/>
      <c r="J3615" s="1220" t="n"/>
      <c r="K3615" s="837" t="n"/>
      <c r="L3615" s="1220" t="n"/>
      <c r="M3615" s="1220" t="n"/>
      <c r="N3615" s="837" t="n"/>
      <c r="O3615" s="835" t="n"/>
      <c r="P3615" s="835" t="n"/>
    </row>
    <row r="3616" ht="15.75" customHeight="1" s="2" thickBot="1">
      <c r="A3616" s="506" t="inlineStr">
        <is>
          <t>Who is being Trained</t>
        </is>
      </c>
      <c r="B3616" s="838" t="n"/>
      <c r="C3616" s="1221" t="n"/>
      <c r="D3616" s="1221" t="n"/>
      <c r="E3616" s="838" t="n"/>
      <c r="F3616" s="1221" t="n"/>
      <c r="G3616" s="1221" t="n"/>
      <c r="H3616" s="838" t="n"/>
      <c r="I3616" s="1221" t="n"/>
      <c r="J3616" s="1221" t="n"/>
      <c r="K3616" s="838" t="n"/>
      <c r="L3616" s="1221" t="n"/>
      <c r="M3616" s="1221" t="n"/>
      <c r="N3616" s="838" t="n"/>
    </row>
    <row r="3617" ht="15.75" customHeight="1" s="2" thickBot="1">
      <c r="A3617" s="506" t="n"/>
      <c r="C3617" s="523" t="inlineStr">
        <is>
          <t>floor</t>
        </is>
      </c>
      <c r="D3617" s="524" t="inlineStr">
        <is>
          <t>kitchen</t>
        </is>
      </c>
      <c r="E3617" s="509" t="n"/>
      <c r="F3617" s="507" t="inlineStr">
        <is>
          <t>floor</t>
        </is>
      </c>
      <c r="G3617" s="508" t="inlineStr">
        <is>
          <t>kitchen</t>
        </is>
      </c>
      <c r="H3617" s="510" t="n"/>
      <c r="I3617" s="535" t="inlineStr">
        <is>
          <t>floor</t>
        </is>
      </c>
      <c r="J3617" s="511" t="inlineStr">
        <is>
          <t>kitchen</t>
        </is>
      </c>
      <c r="K3617" s="512" t="n"/>
      <c r="L3617" s="535" t="inlineStr">
        <is>
          <t>floor</t>
        </is>
      </c>
      <c r="M3617" s="513" t="inlineStr">
        <is>
          <t>kitchen</t>
        </is>
      </c>
      <c r="N3617" s="512" t="n"/>
      <c r="O3617" s="535" t="inlineStr">
        <is>
          <t>floor</t>
        </is>
      </c>
      <c r="P3617" s="513" t="inlineStr">
        <is>
          <t>kitchen</t>
        </is>
      </c>
    </row>
    <row r="3618" ht="15.75" customHeight="1" s="2">
      <c r="A3618" s="506" t="n"/>
      <c r="C3618" s="525" t="n"/>
      <c r="D3618" s="527" t="n"/>
      <c r="E3618" s="514" t="n"/>
      <c r="F3618" s="525" t="n"/>
      <c r="G3618" s="527" t="n"/>
      <c r="H3618" s="515" t="n"/>
      <c r="I3618" s="531" t="n"/>
      <c r="J3618" s="824" t="n"/>
      <c r="K3618" s="515" t="n"/>
      <c r="L3618" s="536" t="n"/>
      <c r="M3618" s="532" t="n"/>
      <c r="N3618" s="515" t="n"/>
      <c r="O3618" s="536" t="n"/>
      <c r="P3618" s="532" t="n"/>
    </row>
    <row r="3619" ht="15.75" customHeight="1" s="2">
      <c r="C3619" s="891" t="n"/>
      <c r="D3619" s="526" t="n"/>
      <c r="E3619" s="514" t="n"/>
      <c r="F3619" s="891" t="n"/>
      <c r="G3619" s="526" t="n"/>
      <c r="H3619" s="516" t="n"/>
      <c r="I3619" s="1656" t="n"/>
      <c r="J3619" s="530" t="n"/>
      <c r="K3619" s="516" t="n"/>
      <c r="L3619" s="542" t="n"/>
      <c r="M3619" s="530" t="n"/>
      <c r="N3619" s="516" t="n"/>
      <c r="O3619" s="542" t="n"/>
      <c r="P3619" s="530" t="n"/>
    </row>
    <row r="3620" ht="15.75" customHeight="1" s="2">
      <c r="C3620" s="550" t="n"/>
      <c r="D3620" s="527" t="n"/>
      <c r="E3620" s="514" t="n"/>
      <c r="F3620" s="531" t="n"/>
      <c r="G3620" s="530" t="n"/>
      <c r="H3620" s="516" t="n"/>
      <c r="I3620" s="537" t="n"/>
      <c r="J3620" s="530" t="n"/>
      <c r="K3620" s="516" t="n"/>
      <c r="L3620" s="1657" t="n"/>
      <c r="M3620" s="539" t="n"/>
      <c r="N3620" s="516" t="n"/>
      <c r="O3620" s="542" t="n"/>
      <c r="P3620" s="539" t="n"/>
    </row>
    <row r="3621" ht="15.75" customHeight="1" s="2">
      <c r="C3621" s="561" t="n"/>
      <c r="D3621" s="561" t="n"/>
      <c r="E3621" s="519" t="n"/>
      <c r="F3621" s="517" t="n"/>
      <c r="G3621" s="1659" t="n"/>
      <c r="H3621" s="516" t="n"/>
      <c r="I3621" s="537" t="n"/>
      <c r="J3621" s="530" t="n"/>
      <c r="K3621" s="516" t="n"/>
      <c r="L3621" s="537" t="n"/>
      <c r="M3621" s="539" t="n"/>
      <c r="N3621" s="516" t="n"/>
      <c r="O3621" s="537" t="n"/>
      <c r="P3621" s="539" t="n"/>
    </row>
    <row r="3622" ht="15.75" customHeight="1" s="2">
      <c r="C3622" s="551" t="n"/>
      <c r="D3622" s="528" t="n"/>
      <c r="E3622" s="519" t="n"/>
      <c r="F3622" s="517" t="n"/>
      <c r="G3622" s="518" t="n"/>
      <c r="H3622" s="516" t="n"/>
      <c r="I3622" s="537" t="n"/>
      <c r="J3622" s="533" t="n"/>
      <c r="K3622" s="516" t="n"/>
      <c r="L3622" s="537" t="n"/>
      <c r="M3622" s="540" t="n"/>
      <c r="N3622" s="516" t="n"/>
      <c r="O3622" s="537" t="n"/>
      <c r="P3622" s="540" t="n"/>
    </row>
    <row r="3623" ht="15.75" customHeight="1" s="2">
      <c r="C3623" s="550" t="n"/>
      <c r="D3623" s="527" t="n"/>
      <c r="E3623" s="514" t="n"/>
      <c r="F3623" s="531" t="n"/>
      <c r="G3623" s="530" t="n"/>
      <c r="H3623" s="516" t="n"/>
      <c r="I3623" s="537" t="n"/>
      <c r="J3623" s="530" t="n"/>
      <c r="K3623" s="516" t="n"/>
      <c r="L3623" s="1657" t="n"/>
      <c r="M3623" s="539" t="n"/>
      <c r="N3623" s="516" t="n"/>
      <c r="O3623" s="542" t="n"/>
      <c r="P3623" s="539" t="n"/>
    </row>
    <row r="3624" ht="15.75" customHeight="1" s="2">
      <c r="C3624" s="561" t="n"/>
      <c r="D3624" s="561" t="n"/>
      <c r="E3624" s="519" t="n"/>
      <c r="F3624" s="517" t="n"/>
      <c r="G3624" s="1659" t="n"/>
      <c r="H3624" s="516" t="n"/>
      <c r="I3624" s="537" t="n"/>
      <c r="J3624" s="530" t="n"/>
      <c r="K3624" s="516" t="n"/>
      <c r="L3624" s="537" t="n"/>
      <c r="M3624" s="539" t="n"/>
      <c r="N3624" s="516" t="n"/>
      <c r="O3624" s="537" t="n"/>
      <c r="P3624" s="539" t="n"/>
    </row>
    <row r="3625" ht="15.75" customHeight="1" s="2">
      <c r="C3625" s="551" t="n"/>
      <c r="D3625" s="528" t="n"/>
      <c r="E3625" s="519" t="n"/>
      <c r="F3625" s="517" t="n"/>
      <c r="G3625" s="518" t="n"/>
      <c r="H3625" s="516" t="n"/>
      <c r="I3625" s="537" t="n"/>
      <c r="J3625" s="533" t="n"/>
      <c r="K3625" s="516" t="n"/>
      <c r="L3625" s="537" t="n"/>
      <c r="M3625" s="540" t="n"/>
      <c r="N3625" s="516" t="n"/>
      <c r="O3625" s="537" t="n"/>
      <c r="P3625" s="540" t="n"/>
    </row>
    <row r="3627" ht="15.75" customHeight="1" s="2" thickBot="1"/>
    <row r="3628" ht="15.75" customHeight="1" s="2" thickBot="1">
      <c r="B3628" s="1482" t="n"/>
      <c r="C3628" s="1483" t="n"/>
      <c r="D3628" s="1484" t="n"/>
      <c r="E3628" s="1485" t="n"/>
      <c r="F3628" s="1486" t="n"/>
      <c r="G3628" s="1487" t="n"/>
      <c r="H3628" s="1485" t="n"/>
      <c r="I3628" s="1486" t="n"/>
      <c r="J3628" s="1487" t="n"/>
      <c r="K3628" s="1485" t="n"/>
      <c r="L3628" s="1486" t="n"/>
      <c r="M3628" s="1487" t="n"/>
      <c r="N3628" s="1488" t="n"/>
      <c r="O3628" s="1489" t="n"/>
      <c r="P3628" s="1490" t="n"/>
    </row>
    <row r="3629" ht="15.75" customHeight="1" s="2" thickBot="1">
      <c r="A3629" s="455" t="n"/>
      <c r="B3629" s="1394" t="inlineStr">
        <is>
          <t>LAST YEAR</t>
        </is>
      </c>
      <c r="C3629" s="1395" t="inlineStr">
        <is>
          <t>Projected</t>
        </is>
      </c>
      <c r="D3629" s="1396" t="inlineStr">
        <is>
          <t>Actual</t>
        </is>
      </c>
      <c r="E3629" s="1394" t="inlineStr">
        <is>
          <t>LAST YEAR</t>
        </is>
      </c>
      <c r="F3629" s="1395" t="inlineStr">
        <is>
          <t>Projected</t>
        </is>
      </c>
      <c r="G3629" s="1396" t="inlineStr">
        <is>
          <t>Actual</t>
        </is>
      </c>
      <c r="H3629" s="1394" t="inlineStr">
        <is>
          <t>LAST YEAR</t>
        </is>
      </c>
      <c r="I3629" s="1395" t="inlineStr">
        <is>
          <t>Projected</t>
        </is>
      </c>
      <c r="J3629" s="1396" t="inlineStr">
        <is>
          <t>Actual</t>
        </is>
      </c>
      <c r="K3629" s="1394" t="inlineStr">
        <is>
          <t>LAST YEAR</t>
        </is>
      </c>
      <c r="L3629" s="1395" t="inlineStr">
        <is>
          <t>Projected</t>
        </is>
      </c>
      <c r="M3629" s="1396" t="inlineStr">
        <is>
          <t>Actual</t>
        </is>
      </c>
      <c r="N3629" s="1394" t="inlineStr">
        <is>
          <t>LAST YEAR</t>
        </is>
      </c>
      <c r="O3629" s="1395" t="inlineStr">
        <is>
          <t>Projected</t>
        </is>
      </c>
      <c r="P3629" s="1396" t="inlineStr">
        <is>
          <t>Actual</t>
        </is>
      </c>
    </row>
    <row r="3630" ht="15.75" customHeight="1" s="2">
      <c r="A3630" s="459" t="inlineStr">
        <is>
          <t>Total Receipts</t>
        </is>
      </c>
      <c r="B3630" s="1645" t="n"/>
      <c r="C3630" s="1700" t="n"/>
      <c r="D3630" s="1701" t="n"/>
      <c r="E3630" s="1645" t="n"/>
      <c r="F3630" s="1700" t="n"/>
      <c r="G3630" s="1701" t="n"/>
      <c r="H3630" s="1644" t="n"/>
      <c r="I3630" s="1700" t="n"/>
      <c r="J3630" s="1701" t="n"/>
      <c r="K3630" s="1644" t="n"/>
      <c r="L3630" s="1700" t="n"/>
      <c r="M3630" s="1701" t="n"/>
      <c r="N3630" s="1644" t="n"/>
      <c r="O3630" s="1700" t="n"/>
      <c r="P3630" s="1701" t="n"/>
    </row>
    <row r="3631" ht="15.75" customHeight="1" s="2">
      <c r="A3631" s="462" t="inlineStr">
        <is>
          <t>Nett Sales</t>
        </is>
      </c>
      <c r="B3631" s="1625" t="n"/>
      <c r="C3631" s="1702" t="n"/>
      <c r="D3631" s="1703" t="n"/>
      <c r="E3631" s="1637" t="n"/>
      <c r="F3631" s="1702" t="n"/>
      <c r="G3631" s="1703" t="n"/>
      <c r="H3631" s="1646" t="n"/>
      <c r="I3631" s="1702" t="n"/>
      <c r="J3631" s="1703" t="n"/>
      <c r="K3631" s="1646" t="n"/>
      <c r="L3631" s="1702" t="n"/>
      <c r="M3631" s="1703" t="n"/>
      <c r="N3631" s="1646" t="n"/>
      <c r="O3631" s="1702" t="n"/>
      <c r="P3631" s="1703" t="n"/>
    </row>
    <row r="3632" ht="15.75" customHeight="1" s="2">
      <c r="A3632" s="462" t="inlineStr">
        <is>
          <t>Customers</t>
        </is>
      </c>
      <c r="B3632" s="466" t="n"/>
      <c r="C3632" s="1382" t="n"/>
      <c r="D3632" s="1704" t="n"/>
      <c r="E3632" s="466" t="n"/>
      <c r="F3632" s="1382" t="n"/>
      <c r="G3632" s="1704" t="n"/>
      <c r="H3632" s="866" t="n"/>
      <c r="I3632" s="1382" t="n"/>
      <c r="J3632" s="1704" t="n"/>
      <c r="K3632" s="866" t="n"/>
      <c r="L3632" s="1382" t="n"/>
      <c r="M3632" s="1704" t="n"/>
      <c r="N3632" s="866" t="n"/>
      <c r="O3632" s="1382" t="n"/>
      <c r="P3632" s="1704" t="n"/>
    </row>
    <row r="3633" ht="15.75" customHeight="1" s="2">
      <c r="A3633" s="462" t="inlineStr">
        <is>
          <t>Average Customer Spend</t>
        </is>
      </c>
      <c r="B3633" s="1649" t="n"/>
      <c r="C3633" s="1705" t="n"/>
      <c r="D3633" s="1706" t="n"/>
      <c r="E3633" s="1649" t="n"/>
      <c r="F3633" s="1705" t="n"/>
      <c r="G3633" s="1706" t="n"/>
      <c r="H3633" s="1648" t="n"/>
      <c r="I3633" s="1705" t="n"/>
      <c r="J3633" s="1706" t="n"/>
      <c r="K3633" s="1648" t="n"/>
      <c r="L3633" s="1705" t="n"/>
      <c r="M3633" s="1706" t="n"/>
      <c r="N3633" s="1648" t="n"/>
      <c r="O3633" s="1705" t="n"/>
      <c r="P3633" s="1706" t="n"/>
    </row>
    <row r="3634" ht="15.75" customHeight="1" s="2">
      <c r="A3634" s="462" t="inlineStr">
        <is>
          <t>Wage % to Total Receipts</t>
        </is>
      </c>
      <c r="B3634" s="863" t="n"/>
      <c r="C3634" s="1384">
        <f>C3639/C3630</f>
        <v/>
      </c>
      <c r="D3634" s="1375">
        <f>D3639/D3630</f>
        <v/>
      </c>
      <c r="E3634" s="863" t="n"/>
      <c r="F3634" s="1384">
        <f>F3639/F3630</f>
        <v/>
      </c>
      <c r="G3634" s="1375">
        <f>G3639/G3630</f>
        <v/>
      </c>
      <c r="H3634" s="868" t="n"/>
      <c r="I3634" s="1384">
        <f>I3639/I3630</f>
        <v/>
      </c>
      <c r="J3634" s="1375">
        <f>J3639/J3630</f>
        <v/>
      </c>
      <c r="K3634" s="868" t="n"/>
      <c r="L3634" s="1384">
        <f>L3639/L3630</f>
        <v/>
      </c>
      <c r="M3634" s="1375">
        <f>M3639/M3630</f>
        <v/>
      </c>
      <c r="N3634" s="868" t="n"/>
      <c r="O3634" s="1384">
        <f>O3639/O3630</f>
        <v/>
      </c>
      <c r="P3634" s="1375">
        <f>P3639/P3630</f>
        <v/>
      </c>
    </row>
    <row r="3635" ht="15.75" customHeight="1" s="2">
      <c r="A3635" s="462" t="inlineStr">
        <is>
          <t>Wage % to Nett Sales</t>
        </is>
      </c>
      <c r="B3635" s="863" t="n"/>
      <c r="C3635" s="1384">
        <f>C3639/C3631</f>
        <v/>
      </c>
      <c r="D3635" s="1375">
        <f>D3639/D3631</f>
        <v/>
      </c>
      <c r="E3635" s="863" t="n"/>
      <c r="F3635" s="1384">
        <f>F3639/F3631</f>
        <v/>
      </c>
      <c r="G3635" s="1375">
        <f>G3639/G3631</f>
        <v/>
      </c>
      <c r="H3635" s="868" t="n"/>
      <c r="I3635" s="1384">
        <f>I3639/I3631</f>
        <v/>
      </c>
      <c r="J3635" s="1375">
        <f>J3639/J3631</f>
        <v/>
      </c>
      <c r="K3635" s="868" t="n"/>
      <c r="L3635" s="1384">
        <f>L3639/L3631</f>
        <v/>
      </c>
      <c r="M3635" s="1375">
        <f>M3639/M3631</f>
        <v/>
      </c>
      <c r="N3635" s="868" t="n"/>
      <c r="O3635" s="1384">
        <f>O3639/O3631</f>
        <v/>
      </c>
      <c r="P3635" s="1375">
        <f>P3639/P3631</f>
        <v/>
      </c>
    </row>
    <row r="3636" ht="15.75" customHeight="1" s="2">
      <c r="A3636" s="462" t="inlineStr">
        <is>
          <t>Productivity</t>
        </is>
      </c>
      <c r="B3636" s="472" t="n"/>
      <c r="C3636" s="1385">
        <f>C3632/C3638</f>
        <v/>
      </c>
      <c r="D3636" s="1376">
        <f>D3632/D3638</f>
        <v/>
      </c>
      <c r="E3636" s="472" t="n"/>
      <c r="F3636" s="1385">
        <f>F3632/F3638</f>
        <v/>
      </c>
      <c r="G3636" s="1376">
        <f>G3632/G3638</f>
        <v/>
      </c>
      <c r="H3636" s="869" t="n"/>
      <c r="I3636" s="1385">
        <f>I3632/I3638</f>
        <v/>
      </c>
      <c r="J3636" s="1376">
        <f>J3632/J3638</f>
        <v/>
      </c>
      <c r="K3636" s="869" t="n"/>
      <c r="L3636" s="1385">
        <f>L3632/L3638</f>
        <v/>
      </c>
      <c r="M3636" s="1376">
        <f>M3632/M3638</f>
        <v/>
      </c>
      <c r="N3636" s="869" t="n"/>
      <c r="O3636" s="1385">
        <f>O3632/O3638</f>
        <v/>
      </c>
      <c r="P3636" s="1376">
        <f>P3632/P3638</f>
        <v/>
      </c>
    </row>
    <row r="3637" ht="15.75" customHeight="1" s="2">
      <c r="A3637" s="462" t="inlineStr">
        <is>
          <t>Average Hourly Rate</t>
        </is>
      </c>
      <c r="B3637" s="1649" t="n"/>
      <c r="C3637" s="1385" t="n"/>
      <c r="D3637" s="1706" t="n"/>
      <c r="E3637" s="1649" t="n"/>
      <c r="F3637" s="1385" t="n"/>
      <c r="G3637" s="1706" t="n"/>
      <c r="H3637" s="869" t="n"/>
      <c r="I3637" s="1385" t="n"/>
      <c r="J3637" s="1706" t="n"/>
      <c r="K3637" s="869" t="n"/>
      <c r="L3637" s="1385" t="n"/>
      <c r="M3637" s="1706" t="n"/>
      <c r="N3637" s="869" t="n"/>
      <c r="O3637" s="1385" t="n"/>
      <c r="P3637" s="1706" t="n"/>
    </row>
    <row r="3638" ht="15.75" customHeight="1" s="2">
      <c r="A3638" s="462" t="inlineStr">
        <is>
          <t>Total hours for productivity</t>
        </is>
      </c>
      <c r="B3638" s="466" t="n"/>
      <c r="C3638" s="1385" t="n"/>
      <c r="D3638" s="1377" t="n"/>
      <c r="E3638" s="466" t="n"/>
      <c r="F3638" s="1385" t="n"/>
      <c r="G3638" s="1377" t="n"/>
      <c r="H3638" s="869" t="n"/>
      <c r="I3638" s="1385" t="n"/>
      <c r="J3638" s="1377" t="n"/>
      <c r="K3638" s="869" t="n"/>
      <c r="L3638" s="1385" t="n"/>
      <c r="M3638" s="1377" t="n"/>
      <c r="N3638" s="869" t="n"/>
      <c r="O3638" s="1385" t="n"/>
      <c r="P3638" s="1377" t="n"/>
    </row>
    <row r="3639" ht="15.75" customHeight="1" s="2">
      <c r="A3639" s="462" t="inlineStr">
        <is>
          <t>wage costed</t>
        </is>
      </c>
      <c r="B3639" s="466" t="n"/>
      <c r="C3639" s="1386">
        <f>C3638*C3637</f>
        <v/>
      </c>
      <c r="D3639" s="1378">
        <f>D3638*D3637</f>
        <v/>
      </c>
      <c r="E3639" s="466" t="n"/>
      <c r="F3639" s="1386">
        <f>F3638*F3637</f>
        <v/>
      </c>
      <c r="G3639" s="1378">
        <f>G3638*G3637</f>
        <v/>
      </c>
      <c r="H3639" s="870" t="n"/>
      <c r="I3639" s="1386">
        <f>I3638*I3637</f>
        <v/>
      </c>
      <c r="J3639" s="1378">
        <f>J3638*J3637</f>
        <v/>
      </c>
      <c r="K3639" s="870" t="n"/>
      <c r="L3639" s="1386">
        <f>L3638*L3637</f>
        <v/>
      </c>
      <c r="M3639" s="1378">
        <f>M3638*M3637</f>
        <v/>
      </c>
      <c r="N3639" s="870" t="n"/>
      <c r="O3639" s="1386">
        <f>O3638*O3637</f>
        <v/>
      </c>
      <c r="P3639" s="1378">
        <f>P3638*P3637</f>
        <v/>
      </c>
    </row>
    <row r="3640" ht="15.75" customHeight="1" s="2" thickBot="1">
      <c r="A3640" s="474" t="inlineStr">
        <is>
          <t>Number of hours used to cover sick leave</t>
        </is>
      </c>
      <c r="B3640" s="476" t="n"/>
      <c r="C3640" s="1387" t="n"/>
      <c r="D3640" s="1379" t="n"/>
      <c r="E3640" s="476" t="n"/>
      <c r="F3640" s="1387" t="n"/>
      <c r="G3640" s="1379" t="n"/>
      <c r="H3640" s="813" t="n"/>
      <c r="I3640" s="1387" t="n"/>
      <c r="J3640" s="1379" t="n"/>
      <c r="K3640" s="1229" t="n"/>
      <c r="L3640" s="1387" t="n"/>
      <c r="M3640" s="1379" t="n"/>
      <c r="N3640" s="813" t="n"/>
      <c r="O3640" s="1387" t="n"/>
      <c r="P3640" s="1379" t="n"/>
    </row>
    <row r="3641" ht="15.75" customHeight="1" s="2" thickBot="1">
      <c r="A3641" s="477" t="inlineStr">
        <is>
          <t xml:space="preserve">Minimum Hours </t>
        </is>
      </c>
      <c r="B3641" s="935" t="n"/>
      <c r="C3641" s="1388" t="inlineStr">
        <is>
          <t>Projected</t>
        </is>
      </c>
      <c r="D3641" s="1391" t="inlineStr">
        <is>
          <t>Min Hrs</t>
        </is>
      </c>
      <c r="E3641" s="935" t="n"/>
      <c r="F3641" s="1388" t="inlineStr">
        <is>
          <t>Projected</t>
        </is>
      </c>
      <c r="G3641" s="1391" t="inlineStr">
        <is>
          <t>Min Hrs</t>
        </is>
      </c>
      <c r="H3641" s="935" t="n"/>
      <c r="I3641" s="1388" t="inlineStr">
        <is>
          <t>Projected</t>
        </is>
      </c>
      <c r="J3641" s="1391" t="inlineStr">
        <is>
          <t>Min Hrs</t>
        </is>
      </c>
      <c r="K3641" s="935" t="n"/>
      <c r="L3641" s="1388" t="inlineStr">
        <is>
          <t>Projected</t>
        </is>
      </c>
      <c r="M3641" s="1391" t="inlineStr">
        <is>
          <t>Min Hrs</t>
        </is>
      </c>
      <c r="N3641" s="935" t="n"/>
      <c r="O3641" s="1388" t="inlineStr">
        <is>
          <t>Projected</t>
        </is>
      </c>
      <c r="P3641" s="1391" t="inlineStr">
        <is>
          <t>Min Hrs</t>
        </is>
      </c>
    </row>
    <row r="3642" ht="15.75" customHeight="1" s="2">
      <c r="A3642" s="479" t="inlineStr">
        <is>
          <t>Floor</t>
        </is>
      </c>
      <c r="B3642" s="810" t="n"/>
      <c r="C3642" s="1389" t="n"/>
      <c r="D3642" s="1392" t="n"/>
      <c r="E3642" s="810" t="n"/>
      <c r="F3642" s="1389" t="n"/>
      <c r="G3642" s="1392" t="n"/>
      <c r="H3642" s="810" t="n"/>
      <c r="I3642" s="1389" t="n"/>
      <c r="J3642" s="1392" t="n"/>
      <c r="K3642" s="810" t="n"/>
      <c r="L3642" s="1389" t="n"/>
      <c r="M3642" s="1392" t="n"/>
      <c r="N3642" s="810" t="n"/>
      <c r="O3642" s="1389" t="n"/>
      <c r="P3642" s="1392" t="n"/>
    </row>
    <row r="3643" ht="15.75" customHeight="1" s="2" thickBot="1">
      <c r="A3643" s="481" t="inlineStr">
        <is>
          <t>Kitchen</t>
        </is>
      </c>
      <c r="B3643" s="813" t="n"/>
      <c r="C3643" s="1387" t="n"/>
      <c r="D3643" s="1393" t="n"/>
      <c r="E3643" s="813" t="n"/>
      <c r="F3643" s="1390" t="n"/>
      <c r="G3643" s="1393" t="n"/>
      <c r="H3643" s="813" t="n"/>
      <c r="I3643" s="1390" t="n"/>
      <c r="J3643" s="1393" t="n"/>
      <c r="K3643" s="813" t="n"/>
      <c r="L3643" s="1390" t="n"/>
      <c r="M3643" s="1393" t="n"/>
      <c r="N3643" s="813" t="n"/>
      <c r="O3643" s="1387" t="n"/>
      <c r="P3643" s="1393" t="n"/>
    </row>
    <row r="3644" ht="15.75" customHeight="1" s="2" thickBot="1">
      <c r="A3644" s="834" t="n"/>
      <c r="B3644" s="836" t="n"/>
      <c r="C3644" s="1220" t="n"/>
      <c r="D3644" s="1220" t="n"/>
      <c r="E3644" s="839" t="n"/>
      <c r="F3644" s="1220" t="n"/>
      <c r="G3644" s="1220" t="n"/>
      <c r="H3644" s="839" t="n"/>
      <c r="I3644" s="1220" t="n"/>
      <c r="J3644" s="1220" t="n"/>
      <c r="K3644" s="839" t="n"/>
      <c r="L3644" s="1220" t="n"/>
      <c r="M3644" s="1220" t="n"/>
      <c r="N3644" s="839" t="n"/>
      <c r="O3644" s="835" t="n"/>
      <c r="P3644" s="835" t="n"/>
    </row>
    <row r="3645" ht="15.75" customHeight="1" s="2">
      <c r="A3645" s="506" t="inlineStr">
        <is>
          <t>Training explanation</t>
        </is>
      </c>
      <c r="B3645" s="837" t="n"/>
      <c r="C3645" s="1220" t="n"/>
      <c r="D3645" s="1220" t="n"/>
      <c r="E3645" s="837" t="n"/>
      <c r="F3645" s="1220" t="n"/>
      <c r="G3645" s="1220" t="n"/>
      <c r="H3645" s="837" t="n"/>
      <c r="I3645" s="1220" t="n"/>
      <c r="J3645" s="1220" t="n"/>
      <c r="K3645" s="837" t="n"/>
      <c r="L3645" s="1220" t="n"/>
      <c r="M3645" s="1220" t="n"/>
      <c r="N3645" s="837" t="n"/>
      <c r="O3645" s="835" t="n"/>
      <c r="P3645" s="835" t="n"/>
    </row>
    <row r="3646" ht="15.75" customHeight="1" s="2" thickBot="1">
      <c r="A3646" s="506" t="inlineStr">
        <is>
          <t>Who is being Trained</t>
        </is>
      </c>
      <c r="B3646" s="838" t="n"/>
      <c r="C3646" s="1221" t="n"/>
      <c r="D3646" s="1221" t="n"/>
      <c r="E3646" s="838" t="n"/>
      <c r="F3646" s="1221" t="n"/>
      <c r="G3646" s="1221" t="n"/>
      <c r="H3646" s="838" t="n"/>
      <c r="I3646" s="1221" t="n"/>
      <c r="J3646" s="1221" t="n"/>
      <c r="K3646" s="838" t="n"/>
      <c r="L3646" s="1221" t="n"/>
      <c r="M3646" s="1221" t="n"/>
      <c r="N3646" s="838" t="n"/>
    </row>
    <row r="3647" ht="15.75" customHeight="1" s="2" thickBot="1">
      <c r="A3647" s="506" t="n"/>
      <c r="C3647" s="523" t="inlineStr">
        <is>
          <t>floor</t>
        </is>
      </c>
      <c r="D3647" s="524" t="inlineStr">
        <is>
          <t>kitchen</t>
        </is>
      </c>
      <c r="E3647" s="509" t="n"/>
      <c r="F3647" s="507" t="inlineStr">
        <is>
          <t>floor</t>
        </is>
      </c>
      <c r="G3647" s="508" t="inlineStr">
        <is>
          <t>kitchen</t>
        </is>
      </c>
      <c r="H3647" s="510" t="n"/>
      <c r="I3647" s="535" t="inlineStr">
        <is>
          <t>floor</t>
        </is>
      </c>
      <c r="J3647" s="511" t="inlineStr">
        <is>
          <t>kitchen</t>
        </is>
      </c>
      <c r="K3647" s="512" t="n"/>
      <c r="L3647" s="535" t="inlineStr">
        <is>
          <t>floor</t>
        </is>
      </c>
      <c r="M3647" s="513" t="inlineStr">
        <is>
          <t>kitchen</t>
        </is>
      </c>
      <c r="N3647" s="512" t="n"/>
      <c r="O3647" s="535" t="inlineStr">
        <is>
          <t>floor</t>
        </is>
      </c>
      <c r="P3647" s="513" t="inlineStr">
        <is>
          <t>kitchen</t>
        </is>
      </c>
    </row>
    <row r="3648" ht="15.75" customHeight="1" s="2">
      <c r="A3648" s="506" t="n"/>
      <c r="C3648" s="525" t="n"/>
      <c r="D3648" s="527" t="n"/>
      <c r="E3648" s="514" t="n"/>
      <c r="F3648" s="525" t="n"/>
      <c r="G3648" s="527" t="n"/>
      <c r="H3648" s="515" t="n"/>
      <c r="I3648" s="531" t="n"/>
      <c r="J3648" s="824" t="n"/>
      <c r="K3648" s="515" t="n"/>
      <c r="L3648" s="536" t="n"/>
      <c r="M3648" s="532" t="n"/>
      <c r="N3648" s="515" t="n"/>
      <c r="O3648" s="536" t="n"/>
      <c r="P3648" s="532" t="n"/>
    </row>
    <row r="3649" ht="15.75" customHeight="1" s="2">
      <c r="C3649" s="891" t="n"/>
      <c r="D3649" s="526" t="n"/>
      <c r="E3649" s="514" t="n"/>
      <c r="F3649" s="891" t="n"/>
      <c r="G3649" s="526" t="n"/>
      <c r="H3649" s="516" t="n"/>
      <c r="I3649" s="1656" t="n"/>
      <c r="J3649" s="530" t="n"/>
      <c r="K3649" s="516" t="n"/>
      <c r="L3649" s="542" t="n"/>
      <c r="M3649" s="530" t="n"/>
      <c r="N3649" s="516" t="n"/>
      <c r="O3649" s="542" t="n"/>
      <c r="P3649" s="530" t="n"/>
    </row>
    <row r="3650" ht="15.75" customHeight="1" s="2">
      <c r="C3650" s="550" t="n"/>
      <c r="D3650" s="527" t="n"/>
      <c r="E3650" s="514" t="n"/>
      <c r="F3650" s="531" t="n"/>
      <c r="G3650" s="530" t="n"/>
      <c r="H3650" s="516" t="n"/>
      <c r="I3650" s="537" t="n"/>
      <c r="J3650" s="530" t="n"/>
      <c r="K3650" s="516" t="n"/>
      <c r="L3650" s="1657" t="n"/>
      <c r="M3650" s="539" t="n"/>
      <c r="N3650" s="516" t="n"/>
      <c r="O3650" s="542" t="n"/>
      <c r="P3650" s="539" t="n"/>
    </row>
    <row r="3651" ht="15.75" customHeight="1" s="2">
      <c r="C3651" s="561" t="n"/>
      <c r="D3651" s="561" t="n"/>
      <c r="E3651" s="519" t="n"/>
      <c r="F3651" s="517" t="n"/>
      <c r="G3651" s="1659" t="n"/>
      <c r="H3651" s="516" t="n"/>
      <c r="I3651" s="537" t="n"/>
      <c r="J3651" s="530" t="n"/>
      <c r="K3651" s="516" t="n"/>
      <c r="L3651" s="537" t="n"/>
      <c r="M3651" s="539" t="n"/>
      <c r="N3651" s="516" t="n"/>
      <c r="O3651" s="537" t="n"/>
      <c r="P3651" s="539" t="n"/>
    </row>
    <row r="3652" ht="15.75" customHeight="1" s="2">
      <c r="C3652" s="551" t="n"/>
      <c r="D3652" s="528" t="n"/>
      <c r="E3652" s="519" t="n"/>
      <c r="F3652" s="517" t="n"/>
      <c r="G3652" s="518" t="n"/>
      <c r="H3652" s="516" t="n"/>
      <c r="I3652" s="537" t="n"/>
      <c r="J3652" s="533" t="n"/>
      <c r="K3652" s="516" t="n"/>
      <c r="L3652" s="537" t="n"/>
      <c r="M3652" s="540" t="n"/>
      <c r="N3652" s="516" t="n"/>
      <c r="O3652" s="537" t="n"/>
      <c r="P3652" s="540" t="n"/>
    </row>
    <row r="3653" ht="15.75" customHeight="1" s="2">
      <c r="C3653" s="550" t="n"/>
      <c r="D3653" s="527" t="n"/>
      <c r="E3653" s="514" t="n"/>
      <c r="F3653" s="531" t="n"/>
      <c r="G3653" s="530" t="n"/>
      <c r="H3653" s="516" t="n"/>
      <c r="I3653" s="537" t="n"/>
      <c r="J3653" s="530" t="n"/>
      <c r="K3653" s="516" t="n"/>
      <c r="L3653" s="1657" t="n"/>
      <c r="M3653" s="539" t="n"/>
      <c r="N3653" s="516" t="n"/>
      <c r="O3653" s="542" t="n"/>
      <c r="P3653" s="539" t="n"/>
    </row>
    <row r="3654" ht="15.75" customHeight="1" s="2">
      <c r="C3654" s="561" t="n"/>
      <c r="D3654" s="561" t="n"/>
      <c r="E3654" s="519" t="n"/>
      <c r="F3654" s="517" t="n"/>
      <c r="G3654" s="1659" t="n"/>
      <c r="H3654" s="516" t="n"/>
      <c r="I3654" s="537" t="n"/>
      <c r="J3654" s="530" t="n"/>
      <c r="K3654" s="516" t="n"/>
      <c r="L3654" s="537" t="n"/>
      <c r="M3654" s="539" t="n"/>
      <c r="N3654" s="516" t="n"/>
      <c r="O3654" s="537" t="n"/>
      <c r="P3654" s="539" t="n"/>
    </row>
    <row r="3655" ht="15.75" customHeight="1" s="2">
      <c r="C3655" s="551" t="n"/>
      <c r="D3655" s="528" t="n"/>
      <c r="E3655" s="519" t="n"/>
      <c r="F3655" s="517" t="n"/>
      <c r="G3655" s="518" t="n"/>
      <c r="H3655" s="516" t="n"/>
      <c r="I3655" s="537" t="n"/>
      <c r="J3655" s="533" t="n"/>
      <c r="K3655" s="516" t="n"/>
      <c r="L3655" s="537" t="n"/>
      <c r="M3655" s="540" t="n"/>
      <c r="N3655" s="516" t="n"/>
      <c r="O3655" s="537" t="n"/>
      <c r="P3655" s="540" t="n"/>
    </row>
    <row r="3657" ht="15.75" customHeight="1" s="2" thickBot="1"/>
    <row r="3658" ht="15.75" customHeight="1" s="2" thickBot="1">
      <c r="B3658" s="1482" t="n"/>
      <c r="C3658" s="1483" t="n"/>
      <c r="D3658" s="1484" t="n"/>
      <c r="E3658" s="1485" t="n"/>
      <c r="F3658" s="1486" t="n"/>
      <c r="G3658" s="1487" t="n"/>
      <c r="H3658" s="1485" t="n"/>
      <c r="I3658" s="1486" t="n"/>
      <c r="J3658" s="1487" t="n"/>
      <c r="K3658" s="1485" t="n"/>
      <c r="L3658" s="1486" t="n"/>
      <c r="M3658" s="1487" t="n"/>
      <c r="N3658" s="1488" t="n"/>
      <c r="O3658" s="1489" t="n"/>
      <c r="P3658" s="1490" t="n"/>
    </row>
    <row r="3659" ht="15.75" customHeight="1" s="2" thickBot="1">
      <c r="A3659" s="455" t="n"/>
      <c r="B3659" s="1394" t="inlineStr">
        <is>
          <t>LAST YEAR</t>
        </is>
      </c>
      <c r="C3659" s="1395" t="inlineStr">
        <is>
          <t>Projected</t>
        </is>
      </c>
      <c r="D3659" s="1396" t="inlineStr">
        <is>
          <t>Actual</t>
        </is>
      </c>
      <c r="E3659" s="1394" t="inlineStr">
        <is>
          <t>LAST YEAR</t>
        </is>
      </c>
      <c r="F3659" s="1395" t="inlineStr">
        <is>
          <t>Projected</t>
        </is>
      </c>
      <c r="G3659" s="1396" t="inlineStr">
        <is>
          <t>Actual</t>
        </is>
      </c>
      <c r="H3659" s="1394" t="inlineStr">
        <is>
          <t>LAST YEAR</t>
        </is>
      </c>
      <c r="I3659" s="1395" t="inlineStr">
        <is>
          <t>Projected</t>
        </is>
      </c>
      <c r="J3659" s="1396" t="inlineStr">
        <is>
          <t>Actual</t>
        </is>
      </c>
      <c r="K3659" s="1394" t="inlineStr">
        <is>
          <t>LAST YEAR</t>
        </is>
      </c>
      <c r="L3659" s="1395" t="inlineStr">
        <is>
          <t>Projected</t>
        </is>
      </c>
      <c r="M3659" s="1396" t="inlineStr">
        <is>
          <t>Actual</t>
        </is>
      </c>
      <c r="N3659" s="1394" t="inlineStr">
        <is>
          <t>LAST YEAR</t>
        </is>
      </c>
      <c r="O3659" s="1395" t="inlineStr">
        <is>
          <t>Projected</t>
        </is>
      </c>
      <c r="P3659" s="1396" t="inlineStr">
        <is>
          <t>Actual</t>
        </is>
      </c>
    </row>
    <row r="3660" ht="15.75" customHeight="1" s="2">
      <c r="A3660" s="459" t="inlineStr">
        <is>
          <t>Total Receipts</t>
        </is>
      </c>
      <c r="B3660" s="1645" t="n"/>
      <c r="C3660" s="1700" t="n"/>
      <c r="D3660" s="1701" t="n"/>
      <c r="E3660" s="1645" t="n"/>
      <c r="F3660" s="1700" t="n"/>
      <c r="G3660" s="1701" t="n"/>
      <c r="H3660" s="1644" t="n"/>
      <c r="I3660" s="1700" t="n"/>
      <c r="J3660" s="1701" t="n"/>
      <c r="K3660" s="1644" t="n"/>
      <c r="L3660" s="1700" t="n"/>
      <c r="M3660" s="1701" t="n"/>
      <c r="N3660" s="1644" t="n"/>
      <c r="O3660" s="1700" t="n"/>
      <c r="P3660" s="1701" t="n"/>
    </row>
    <row r="3661" ht="15.75" customHeight="1" s="2">
      <c r="A3661" s="462" t="inlineStr">
        <is>
          <t>Nett Sales</t>
        </is>
      </c>
      <c r="B3661" s="1625" t="n"/>
      <c r="C3661" s="1702" t="n"/>
      <c r="D3661" s="1703" t="n"/>
      <c r="E3661" s="1637" t="n"/>
      <c r="F3661" s="1702" t="n"/>
      <c r="G3661" s="1703" t="n"/>
      <c r="H3661" s="1646" t="n"/>
      <c r="I3661" s="1702" t="n"/>
      <c r="J3661" s="1703" t="n"/>
      <c r="K3661" s="1646" t="n"/>
      <c r="L3661" s="1702" t="n"/>
      <c r="M3661" s="1703" t="n"/>
      <c r="N3661" s="1646" t="n"/>
      <c r="O3661" s="1702" t="n"/>
      <c r="P3661" s="1703" t="n"/>
    </row>
    <row r="3662" ht="15.75" customHeight="1" s="2">
      <c r="A3662" s="462" t="inlineStr">
        <is>
          <t>Customers</t>
        </is>
      </c>
      <c r="B3662" s="466" t="n"/>
      <c r="C3662" s="1382" t="n"/>
      <c r="D3662" s="1704" t="n"/>
      <c r="E3662" s="466" t="n"/>
      <c r="F3662" s="1382" t="n"/>
      <c r="G3662" s="1704" t="n"/>
      <c r="H3662" s="866" t="n"/>
      <c r="I3662" s="1382" t="n"/>
      <c r="J3662" s="1704" t="n"/>
      <c r="K3662" s="866" t="n"/>
      <c r="L3662" s="1382" t="n"/>
      <c r="M3662" s="1704" t="n"/>
      <c r="N3662" s="866" t="n"/>
      <c r="O3662" s="1382" t="n"/>
      <c r="P3662" s="1704" t="n"/>
    </row>
    <row r="3663" ht="15.75" customHeight="1" s="2">
      <c r="A3663" s="462" t="inlineStr">
        <is>
          <t>Average Customer Spend</t>
        </is>
      </c>
      <c r="B3663" s="1649" t="n"/>
      <c r="C3663" s="1705" t="n"/>
      <c r="D3663" s="1706" t="n"/>
      <c r="E3663" s="1649" t="n"/>
      <c r="F3663" s="1705" t="n"/>
      <c r="G3663" s="1706" t="n"/>
      <c r="H3663" s="1648" t="n"/>
      <c r="I3663" s="1705" t="n"/>
      <c r="J3663" s="1706" t="n"/>
      <c r="K3663" s="1648" t="n"/>
      <c r="L3663" s="1705" t="n"/>
      <c r="M3663" s="1706" t="n"/>
      <c r="N3663" s="1648" t="n"/>
      <c r="O3663" s="1705" t="n"/>
      <c r="P3663" s="1706" t="n"/>
    </row>
    <row r="3664" ht="15.75" customHeight="1" s="2">
      <c r="A3664" s="462" t="inlineStr">
        <is>
          <t>Wage % to Total Receipts</t>
        </is>
      </c>
      <c r="B3664" s="863" t="n"/>
      <c r="C3664" s="1384">
        <f>C3669/C3660</f>
        <v/>
      </c>
      <c r="D3664" s="1375">
        <f>D3669/D3660</f>
        <v/>
      </c>
      <c r="E3664" s="863" t="n"/>
      <c r="F3664" s="1384">
        <f>F3669/F3660</f>
        <v/>
      </c>
      <c r="G3664" s="1375">
        <f>G3669/G3660</f>
        <v/>
      </c>
      <c r="H3664" s="868" t="n"/>
      <c r="I3664" s="1384">
        <f>I3669/I3660</f>
        <v/>
      </c>
      <c r="J3664" s="1375">
        <f>J3669/J3660</f>
        <v/>
      </c>
      <c r="K3664" s="868" t="n"/>
      <c r="L3664" s="1384">
        <f>L3669/L3660</f>
        <v/>
      </c>
      <c r="M3664" s="1375">
        <f>M3669/M3660</f>
        <v/>
      </c>
      <c r="N3664" s="868" t="n"/>
      <c r="O3664" s="1384">
        <f>O3669/O3660</f>
        <v/>
      </c>
      <c r="P3664" s="1375">
        <f>P3669/P3660</f>
        <v/>
      </c>
    </row>
    <row r="3665" ht="15.75" customHeight="1" s="2">
      <c r="A3665" s="462" t="inlineStr">
        <is>
          <t>Wage % to Nett Sales</t>
        </is>
      </c>
      <c r="B3665" s="863" t="n"/>
      <c r="C3665" s="1384">
        <f>C3669/C3661</f>
        <v/>
      </c>
      <c r="D3665" s="1375">
        <f>D3669/D3661</f>
        <v/>
      </c>
      <c r="E3665" s="863" t="n"/>
      <c r="F3665" s="1384">
        <f>F3669/F3661</f>
        <v/>
      </c>
      <c r="G3665" s="1375">
        <f>G3669/G3661</f>
        <v/>
      </c>
      <c r="H3665" s="868" t="n"/>
      <c r="I3665" s="1384">
        <f>I3669/I3661</f>
        <v/>
      </c>
      <c r="J3665" s="1375">
        <f>J3669/J3661</f>
        <v/>
      </c>
      <c r="K3665" s="868" t="n"/>
      <c r="L3665" s="1384">
        <f>L3669/L3661</f>
        <v/>
      </c>
      <c r="M3665" s="1375">
        <f>M3669/M3661</f>
        <v/>
      </c>
      <c r="N3665" s="868" t="n"/>
      <c r="O3665" s="1384">
        <f>O3669/O3661</f>
        <v/>
      </c>
      <c r="P3665" s="1375">
        <f>P3669/P3661</f>
        <v/>
      </c>
    </row>
    <row r="3666" ht="15.75" customHeight="1" s="2">
      <c r="A3666" s="462" t="inlineStr">
        <is>
          <t>Productivity</t>
        </is>
      </c>
      <c r="B3666" s="472" t="n"/>
      <c r="C3666" s="1385">
        <f>C3662/C3668</f>
        <v/>
      </c>
      <c r="D3666" s="1376">
        <f>D3662/D3668</f>
        <v/>
      </c>
      <c r="E3666" s="472" t="n"/>
      <c r="F3666" s="1385">
        <f>F3662/F3668</f>
        <v/>
      </c>
      <c r="G3666" s="1376">
        <f>G3662/G3668</f>
        <v/>
      </c>
      <c r="H3666" s="869" t="n"/>
      <c r="I3666" s="1385">
        <f>I3662/I3668</f>
        <v/>
      </c>
      <c r="J3666" s="1376">
        <f>J3662/J3668</f>
        <v/>
      </c>
      <c r="K3666" s="869" t="n"/>
      <c r="L3666" s="1385">
        <f>L3662/L3668</f>
        <v/>
      </c>
      <c r="M3666" s="1376">
        <f>M3662/M3668</f>
        <v/>
      </c>
      <c r="N3666" s="869" t="n"/>
      <c r="O3666" s="1385">
        <f>O3662/O3668</f>
        <v/>
      </c>
      <c r="P3666" s="1376">
        <f>P3662/P3668</f>
        <v/>
      </c>
    </row>
    <row r="3667" ht="15.75" customHeight="1" s="2">
      <c r="A3667" s="462" t="inlineStr">
        <is>
          <t>Average Hourly Rate</t>
        </is>
      </c>
      <c r="B3667" s="1649" t="n"/>
      <c r="C3667" s="1385" t="n"/>
      <c r="D3667" s="1706" t="n"/>
      <c r="E3667" s="1649" t="n"/>
      <c r="F3667" s="1385" t="n"/>
      <c r="G3667" s="1706" t="n"/>
      <c r="H3667" s="869" t="n"/>
      <c r="I3667" s="1385" t="n"/>
      <c r="J3667" s="1706" t="n"/>
      <c r="K3667" s="869" t="n"/>
      <c r="L3667" s="1385" t="n"/>
      <c r="M3667" s="1706" t="n"/>
      <c r="N3667" s="869" t="n"/>
      <c r="O3667" s="1385" t="n"/>
      <c r="P3667" s="1706" t="n"/>
    </row>
    <row r="3668" ht="15.75" customHeight="1" s="2">
      <c r="A3668" s="462" t="inlineStr">
        <is>
          <t>Total hours for productivity</t>
        </is>
      </c>
      <c r="B3668" s="466" t="n"/>
      <c r="C3668" s="1385" t="n"/>
      <c r="D3668" s="1377" t="n"/>
      <c r="E3668" s="466" t="n"/>
      <c r="F3668" s="1385" t="n"/>
      <c r="G3668" s="1377" t="n"/>
      <c r="H3668" s="869" t="n"/>
      <c r="I3668" s="1385" t="n"/>
      <c r="J3668" s="1377" t="n"/>
      <c r="K3668" s="869" t="n"/>
      <c r="L3668" s="1385" t="n"/>
      <c r="M3668" s="1377" t="n"/>
      <c r="N3668" s="869" t="n"/>
      <c r="O3668" s="1385" t="n"/>
      <c r="P3668" s="1377" t="n"/>
    </row>
    <row r="3669" ht="15.75" customHeight="1" s="2">
      <c r="A3669" s="462" t="inlineStr">
        <is>
          <t>wage costed</t>
        </is>
      </c>
      <c r="B3669" s="466" t="n"/>
      <c r="C3669" s="1386">
        <f>C3668*C3667</f>
        <v/>
      </c>
      <c r="D3669" s="1378">
        <f>D3668*D3667</f>
        <v/>
      </c>
      <c r="E3669" s="466" t="n"/>
      <c r="F3669" s="1386">
        <f>F3668*F3667</f>
        <v/>
      </c>
      <c r="G3669" s="1378">
        <f>G3668*G3667</f>
        <v/>
      </c>
      <c r="H3669" s="870" t="n"/>
      <c r="I3669" s="1386">
        <f>I3668*I3667</f>
        <v/>
      </c>
      <c r="J3669" s="1378">
        <f>J3668*J3667</f>
        <v/>
      </c>
      <c r="K3669" s="870" t="n"/>
      <c r="L3669" s="1386">
        <f>L3668*L3667</f>
        <v/>
      </c>
      <c r="M3669" s="1378">
        <f>M3668*M3667</f>
        <v/>
      </c>
      <c r="N3669" s="870" t="n"/>
      <c r="O3669" s="1386">
        <f>O3668*O3667</f>
        <v/>
      </c>
      <c r="P3669" s="1378">
        <f>P3668*P3667</f>
        <v/>
      </c>
    </row>
    <row r="3670" ht="15.75" customHeight="1" s="2" thickBot="1">
      <c r="A3670" s="474" t="inlineStr">
        <is>
          <t>Number of hours used to cover sick leave</t>
        </is>
      </c>
      <c r="B3670" s="476" t="n"/>
      <c r="C3670" s="1387" t="n"/>
      <c r="D3670" s="1379" t="n"/>
      <c r="E3670" s="476" t="n"/>
      <c r="F3670" s="1387" t="n"/>
      <c r="G3670" s="1379" t="n"/>
      <c r="H3670" s="813" t="n"/>
      <c r="I3670" s="1387" t="n"/>
      <c r="J3670" s="1379" t="n"/>
      <c r="K3670" s="1229" t="n"/>
      <c r="L3670" s="1387" t="n"/>
      <c r="M3670" s="1379" t="n"/>
      <c r="N3670" s="813" t="n"/>
      <c r="O3670" s="1387" t="n"/>
      <c r="P3670" s="1379" t="n"/>
    </row>
    <row r="3671" ht="15.75" customHeight="1" s="2" thickBot="1">
      <c r="A3671" s="477" t="inlineStr">
        <is>
          <t xml:space="preserve">Minimum Hours </t>
        </is>
      </c>
      <c r="B3671" s="935" t="n"/>
      <c r="C3671" s="1388" t="inlineStr">
        <is>
          <t>Projected</t>
        </is>
      </c>
      <c r="D3671" s="1391" t="inlineStr">
        <is>
          <t>Min Hrs</t>
        </is>
      </c>
      <c r="E3671" s="935" t="n"/>
      <c r="F3671" s="1388" t="inlineStr">
        <is>
          <t>Projected</t>
        </is>
      </c>
      <c r="G3671" s="1391" t="inlineStr">
        <is>
          <t>Min Hrs</t>
        </is>
      </c>
      <c r="H3671" s="935" t="n"/>
      <c r="I3671" s="1388" t="inlineStr">
        <is>
          <t>Projected</t>
        </is>
      </c>
      <c r="J3671" s="1391" t="inlineStr">
        <is>
          <t>Min Hrs</t>
        </is>
      </c>
      <c r="K3671" s="935" t="n"/>
      <c r="L3671" s="1388" t="inlineStr">
        <is>
          <t>Projected</t>
        </is>
      </c>
      <c r="M3671" s="1391" t="inlineStr">
        <is>
          <t>Min Hrs</t>
        </is>
      </c>
      <c r="N3671" s="935" t="n"/>
      <c r="O3671" s="1388" t="inlineStr">
        <is>
          <t>Projected</t>
        </is>
      </c>
      <c r="P3671" s="1391" t="inlineStr">
        <is>
          <t>Min Hrs</t>
        </is>
      </c>
    </row>
    <row r="3672" ht="15.75" customHeight="1" s="2">
      <c r="A3672" s="479" t="inlineStr">
        <is>
          <t>Floor</t>
        </is>
      </c>
      <c r="B3672" s="810" t="n"/>
      <c r="C3672" s="1389" t="n"/>
      <c r="D3672" s="1392" t="n"/>
      <c r="E3672" s="810" t="n"/>
      <c r="F3672" s="1389" t="n"/>
      <c r="G3672" s="1392" t="n"/>
      <c r="H3672" s="810" t="n"/>
      <c r="I3672" s="1389" t="n"/>
      <c r="J3672" s="1392" t="n"/>
      <c r="K3672" s="810" t="n"/>
      <c r="L3672" s="1389" t="n"/>
      <c r="M3672" s="1392" t="n"/>
      <c r="N3672" s="810" t="n"/>
      <c r="O3672" s="1389" t="n"/>
      <c r="P3672" s="1392" t="n"/>
    </row>
    <row r="3673" ht="15.75" customHeight="1" s="2" thickBot="1">
      <c r="A3673" s="481" t="inlineStr">
        <is>
          <t>Kitchen</t>
        </is>
      </c>
      <c r="B3673" s="813" t="n"/>
      <c r="C3673" s="1387" t="n"/>
      <c r="D3673" s="1393" t="n"/>
      <c r="E3673" s="813" t="n"/>
      <c r="F3673" s="1390" t="n"/>
      <c r="G3673" s="1393" t="n"/>
      <c r="H3673" s="813" t="n"/>
      <c r="I3673" s="1390" t="n"/>
      <c r="J3673" s="1393" t="n"/>
      <c r="K3673" s="813" t="n"/>
      <c r="L3673" s="1390" t="n"/>
      <c r="M3673" s="1393" t="n"/>
      <c r="N3673" s="813" t="n"/>
      <c r="O3673" s="1387" t="n"/>
      <c r="P3673" s="1393" t="n"/>
    </row>
    <row r="3674" ht="15.75" customHeight="1" s="2" thickBot="1">
      <c r="A3674" s="834" t="n"/>
      <c r="B3674" s="836" t="n"/>
      <c r="C3674" s="1220" t="n"/>
      <c r="D3674" s="1220" t="n"/>
      <c r="E3674" s="839" t="n"/>
      <c r="F3674" s="1220" t="n"/>
      <c r="G3674" s="1220" t="n"/>
      <c r="H3674" s="839" t="n"/>
      <c r="I3674" s="1220" t="n"/>
      <c r="J3674" s="1220" t="n"/>
      <c r="K3674" s="839" t="n"/>
      <c r="L3674" s="1220" t="n"/>
      <c r="M3674" s="1220" t="n"/>
      <c r="N3674" s="839" t="n"/>
      <c r="O3674" s="835" t="n"/>
      <c r="P3674" s="835" t="n"/>
    </row>
    <row r="3675" ht="15.75" customHeight="1" s="2">
      <c r="A3675" s="506" t="inlineStr">
        <is>
          <t>Training explanation</t>
        </is>
      </c>
      <c r="B3675" s="837" t="n"/>
      <c r="C3675" s="1220" t="n"/>
      <c r="D3675" s="1220" t="n"/>
      <c r="E3675" s="837" t="n"/>
      <c r="F3675" s="1220" t="n"/>
      <c r="G3675" s="1220" t="n"/>
      <c r="H3675" s="837" t="n"/>
      <c r="I3675" s="1220" t="n"/>
      <c r="J3675" s="1220" t="n"/>
      <c r="K3675" s="837" t="n"/>
      <c r="L3675" s="1220" t="n"/>
      <c r="M3675" s="1220" t="n"/>
      <c r="N3675" s="837" t="n"/>
      <c r="O3675" s="835" t="n"/>
      <c r="P3675" s="835" t="n"/>
    </row>
    <row r="3676" ht="15.75" customHeight="1" s="2" thickBot="1">
      <c r="A3676" s="506" t="inlineStr">
        <is>
          <t>Who is being Trained</t>
        </is>
      </c>
      <c r="B3676" s="838" t="n"/>
      <c r="C3676" s="1221" t="n"/>
      <c r="D3676" s="1221" t="n"/>
      <c r="E3676" s="838" t="n"/>
      <c r="F3676" s="1221" t="n"/>
      <c r="G3676" s="1221" t="n"/>
      <c r="H3676" s="838" t="n"/>
      <c r="I3676" s="1221" t="n"/>
      <c r="J3676" s="1221" t="n"/>
      <c r="K3676" s="838" t="n"/>
      <c r="L3676" s="1221" t="n"/>
      <c r="M3676" s="1221" t="n"/>
      <c r="N3676" s="838" t="n"/>
    </row>
    <row r="3677" ht="15.75" customHeight="1" s="2" thickBot="1">
      <c r="A3677" s="506" t="n"/>
      <c r="C3677" s="523" t="inlineStr">
        <is>
          <t>floor</t>
        </is>
      </c>
      <c r="D3677" s="524" t="inlineStr">
        <is>
          <t>kitchen</t>
        </is>
      </c>
      <c r="E3677" s="509" t="n"/>
      <c r="F3677" s="507" t="inlineStr">
        <is>
          <t>floor</t>
        </is>
      </c>
      <c r="G3677" s="508" t="inlineStr">
        <is>
          <t>kitchen</t>
        </is>
      </c>
      <c r="H3677" s="510" t="n"/>
      <c r="I3677" s="535" t="inlineStr">
        <is>
          <t>floor</t>
        </is>
      </c>
      <c r="J3677" s="511" t="inlineStr">
        <is>
          <t>kitchen</t>
        </is>
      </c>
      <c r="K3677" s="512" t="n"/>
      <c r="L3677" s="535" t="inlineStr">
        <is>
          <t>floor</t>
        </is>
      </c>
      <c r="M3677" s="513" t="inlineStr">
        <is>
          <t>kitchen</t>
        </is>
      </c>
      <c r="N3677" s="512" t="n"/>
      <c r="O3677" s="535" t="inlineStr">
        <is>
          <t>floor</t>
        </is>
      </c>
      <c r="P3677" s="513" t="inlineStr">
        <is>
          <t>kitchen</t>
        </is>
      </c>
    </row>
    <row r="3678" ht="15.75" customHeight="1" s="2">
      <c r="A3678" s="506" t="n"/>
      <c r="C3678" s="525" t="n"/>
      <c r="D3678" s="527" t="n"/>
      <c r="E3678" s="514" t="n"/>
      <c r="F3678" s="525" t="n"/>
      <c r="G3678" s="527" t="n"/>
      <c r="H3678" s="515" t="n"/>
      <c r="I3678" s="531" t="n"/>
      <c r="J3678" s="824" t="n"/>
      <c r="K3678" s="515" t="n"/>
      <c r="L3678" s="536" t="n"/>
      <c r="M3678" s="532" t="n"/>
      <c r="N3678" s="515" t="n"/>
      <c r="O3678" s="536" t="n"/>
      <c r="P3678" s="532" t="n"/>
    </row>
    <row r="3679" ht="15.75" customHeight="1" s="2">
      <c r="C3679" s="891" t="n"/>
      <c r="D3679" s="526" t="n"/>
      <c r="E3679" s="514" t="n"/>
      <c r="F3679" s="891" t="n"/>
      <c r="G3679" s="526" t="n"/>
      <c r="H3679" s="516" t="n"/>
      <c r="I3679" s="1656" t="n"/>
      <c r="J3679" s="530" t="n"/>
      <c r="K3679" s="516" t="n"/>
      <c r="L3679" s="542" t="n"/>
      <c r="M3679" s="530" t="n"/>
      <c r="N3679" s="516" t="n"/>
      <c r="O3679" s="542" t="n"/>
      <c r="P3679" s="530" t="n"/>
    </row>
    <row r="3680" ht="15.75" customHeight="1" s="2">
      <c r="C3680" s="550" t="n"/>
      <c r="D3680" s="527" t="n"/>
      <c r="E3680" s="514" t="n"/>
      <c r="F3680" s="531" t="n"/>
      <c r="G3680" s="530" t="n"/>
      <c r="H3680" s="516" t="n"/>
      <c r="I3680" s="537" t="n"/>
      <c r="J3680" s="530" t="n"/>
      <c r="K3680" s="516" t="n"/>
      <c r="L3680" s="1657" t="n"/>
      <c r="M3680" s="539" t="n"/>
      <c r="N3680" s="516" t="n"/>
      <c r="O3680" s="542" t="n"/>
      <c r="P3680" s="539" t="n"/>
    </row>
    <row r="3681" ht="15.75" customHeight="1" s="2">
      <c r="C3681" s="561" t="n"/>
      <c r="D3681" s="561" t="n"/>
      <c r="E3681" s="519" t="n"/>
      <c r="F3681" s="517" t="n"/>
      <c r="G3681" s="1659" t="n"/>
      <c r="H3681" s="516" t="n"/>
      <c r="I3681" s="537" t="n"/>
      <c r="J3681" s="530" t="n"/>
      <c r="K3681" s="516" t="n"/>
      <c r="L3681" s="537" t="n"/>
      <c r="M3681" s="539" t="n"/>
      <c r="N3681" s="516" t="n"/>
      <c r="O3681" s="537" t="n"/>
      <c r="P3681" s="539" t="n"/>
    </row>
    <row r="3682" ht="15.75" customHeight="1" s="2">
      <c r="C3682" s="551" t="n"/>
      <c r="D3682" s="528" t="n"/>
      <c r="E3682" s="519" t="n"/>
      <c r="F3682" s="517" t="n"/>
      <c r="G3682" s="518" t="n"/>
      <c r="H3682" s="516" t="n"/>
      <c r="I3682" s="537" t="n"/>
      <c r="J3682" s="533" t="n"/>
      <c r="K3682" s="516" t="n"/>
      <c r="L3682" s="537" t="n"/>
      <c r="M3682" s="540" t="n"/>
      <c r="N3682" s="516" t="n"/>
      <c r="O3682" s="537" t="n"/>
      <c r="P3682" s="540" t="n"/>
    </row>
    <row r="3683" ht="15.75" customHeight="1" s="2">
      <c r="C3683" s="550" t="n"/>
      <c r="D3683" s="527" t="n"/>
      <c r="E3683" s="514" t="n"/>
      <c r="F3683" s="531" t="n"/>
      <c r="G3683" s="530" t="n"/>
      <c r="H3683" s="516" t="n"/>
      <c r="I3683" s="537" t="n"/>
      <c r="J3683" s="530" t="n"/>
      <c r="K3683" s="516" t="n"/>
      <c r="L3683" s="1657" t="n"/>
      <c r="M3683" s="539" t="n"/>
      <c r="N3683" s="516" t="n"/>
      <c r="O3683" s="542" t="n"/>
      <c r="P3683" s="539" t="n"/>
    </row>
    <row r="3684" ht="15.75" customHeight="1" s="2">
      <c r="C3684" s="561" t="n"/>
      <c r="D3684" s="561" t="n"/>
      <c r="E3684" s="519" t="n"/>
      <c r="F3684" s="517" t="n"/>
      <c r="G3684" s="1659" t="n"/>
      <c r="H3684" s="516" t="n"/>
      <c r="I3684" s="537" t="n"/>
      <c r="J3684" s="530" t="n"/>
      <c r="K3684" s="516" t="n"/>
      <c r="L3684" s="537" t="n"/>
      <c r="M3684" s="539" t="n"/>
      <c r="N3684" s="516" t="n"/>
      <c r="O3684" s="537" t="n"/>
      <c r="P3684" s="539" t="n"/>
    </row>
    <row r="3685" ht="15.75" customHeight="1" s="2">
      <c r="C3685" s="551" t="n"/>
      <c r="D3685" s="528" t="n"/>
      <c r="E3685" s="519" t="n"/>
      <c r="F3685" s="517" t="n"/>
      <c r="G3685" s="518" t="n"/>
      <c r="H3685" s="516" t="n"/>
      <c r="I3685" s="537" t="n"/>
      <c r="J3685" s="533" t="n"/>
      <c r="K3685" s="516" t="n"/>
      <c r="L3685" s="537" t="n"/>
      <c r="M3685" s="540" t="n"/>
      <c r="N3685" s="516" t="n"/>
      <c r="O3685" s="537" t="n"/>
      <c r="P3685" s="540" t="n"/>
    </row>
    <row r="3687" ht="15.75" customHeight="1" s="2" thickBot="1"/>
    <row r="3688" ht="15.75" customHeight="1" s="2" thickBot="1">
      <c r="B3688" s="1482" t="n"/>
      <c r="C3688" s="1483" t="n"/>
      <c r="D3688" s="1484" t="n"/>
      <c r="E3688" s="1485" t="n"/>
      <c r="F3688" s="1486" t="n"/>
      <c r="G3688" s="1487" t="n"/>
      <c r="H3688" s="1485" t="n"/>
      <c r="I3688" s="1486" t="n"/>
      <c r="J3688" s="1487" t="n"/>
      <c r="K3688" s="1485" t="n"/>
      <c r="L3688" s="1486" t="n"/>
      <c r="M3688" s="1487" t="n"/>
      <c r="N3688" s="1488" t="n"/>
      <c r="O3688" s="1489" t="n"/>
      <c r="P3688" s="1490" t="n"/>
    </row>
    <row r="3689" ht="15.75" customHeight="1" s="2" thickBot="1">
      <c r="A3689" s="455" t="n"/>
      <c r="B3689" s="1394" t="inlineStr">
        <is>
          <t>LAST YEAR</t>
        </is>
      </c>
      <c r="C3689" s="1395" t="inlineStr">
        <is>
          <t>Projected</t>
        </is>
      </c>
      <c r="D3689" s="1396" t="inlineStr">
        <is>
          <t>Actual</t>
        </is>
      </c>
      <c r="E3689" s="1394" t="inlineStr">
        <is>
          <t>LAST YEAR</t>
        </is>
      </c>
      <c r="F3689" s="1395" t="inlineStr">
        <is>
          <t>Projected</t>
        </is>
      </c>
      <c r="G3689" s="1396" t="inlineStr">
        <is>
          <t>Actual</t>
        </is>
      </c>
      <c r="H3689" s="1394" t="inlineStr">
        <is>
          <t>LAST YEAR</t>
        </is>
      </c>
      <c r="I3689" s="1395" t="inlineStr">
        <is>
          <t>Projected</t>
        </is>
      </c>
      <c r="J3689" s="1396" t="inlineStr">
        <is>
          <t>Actual</t>
        </is>
      </c>
      <c r="K3689" s="1394" t="inlineStr">
        <is>
          <t>LAST YEAR</t>
        </is>
      </c>
      <c r="L3689" s="1395" t="inlineStr">
        <is>
          <t>Projected</t>
        </is>
      </c>
      <c r="M3689" s="1396" t="inlineStr">
        <is>
          <t>Actual</t>
        </is>
      </c>
      <c r="N3689" s="1394" t="inlineStr">
        <is>
          <t>LAST YEAR</t>
        </is>
      </c>
      <c r="O3689" s="1395" t="inlineStr">
        <is>
          <t>Projected</t>
        </is>
      </c>
      <c r="P3689" s="1396" t="inlineStr">
        <is>
          <t>Actual</t>
        </is>
      </c>
    </row>
    <row r="3690" ht="15.75" customHeight="1" s="2">
      <c r="A3690" s="459" t="inlineStr">
        <is>
          <t>Total Receipts</t>
        </is>
      </c>
      <c r="B3690" s="1645" t="n"/>
      <c r="C3690" s="1700" t="n"/>
      <c r="D3690" s="1701" t="n"/>
      <c r="E3690" s="1645" t="n"/>
      <c r="F3690" s="1700" t="n"/>
      <c r="G3690" s="1701" t="n"/>
      <c r="H3690" s="1644" t="n"/>
      <c r="I3690" s="1700" t="n"/>
      <c r="J3690" s="1701" t="n"/>
      <c r="K3690" s="1644" t="n"/>
      <c r="L3690" s="1700" t="n"/>
      <c r="M3690" s="1701" t="n"/>
      <c r="N3690" s="1644" t="n"/>
      <c r="O3690" s="1700" t="n"/>
      <c r="P3690" s="1701" t="n"/>
    </row>
    <row r="3691" ht="15.75" customHeight="1" s="2">
      <c r="A3691" s="462" t="inlineStr">
        <is>
          <t>Nett Sales</t>
        </is>
      </c>
      <c r="B3691" s="1625" t="n"/>
      <c r="C3691" s="1702" t="n"/>
      <c r="D3691" s="1703" t="n"/>
      <c r="E3691" s="1637" t="n"/>
      <c r="F3691" s="1702" t="n"/>
      <c r="G3691" s="1703" t="n"/>
      <c r="H3691" s="1646" t="n"/>
      <c r="I3691" s="1702" t="n"/>
      <c r="J3691" s="1703" t="n"/>
      <c r="K3691" s="1646" t="n"/>
      <c r="L3691" s="1702" t="n"/>
      <c r="M3691" s="1703" t="n"/>
      <c r="N3691" s="1646" t="n"/>
      <c r="O3691" s="1702" t="n"/>
      <c r="P3691" s="1703" t="n"/>
    </row>
    <row r="3692" ht="15.75" customHeight="1" s="2">
      <c r="A3692" s="462" t="inlineStr">
        <is>
          <t>Customers</t>
        </is>
      </c>
      <c r="B3692" s="466" t="n"/>
      <c r="C3692" s="1382" t="n"/>
      <c r="D3692" s="1704" t="n"/>
      <c r="E3692" s="466" t="n"/>
      <c r="F3692" s="1382" t="n"/>
      <c r="G3692" s="1704" t="n"/>
      <c r="H3692" s="866" t="n"/>
      <c r="I3692" s="1382" t="n"/>
      <c r="J3692" s="1704" t="n"/>
      <c r="K3692" s="866" t="n"/>
      <c r="L3692" s="1382" t="n"/>
      <c r="M3692" s="1704" t="n"/>
      <c r="N3692" s="866" t="n"/>
      <c r="O3692" s="1382" t="n"/>
      <c r="P3692" s="1704" t="n"/>
    </row>
    <row r="3693" ht="15.75" customHeight="1" s="2">
      <c r="A3693" s="462" t="inlineStr">
        <is>
          <t>Average Customer Spend</t>
        </is>
      </c>
      <c r="B3693" s="1649" t="n"/>
      <c r="C3693" s="1705" t="n"/>
      <c r="D3693" s="1706" t="n"/>
      <c r="E3693" s="1649" t="n"/>
      <c r="F3693" s="1705" t="n"/>
      <c r="G3693" s="1706" t="n"/>
      <c r="H3693" s="1648" t="n"/>
      <c r="I3693" s="1705" t="n"/>
      <c r="J3693" s="1706" t="n"/>
      <c r="K3693" s="1648" t="n"/>
      <c r="L3693" s="1705" t="n"/>
      <c r="M3693" s="1706" t="n"/>
      <c r="N3693" s="1648" t="n"/>
      <c r="O3693" s="1705" t="n"/>
      <c r="P3693" s="1706" t="n"/>
    </row>
    <row r="3694" ht="15.75" customHeight="1" s="2">
      <c r="A3694" s="462" t="inlineStr">
        <is>
          <t>Wage % to Total Receipts</t>
        </is>
      </c>
      <c r="B3694" s="863" t="n"/>
      <c r="C3694" s="1384">
        <f>C3699/C3690</f>
        <v/>
      </c>
      <c r="D3694" s="1375">
        <f>D3699/D3690</f>
        <v/>
      </c>
      <c r="E3694" s="863" t="n"/>
      <c r="F3694" s="1384">
        <f>F3699/F3690</f>
        <v/>
      </c>
      <c r="G3694" s="1375">
        <f>G3699/G3690</f>
        <v/>
      </c>
      <c r="H3694" s="868" t="n"/>
      <c r="I3694" s="1384">
        <f>I3699/I3690</f>
        <v/>
      </c>
      <c r="J3694" s="1375">
        <f>J3699/J3690</f>
        <v/>
      </c>
      <c r="K3694" s="868" t="n"/>
      <c r="L3694" s="1384">
        <f>L3699/L3690</f>
        <v/>
      </c>
      <c r="M3694" s="1375">
        <f>M3699/M3690</f>
        <v/>
      </c>
      <c r="N3694" s="868" t="n"/>
      <c r="O3694" s="1384">
        <f>O3699/O3690</f>
        <v/>
      </c>
      <c r="P3694" s="1375">
        <f>P3699/P3690</f>
        <v/>
      </c>
    </row>
    <row r="3695" ht="15.75" customHeight="1" s="2">
      <c r="A3695" s="462" t="inlineStr">
        <is>
          <t>Wage % to Nett Sales</t>
        </is>
      </c>
      <c r="B3695" s="863" t="n"/>
      <c r="C3695" s="1384">
        <f>C3699/C3691</f>
        <v/>
      </c>
      <c r="D3695" s="1375">
        <f>D3699/D3691</f>
        <v/>
      </c>
      <c r="E3695" s="863" t="n"/>
      <c r="F3695" s="1384">
        <f>F3699/F3691</f>
        <v/>
      </c>
      <c r="G3695" s="1375">
        <f>G3699/G3691</f>
        <v/>
      </c>
      <c r="H3695" s="868" t="n"/>
      <c r="I3695" s="1384">
        <f>I3699/I3691</f>
        <v/>
      </c>
      <c r="J3695" s="1375">
        <f>J3699/J3691</f>
        <v/>
      </c>
      <c r="K3695" s="868" t="n"/>
      <c r="L3695" s="1384">
        <f>L3699/L3691</f>
        <v/>
      </c>
      <c r="M3695" s="1375">
        <f>M3699/M3691</f>
        <v/>
      </c>
      <c r="N3695" s="868" t="n"/>
      <c r="O3695" s="1384">
        <f>O3699/O3691</f>
        <v/>
      </c>
      <c r="P3695" s="1375">
        <f>P3699/P3691</f>
        <v/>
      </c>
    </row>
    <row r="3696" ht="15.75" customHeight="1" s="2">
      <c r="A3696" s="462" t="inlineStr">
        <is>
          <t>Productivity</t>
        </is>
      </c>
      <c r="B3696" s="472" t="n"/>
      <c r="C3696" s="1385">
        <f>C3692/C3698</f>
        <v/>
      </c>
      <c r="D3696" s="1376">
        <f>D3692/D3698</f>
        <v/>
      </c>
      <c r="E3696" s="472" t="n"/>
      <c r="F3696" s="1385">
        <f>F3692/F3698</f>
        <v/>
      </c>
      <c r="G3696" s="1376">
        <f>G3692/G3698</f>
        <v/>
      </c>
      <c r="H3696" s="869" t="n"/>
      <c r="I3696" s="1385">
        <f>I3692/I3698</f>
        <v/>
      </c>
      <c r="J3696" s="1376">
        <f>J3692/J3698</f>
        <v/>
      </c>
      <c r="K3696" s="869" t="n"/>
      <c r="L3696" s="1385">
        <f>L3692/L3698</f>
        <v/>
      </c>
      <c r="M3696" s="1376">
        <f>M3692/M3698</f>
        <v/>
      </c>
      <c r="N3696" s="869" t="n"/>
      <c r="O3696" s="1385">
        <f>O3692/O3698</f>
        <v/>
      </c>
      <c r="P3696" s="1376">
        <f>P3692/P3698</f>
        <v/>
      </c>
    </row>
    <row r="3697" ht="15.75" customHeight="1" s="2">
      <c r="A3697" s="462" t="inlineStr">
        <is>
          <t>Average Hourly Rate</t>
        </is>
      </c>
      <c r="B3697" s="1649" t="n"/>
      <c r="C3697" s="1385" t="n"/>
      <c r="D3697" s="1706" t="n"/>
      <c r="E3697" s="1649" t="n"/>
      <c r="F3697" s="1385" t="n"/>
      <c r="G3697" s="1706" t="n"/>
      <c r="H3697" s="869" t="n"/>
      <c r="I3697" s="1385" t="n"/>
      <c r="J3697" s="1706" t="n"/>
      <c r="K3697" s="869" t="n"/>
      <c r="L3697" s="1385" t="n"/>
      <c r="M3697" s="1706" t="n"/>
      <c r="N3697" s="869" t="n"/>
      <c r="O3697" s="1385" t="n"/>
      <c r="P3697" s="1706" t="n"/>
    </row>
    <row r="3698" ht="15.75" customHeight="1" s="2">
      <c r="A3698" s="462" t="inlineStr">
        <is>
          <t>Total hours for productivity</t>
        </is>
      </c>
      <c r="B3698" s="466" t="n"/>
      <c r="C3698" s="1385" t="n"/>
      <c r="D3698" s="1377" t="n"/>
      <c r="E3698" s="466" t="n"/>
      <c r="F3698" s="1385" t="n"/>
      <c r="G3698" s="1377" t="n"/>
      <c r="H3698" s="869" t="n"/>
      <c r="I3698" s="1385" t="n"/>
      <c r="J3698" s="1377" t="n"/>
      <c r="K3698" s="869" t="n"/>
      <c r="L3698" s="1385" t="n"/>
      <c r="M3698" s="1377" t="n"/>
      <c r="N3698" s="869" t="n"/>
      <c r="O3698" s="1385" t="n"/>
      <c r="P3698" s="1377" t="n"/>
    </row>
    <row r="3699" ht="15.75" customHeight="1" s="2">
      <c r="A3699" s="462" t="inlineStr">
        <is>
          <t>wage costed</t>
        </is>
      </c>
      <c r="B3699" s="466" t="n"/>
      <c r="C3699" s="1386">
        <f>C3698*C3697</f>
        <v/>
      </c>
      <c r="D3699" s="1378">
        <f>D3698*D3697</f>
        <v/>
      </c>
      <c r="E3699" s="466" t="n"/>
      <c r="F3699" s="1386">
        <f>F3698*F3697</f>
        <v/>
      </c>
      <c r="G3699" s="1378">
        <f>G3698*G3697</f>
        <v/>
      </c>
      <c r="H3699" s="870" t="n"/>
      <c r="I3699" s="1386">
        <f>I3698*I3697</f>
        <v/>
      </c>
      <c r="J3699" s="1378">
        <f>J3698*J3697</f>
        <v/>
      </c>
      <c r="K3699" s="870" t="n"/>
      <c r="L3699" s="1386">
        <f>L3698*L3697</f>
        <v/>
      </c>
      <c r="M3699" s="1378">
        <f>M3698*M3697</f>
        <v/>
      </c>
      <c r="N3699" s="870" t="n"/>
      <c r="O3699" s="1386">
        <f>O3698*O3697</f>
        <v/>
      </c>
      <c r="P3699" s="1378">
        <f>P3698*P3697</f>
        <v/>
      </c>
    </row>
    <row r="3700" ht="15.75" customHeight="1" s="2" thickBot="1">
      <c r="A3700" s="474" t="inlineStr">
        <is>
          <t>Number of hours used to cover sick leave</t>
        </is>
      </c>
      <c r="B3700" s="476" t="n"/>
      <c r="C3700" s="1387" t="n"/>
      <c r="D3700" s="1379" t="n"/>
      <c r="E3700" s="476" t="n"/>
      <c r="F3700" s="1387" t="n"/>
      <c r="G3700" s="1379" t="n"/>
      <c r="H3700" s="813" t="n"/>
      <c r="I3700" s="1387" t="n"/>
      <c r="J3700" s="1379" t="n"/>
      <c r="K3700" s="1229" t="n"/>
      <c r="L3700" s="1387" t="n"/>
      <c r="M3700" s="1379" t="n"/>
      <c r="N3700" s="813" t="n"/>
      <c r="O3700" s="1387" t="n"/>
      <c r="P3700" s="1379" t="n"/>
    </row>
    <row r="3701" ht="15.75" customHeight="1" s="2" thickBot="1">
      <c r="A3701" s="477" t="inlineStr">
        <is>
          <t xml:space="preserve">Minimum Hours </t>
        </is>
      </c>
      <c r="B3701" s="935" t="n"/>
      <c r="C3701" s="1388" t="inlineStr">
        <is>
          <t>Projected</t>
        </is>
      </c>
      <c r="D3701" s="1391" t="inlineStr">
        <is>
          <t>Min Hrs</t>
        </is>
      </c>
      <c r="E3701" s="935" t="n"/>
      <c r="F3701" s="1388" t="inlineStr">
        <is>
          <t>Projected</t>
        </is>
      </c>
      <c r="G3701" s="1391" t="inlineStr">
        <is>
          <t>Min Hrs</t>
        </is>
      </c>
      <c r="H3701" s="935" t="n"/>
      <c r="I3701" s="1388" t="inlineStr">
        <is>
          <t>Projected</t>
        </is>
      </c>
      <c r="J3701" s="1391" t="inlineStr">
        <is>
          <t>Min Hrs</t>
        </is>
      </c>
      <c r="K3701" s="935" t="n"/>
      <c r="L3701" s="1388" t="inlineStr">
        <is>
          <t>Projected</t>
        </is>
      </c>
      <c r="M3701" s="1391" t="inlineStr">
        <is>
          <t>Min Hrs</t>
        </is>
      </c>
      <c r="N3701" s="935" t="n"/>
      <c r="O3701" s="1388" t="inlineStr">
        <is>
          <t>Projected</t>
        </is>
      </c>
      <c r="P3701" s="1391" t="inlineStr">
        <is>
          <t>Min Hrs</t>
        </is>
      </c>
    </row>
    <row r="3702" ht="15.75" customHeight="1" s="2">
      <c r="A3702" s="479" t="inlineStr">
        <is>
          <t>Floor</t>
        </is>
      </c>
      <c r="B3702" s="810" t="n"/>
      <c r="C3702" s="1389" t="n"/>
      <c r="D3702" s="1392" t="n"/>
      <c r="E3702" s="810" t="n"/>
      <c r="F3702" s="1389" t="n"/>
      <c r="G3702" s="1392" t="n"/>
      <c r="H3702" s="810" t="n"/>
      <c r="I3702" s="1389" t="n"/>
      <c r="J3702" s="1392" t="n"/>
      <c r="K3702" s="810" t="n"/>
      <c r="L3702" s="1389" t="n"/>
      <c r="M3702" s="1392" t="n"/>
      <c r="N3702" s="810" t="n"/>
      <c r="O3702" s="1389" t="n"/>
      <c r="P3702" s="1392" t="n"/>
    </row>
    <row r="3703" ht="15.75" customHeight="1" s="2" thickBot="1">
      <c r="A3703" s="481" t="inlineStr">
        <is>
          <t>Kitchen</t>
        </is>
      </c>
      <c r="B3703" s="813" t="n"/>
      <c r="C3703" s="1387" t="n"/>
      <c r="D3703" s="1393" t="n"/>
      <c r="E3703" s="813" t="n"/>
      <c r="F3703" s="1390" t="n"/>
      <c r="G3703" s="1393" t="n"/>
      <c r="H3703" s="813" t="n"/>
      <c r="I3703" s="1390" t="n"/>
      <c r="J3703" s="1393" t="n"/>
      <c r="K3703" s="813" t="n"/>
      <c r="L3703" s="1390" t="n"/>
      <c r="M3703" s="1393" t="n"/>
      <c r="N3703" s="813" t="n"/>
      <c r="O3703" s="1387" t="n"/>
      <c r="P3703" s="1393" t="n"/>
    </row>
    <row r="3704" ht="15.75" customHeight="1" s="2" thickBot="1">
      <c r="A3704" s="834" t="n"/>
      <c r="B3704" s="836" t="n"/>
      <c r="C3704" s="1220" t="n"/>
      <c r="D3704" s="1220" t="n"/>
      <c r="E3704" s="839" t="n"/>
      <c r="F3704" s="1220" t="n"/>
      <c r="G3704" s="1220" t="n"/>
      <c r="H3704" s="839" t="n"/>
      <c r="I3704" s="1220" t="n"/>
      <c r="J3704" s="1220" t="n"/>
      <c r="K3704" s="839" t="n"/>
      <c r="L3704" s="1220" t="n"/>
      <c r="M3704" s="1220" t="n"/>
      <c r="N3704" s="839" t="n"/>
      <c r="O3704" s="835" t="n"/>
      <c r="P3704" s="835" t="n"/>
    </row>
    <row r="3705" ht="15.75" customHeight="1" s="2">
      <c r="A3705" s="506" t="inlineStr">
        <is>
          <t>Training explanation</t>
        </is>
      </c>
      <c r="B3705" s="837" t="n"/>
      <c r="C3705" s="1220" t="n"/>
      <c r="D3705" s="1220" t="n"/>
      <c r="E3705" s="837" t="n"/>
      <c r="F3705" s="1220" t="n"/>
      <c r="G3705" s="1220" t="n"/>
      <c r="H3705" s="837" t="n"/>
      <c r="I3705" s="1220" t="n"/>
      <c r="J3705" s="1220" t="n"/>
      <c r="K3705" s="837" t="n"/>
      <c r="L3705" s="1220" t="n"/>
      <c r="M3705" s="1220" t="n"/>
      <c r="N3705" s="837" t="n"/>
      <c r="O3705" s="835" t="n"/>
      <c r="P3705" s="835" t="n"/>
    </row>
    <row r="3706" ht="15.75" customHeight="1" s="2" thickBot="1">
      <c r="A3706" s="506" t="inlineStr">
        <is>
          <t>Who is being Trained</t>
        </is>
      </c>
      <c r="B3706" s="838" t="n"/>
      <c r="C3706" s="1221" t="n"/>
      <c r="D3706" s="1221" t="n"/>
      <c r="E3706" s="838" t="n"/>
      <c r="F3706" s="1221" t="n"/>
      <c r="G3706" s="1221" t="n"/>
      <c r="H3706" s="838" t="n"/>
      <c r="I3706" s="1221" t="n"/>
      <c r="J3706" s="1221" t="n"/>
      <c r="K3706" s="838" t="n"/>
      <c r="L3706" s="1221" t="n"/>
      <c r="M3706" s="1221" t="n"/>
      <c r="N3706" s="838" t="n"/>
    </row>
    <row r="3707" ht="15.75" customHeight="1" s="2" thickBot="1">
      <c r="A3707" s="506" t="n"/>
      <c r="C3707" s="523" t="inlineStr">
        <is>
          <t>floor</t>
        </is>
      </c>
      <c r="D3707" s="524" t="inlineStr">
        <is>
          <t>kitchen</t>
        </is>
      </c>
      <c r="E3707" s="509" t="n"/>
      <c r="F3707" s="507" t="inlineStr">
        <is>
          <t>floor</t>
        </is>
      </c>
      <c r="G3707" s="508" t="inlineStr">
        <is>
          <t>kitchen</t>
        </is>
      </c>
      <c r="H3707" s="510" t="n"/>
      <c r="I3707" s="535" t="inlineStr">
        <is>
          <t>floor</t>
        </is>
      </c>
      <c r="J3707" s="511" t="inlineStr">
        <is>
          <t>kitchen</t>
        </is>
      </c>
      <c r="K3707" s="512" t="n"/>
      <c r="L3707" s="535" t="inlineStr">
        <is>
          <t>floor</t>
        </is>
      </c>
      <c r="M3707" s="513" t="inlineStr">
        <is>
          <t>kitchen</t>
        </is>
      </c>
      <c r="N3707" s="512" t="n"/>
      <c r="O3707" s="535" t="inlineStr">
        <is>
          <t>floor</t>
        </is>
      </c>
      <c r="P3707" s="513" t="inlineStr">
        <is>
          <t>kitchen</t>
        </is>
      </c>
    </row>
    <row r="3708" ht="15.75" customHeight="1" s="2">
      <c r="A3708" s="506" t="n"/>
      <c r="C3708" s="525" t="n"/>
      <c r="D3708" s="527" t="n"/>
      <c r="E3708" s="514" t="n"/>
      <c r="F3708" s="525" t="n"/>
      <c r="G3708" s="527" t="n"/>
      <c r="H3708" s="515" t="n"/>
      <c r="I3708" s="531" t="n"/>
      <c r="J3708" s="824" t="n"/>
      <c r="K3708" s="515" t="n"/>
      <c r="L3708" s="536" t="n"/>
      <c r="M3708" s="532" t="n"/>
      <c r="N3708" s="515" t="n"/>
      <c r="O3708" s="536" t="n"/>
      <c r="P3708" s="532" t="n"/>
    </row>
    <row r="3709" ht="15.75" customHeight="1" s="2">
      <c r="C3709" s="891" t="n"/>
      <c r="D3709" s="526" t="n"/>
      <c r="E3709" s="514" t="n"/>
      <c r="F3709" s="891" t="n"/>
      <c r="G3709" s="526" t="n"/>
      <c r="H3709" s="516" t="n"/>
      <c r="I3709" s="1656" t="n"/>
      <c r="J3709" s="530" t="n"/>
      <c r="K3709" s="516" t="n"/>
      <c r="L3709" s="542" t="n"/>
      <c r="M3709" s="530" t="n"/>
      <c r="N3709" s="516" t="n"/>
      <c r="O3709" s="542" t="n"/>
      <c r="P3709" s="530" t="n"/>
    </row>
    <row r="3710" ht="15.75" customHeight="1" s="2">
      <c r="C3710" s="550" t="n"/>
      <c r="D3710" s="527" t="n"/>
      <c r="E3710" s="514" t="n"/>
      <c r="F3710" s="531" t="n"/>
      <c r="G3710" s="530" t="n"/>
      <c r="H3710" s="516" t="n"/>
      <c r="I3710" s="537" t="n"/>
      <c r="J3710" s="530" t="n"/>
      <c r="K3710" s="516" t="n"/>
      <c r="L3710" s="1657" t="n"/>
      <c r="M3710" s="539" t="n"/>
      <c r="N3710" s="516" t="n"/>
      <c r="O3710" s="542" t="n"/>
      <c r="P3710" s="539" t="n"/>
    </row>
    <row r="3711" ht="15.75" customHeight="1" s="2">
      <c r="C3711" s="561" t="n"/>
      <c r="D3711" s="561" t="n"/>
      <c r="E3711" s="519" t="n"/>
      <c r="F3711" s="517" t="n"/>
      <c r="G3711" s="1659" t="n"/>
      <c r="H3711" s="516" t="n"/>
      <c r="I3711" s="537" t="n"/>
      <c r="J3711" s="530" t="n"/>
      <c r="K3711" s="516" t="n"/>
      <c r="L3711" s="537" t="n"/>
      <c r="M3711" s="539" t="n"/>
      <c r="N3711" s="516" t="n"/>
      <c r="O3711" s="537" t="n"/>
      <c r="P3711" s="539" t="n"/>
    </row>
    <row r="3712" ht="15.75" customHeight="1" s="2">
      <c r="C3712" s="551" t="n"/>
      <c r="D3712" s="528" t="n"/>
      <c r="E3712" s="519" t="n"/>
      <c r="F3712" s="517" t="n"/>
      <c r="G3712" s="518" t="n"/>
      <c r="H3712" s="516" t="n"/>
      <c r="I3712" s="537" t="n"/>
      <c r="J3712" s="533" t="n"/>
      <c r="K3712" s="516" t="n"/>
      <c r="L3712" s="537" t="n"/>
      <c r="M3712" s="540" t="n"/>
      <c r="N3712" s="516" t="n"/>
      <c r="O3712" s="537" t="n"/>
      <c r="P3712" s="540" t="n"/>
    </row>
    <row r="3713" ht="15.75" customHeight="1" s="2">
      <c r="C3713" s="550" t="n"/>
      <c r="D3713" s="527" t="n"/>
      <c r="E3713" s="514" t="n"/>
      <c r="F3713" s="531" t="n"/>
      <c r="G3713" s="530" t="n"/>
      <c r="H3713" s="516" t="n"/>
      <c r="I3713" s="537" t="n"/>
      <c r="J3713" s="530" t="n"/>
      <c r="K3713" s="516" t="n"/>
      <c r="L3713" s="1657" t="n"/>
      <c r="M3713" s="539" t="n"/>
      <c r="N3713" s="516" t="n"/>
      <c r="O3713" s="542" t="n"/>
      <c r="P3713" s="539" t="n"/>
    </row>
    <row r="3714" ht="15.75" customHeight="1" s="2">
      <c r="C3714" s="561" t="n"/>
      <c r="D3714" s="561" t="n"/>
      <c r="E3714" s="519" t="n"/>
      <c r="F3714" s="517" t="n"/>
      <c r="G3714" s="1659" t="n"/>
      <c r="H3714" s="516" t="n"/>
      <c r="I3714" s="537" t="n"/>
      <c r="J3714" s="530" t="n"/>
      <c r="K3714" s="516" t="n"/>
      <c r="L3714" s="537" t="n"/>
      <c r="M3714" s="539" t="n"/>
      <c r="N3714" s="516" t="n"/>
      <c r="O3714" s="537" t="n"/>
      <c r="P3714" s="539" t="n"/>
    </row>
    <row r="3715" ht="15.75" customHeight="1" s="2">
      <c r="C3715" s="551" t="n"/>
      <c r="D3715" s="528" t="n"/>
      <c r="E3715" s="519" t="n"/>
      <c r="F3715" s="517" t="n"/>
      <c r="G3715" s="518" t="n"/>
      <c r="H3715" s="516" t="n"/>
      <c r="I3715" s="537" t="n"/>
      <c r="J3715" s="533" t="n"/>
      <c r="K3715" s="516" t="n"/>
      <c r="L3715" s="537" t="n"/>
      <c r="M3715" s="540" t="n"/>
      <c r="N3715" s="516" t="n"/>
      <c r="O3715" s="537" t="n"/>
      <c r="P3715" s="540" t="n"/>
    </row>
  </sheetData>
  <mergeCells count="230">
    <mergeCell ref="H2622:J2622"/>
    <mergeCell ref="H1910:J1910"/>
    <mergeCell ref="N2169:P2169"/>
    <mergeCell ref="E1634:G1634"/>
    <mergeCell ref="K2433:M2433"/>
    <mergeCell ref="E1910:G1910"/>
    <mergeCell ref="N1580:P1580"/>
    <mergeCell ref="H1605:J1605"/>
    <mergeCell ref="B1530:D1530"/>
    <mergeCell ref="K1883:M1883"/>
    <mergeCell ref="E1689:G1689"/>
    <mergeCell ref="B1992:D1992"/>
    <mergeCell ref="K1662:M1662"/>
    <mergeCell ref="K2566:M2566"/>
    <mergeCell ref="B1964:D1964"/>
    <mergeCell ref="E2329:G2329"/>
    <mergeCell ref="K2109:M2109"/>
    <mergeCell ref="K1634:M1634"/>
    <mergeCell ref="E2381:G2381"/>
    <mergeCell ref="K1530:M1530"/>
    <mergeCell ref="N1964:P1964"/>
    <mergeCell ref="H1662:J1662"/>
    <mergeCell ref="E1478:G1478"/>
    <mergeCell ref="H2109:J2109"/>
    <mergeCell ref="K2459:M2459"/>
    <mergeCell ref="N2019:P2019"/>
    <mergeCell ref="N2303:P2303"/>
    <mergeCell ref="H2708:J2708"/>
    <mergeCell ref="K2080:M2080"/>
    <mergeCell ref="B1689:D1689"/>
    <mergeCell ref="K1555:M1555"/>
    <mergeCell ref="K2381:M2381"/>
    <mergeCell ref="K2679:M2679"/>
    <mergeCell ref="B2407:D2407"/>
    <mergeCell ref="H1801:J1801"/>
    <mergeCell ref="N2485:P2485"/>
    <mergeCell ref="E2407:G2407"/>
    <mergeCell ref="N2594:P2594"/>
    <mergeCell ref="H1937:J1937"/>
    <mergeCell ref="K2169:M2169"/>
    <mergeCell ref="E1774:G1774"/>
    <mergeCell ref="N1689:P1689"/>
    <mergeCell ref="H2537:J2537"/>
    <mergeCell ref="N2708:P2708"/>
    <mergeCell ref="E2277:G2277"/>
    <mergeCell ref="B2225:D2225"/>
    <mergeCell ref="H1689:J1689"/>
    <mergeCell ref="K2355:M2355"/>
    <mergeCell ref="E2355:G2355"/>
    <mergeCell ref="N2225:P2225"/>
    <mergeCell ref="K2225:M2225"/>
    <mergeCell ref="N1937:P1937"/>
    <mergeCell ref="H2355:J2355"/>
    <mergeCell ref="B2433:D2433"/>
    <mergeCell ref="H1634:J1634"/>
    <mergeCell ref="K2485:M2485"/>
    <mergeCell ref="N2197:P2197"/>
    <mergeCell ref="B2054:D2054"/>
    <mergeCell ref="B1883:D1883"/>
    <mergeCell ref="N1883:P1883"/>
    <mergeCell ref="B2566:D2566"/>
    <mergeCell ref="E2738:G2738"/>
    <mergeCell ref="B2277:D2277"/>
    <mergeCell ref="K2407:M2407"/>
    <mergeCell ref="B1662:D1662"/>
    <mergeCell ref="B2109:D2109"/>
    <mergeCell ref="E1992:G1992"/>
    <mergeCell ref="N2566:P2566"/>
    <mergeCell ref="E1964:G1964"/>
    <mergeCell ref="H2329:J2329"/>
    <mergeCell ref="E2433:G2433"/>
    <mergeCell ref="B2459:D2459"/>
    <mergeCell ref="B1580:D1580"/>
    <mergeCell ref="H1478:J1478"/>
    <mergeCell ref="N2459:P2459"/>
    <mergeCell ref="N2277:P2277"/>
    <mergeCell ref="E1662:G1662"/>
    <mergeCell ref="B2381:D2381"/>
    <mergeCell ref="B2679:D2679"/>
    <mergeCell ref="N2080:P2080"/>
    <mergeCell ref="H2594:J2594"/>
    <mergeCell ref="N2381:P2381"/>
    <mergeCell ref="E2594:G2594"/>
    <mergeCell ref="K2329:M2329"/>
    <mergeCell ref="B2169:D2169"/>
    <mergeCell ref="H2511:J2511"/>
    <mergeCell ref="E2459:G2459"/>
    <mergeCell ref="H2225:J2225"/>
    <mergeCell ref="K1937:M1937"/>
    <mergeCell ref="K1910:M1910"/>
    <mergeCell ref="B1717:D1717"/>
    <mergeCell ref="B2019:D2019"/>
    <mergeCell ref="N1992:P1992"/>
    <mergeCell ref="E2225:G2225"/>
    <mergeCell ref="N1717:P1717"/>
    <mergeCell ref="E1530:G1530"/>
    <mergeCell ref="E1828:G1828"/>
    <mergeCell ref="B2485:D2485"/>
    <mergeCell ref="E2197:G2197"/>
    <mergeCell ref="B2139:D2139"/>
    <mergeCell ref="H1717:J1717"/>
    <mergeCell ref="H2277:J2277"/>
    <mergeCell ref="E2054:G2054"/>
    <mergeCell ref="B2708:D2708"/>
    <mergeCell ref="K1746:M1746"/>
    <mergeCell ref="K2277:M2277"/>
    <mergeCell ref="E2650:G2650"/>
    <mergeCell ref="B2303:D2303"/>
    <mergeCell ref="H2738:J2738"/>
    <mergeCell ref="E2566:G2566"/>
    <mergeCell ref="N2407:P2407"/>
    <mergeCell ref="E2109:G2109"/>
    <mergeCell ref="B1937:D1937"/>
    <mergeCell ref="H1964:J1964"/>
    <mergeCell ref="H2197:J2197"/>
    <mergeCell ref="E2139:G2139"/>
    <mergeCell ref="E1555:G1555"/>
    <mergeCell ref="B2594:D2594"/>
    <mergeCell ref="H1883:J1883"/>
    <mergeCell ref="H2303:J2303"/>
    <mergeCell ref="H2019:J2019"/>
    <mergeCell ref="N2738:P2738"/>
    <mergeCell ref="E2251:G2251"/>
    <mergeCell ref="E2080:G2080"/>
    <mergeCell ref="B2329:D2329"/>
    <mergeCell ref="N2433:P2433"/>
    <mergeCell ref="K1964:M1964"/>
    <mergeCell ref="K1504:M1504"/>
    <mergeCell ref="K2511:M2511"/>
    <mergeCell ref="H2459:J2459"/>
    <mergeCell ref="E2622:G2622"/>
    <mergeCell ref="N1662:P1662"/>
    <mergeCell ref="E1717:G1717"/>
    <mergeCell ref="N2109:P2109"/>
    <mergeCell ref="E2019:G2019"/>
    <mergeCell ref="K1855:M1855"/>
    <mergeCell ref="E1801:G1801"/>
    <mergeCell ref="E1605:G1605"/>
    <mergeCell ref="K2594:M2594"/>
    <mergeCell ref="K1717:M1717"/>
    <mergeCell ref="H2054:J2054"/>
    <mergeCell ref="N1746:P1746"/>
    <mergeCell ref="K1605:M1605"/>
    <mergeCell ref="B2355:D2355"/>
    <mergeCell ref="H1504:J1504"/>
    <mergeCell ref="K2738:M2738"/>
    <mergeCell ref="H1746:J1746"/>
    <mergeCell ref="H2566:J2566"/>
    <mergeCell ref="K2708:M2708"/>
    <mergeCell ref="N2622:P2622"/>
    <mergeCell ref="B1828:D1828"/>
    <mergeCell ref="K2197:M2197"/>
    <mergeCell ref="H2139:J2139"/>
    <mergeCell ref="H2485:J2485"/>
    <mergeCell ref="K2537:M2537"/>
    <mergeCell ref="B2511:D2511"/>
    <mergeCell ref="H2251:J2251"/>
    <mergeCell ref="K2650:M2650"/>
    <mergeCell ref="H2080:J2080"/>
    <mergeCell ref="B1555:D1555"/>
    <mergeCell ref="K1689:M1689"/>
    <mergeCell ref="B1504:D1504"/>
    <mergeCell ref="N2139:P2139"/>
    <mergeCell ref="H2650:J2650"/>
    <mergeCell ref="N1555:P1555"/>
    <mergeCell ref="N2679:P2679"/>
    <mergeCell ref="H2407:J2407"/>
    <mergeCell ref="H1992:J1992"/>
    <mergeCell ref="B1855:D1855"/>
    <mergeCell ref="H1774:J1774"/>
    <mergeCell ref="B2251:D2251"/>
    <mergeCell ref="N1855:P1855"/>
    <mergeCell ref="N2355:P2355"/>
    <mergeCell ref="K1828:M1828"/>
    <mergeCell ref="B1801:D1801"/>
    <mergeCell ref="E2169:G2169"/>
    <mergeCell ref="K2622:M2622"/>
    <mergeCell ref="K2054:M2054"/>
    <mergeCell ref="E1746:G1746"/>
    <mergeCell ref="E1855:G1855"/>
    <mergeCell ref="B1605:D1605"/>
    <mergeCell ref="K1774:M1774"/>
    <mergeCell ref="B2738:D2738"/>
    <mergeCell ref="E1580:G1580"/>
    <mergeCell ref="N2537:P2537"/>
    <mergeCell ref="N1801:P1801"/>
    <mergeCell ref="N1605:P1605"/>
    <mergeCell ref="B2197:D2197"/>
    <mergeCell ref="B1634:D1634"/>
    <mergeCell ref="B1478:D1478"/>
    <mergeCell ref="K2139:M2139"/>
    <mergeCell ref="B1910:D1910"/>
    <mergeCell ref="H2433:J2433"/>
    <mergeCell ref="K1580:M1580"/>
    <mergeCell ref="B2650:D2650"/>
    <mergeCell ref="N1634:P1634"/>
    <mergeCell ref="E2511:G2511"/>
    <mergeCell ref="B1746:D1746"/>
    <mergeCell ref="N1910:P1910"/>
    <mergeCell ref="N2650:P2650"/>
    <mergeCell ref="K1801:M1801"/>
    <mergeCell ref="E1504:G1504"/>
    <mergeCell ref="E2679:G2679"/>
    <mergeCell ref="H1530:J1530"/>
    <mergeCell ref="H1828:J1828"/>
    <mergeCell ref="N2329:P2329"/>
    <mergeCell ref="E2485:G2485"/>
    <mergeCell ref="K1992:M1992"/>
    <mergeCell ref="H1580:J1580"/>
    <mergeCell ref="K2019:M2019"/>
    <mergeCell ref="E2708:G2708"/>
    <mergeCell ref="H1555:J1555"/>
    <mergeCell ref="H2381:J2381"/>
    <mergeCell ref="H2679:J2679"/>
    <mergeCell ref="K1478:M1478"/>
    <mergeCell ref="N1828:P1828"/>
    <mergeCell ref="B2622:D2622"/>
    <mergeCell ref="E1937:G1937"/>
    <mergeCell ref="H2169:J2169"/>
    <mergeCell ref="B1774:D1774"/>
    <mergeCell ref="N2511:P2511"/>
    <mergeCell ref="E2537:G2537"/>
    <mergeCell ref="N2054:P2054"/>
    <mergeCell ref="H1855:J1855"/>
    <mergeCell ref="N1774:P1774"/>
    <mergeCell ref="K2303:M2303"/>
    <mergeCell ref="E1883:G1883"/>
    <mergeCell ref="B2537:D2537"/>
    <mergeCell ref="E2303:G2303"/>
    <mergeCell ref="B2080:D2080"/>
  </mergeCells>
  <pageMargins left="0.75" right="0.75" top="1" bottom="1" header="0.3" footer="0.3"/>
  <pageSetup orientation="landscape" scale="10"/>
  <headerFooter>
    <oddHeader/>
    <oddFooter>&amp;C&amp;"Helvetica,Regular"&amp;12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8"/>
  <sheetViews>
    <sheetView zoomScale="90" zoomScaleNormal="90" workbookViewId="0">
      <selection activeCell="H12" sqref="H12"/>
    </sheetView>
  </sheetViews>
  <sheetFormatPr baseColWidth="8" defaultRowHeight="12.75"/>
  <cols>
    <col width="20.85546875" customWidth="1" style="2" min="1" max="1"/>
    <col width="6.28515625" customWidth="1" style="2" min="2" max="2"/>
    <col width="9.5703125" customWidth="1" style="2" min="3" max="3"/>
    <col width="9.140625" customWidth="1" style="2" min="16" max="26"/>
  </cols>
  <sheetData>
    <row r="1" ht="13.5" customHeight="1" s="2" thickBot="1">
      <c r="A1" t="inlineStr">
        <is>
          <t>Transfer OUT to DSQ</t>
        </is>
      </c>
    </row>
    <row r="2" ht="13.5" customHeight="1" s="2" thickBot="1">
      <c r="A2" s="577" t="inlineStr">
        <is>
          <t>EMPLOYEE</t>
        </is>
      </c>
      <c r="B2" s="578" t="n"/>
      <c r="C2" s="579" t="inlineStr">
        <is>
          <t>RATE</t>
        </is>
      </c>
      <c r="D2" s="580" t="n">
        <v>1</v>
      </c>
      <c r="E2" s="581" t="inlineStr">
        <is>
          <t>$</t>
        </is>
      </c>
      <c r="F2" s="582" t="n">
        <v>1.25</v>
      </c>
      <c r="G2" s="581" t="inlineStr">
        <is>
          <t>$</t>
        </is>
      </c>
      <c r="H2" s="582" t="n">
        <v>1.5</v>
      </c>
      <c r="I2" s="581" t="inlineStr">
        <is>
          <t>$</t>
        </is>
      </c>
      <c r="J2" s="583" t="n">
        <v>1.5</v>
      </c>
      <c r="K2" s="581" t="inlineStr">
        <is>
          <t>$</t>
        </is>
      </c>
      <c r="L2" s="583" t="n">
        <v>1.75</v>
      </c>
      <c r="M2" s="581" t="inlineStr">
        <is>
          <t>$</t>
        </is>
      </c>
      <c r="N2" s="583" t="n">
        <v>2</v>
      </c>
      <c r="O2" s="581" t="inlineStr">
        <is>
          <t>$</t>
        </is>
      </c>
      <c r="P2" s="718" t="inlineStr">
        <is>
          <t>2.25</t>
        </is>
      </c>
      <c r="Q2" s="718" t="n"/>
      <c r="R2" s="718" t="inlineStr">
        <is>
          <t>2.5</t>
        </is>
      </c>
      <c r="S2" s="718" t="n"/>
      <c r="T2" s="718" t="inlineStr">
        <is>
          <t>split</t>
        </is>
      </c>
      <c r="U2" s="718" t="inlineStr">
        <is>
          <t>sup</t>
        </is>
      </c>
      <c r="V2" s="718" t="inlineStr">
        <is>
          <t>laundry</t>
        </is>
      </c>
      <c r="W2" s="585" t="n"/>
      <c r="X2" s="718" t="inlineStr">
        <is>
          <t>2.95</t>
        </is>
      </c>
      <c r="Y2" s="581" t="n"/>
      <c r="Z2" s="581" t="inlineStr">
        <is>
          <t>4.42</t>
        </is>
      </c>
      <c r="AA2" s="581" t="inlineStr">
        <is>
          <t>TOTAL</t>
        </is>
      </c>
      <c r="AB2" s="586" t="inlineStr">
        <is>
          <t xml:space="preserve">TOTAL </t>
        </is>
      </c>
    </row>
    <row r="3">
      <c r="A3" s="131" t="n"/>
      <c r="B3" s="587" t="n"/>
      <c r="C3" s="1506" t="n"/>
      <c r="D3" s="137" t="n"/>
      <c r="E3" s="120" t="n"/>
      <c r="F3" s="1708" t="inlineStr">
        <is>
          <t>SAT</t>
        </is>
      </c>
      <c r="G3" s="119" t="n"/>
      <c r="H3" s="122" t="inlineStr">
        <is>
          <t xml:space="preserve">SUN </t>
        </is>
      </c>
      <c r="I3" s="1709" t="n"/>
      <c r="J3" s="124" t="inlineStr">
        <is>
          <t>O/T</t>
        </is>
      </c>
      <c r="K3" s="1710" t="n"/>
      <c r="L3" s="120" t="inlineStr">
        <is>
          <t>O/T</t>
        </is>
      </c>
      <c r="M3" s="1710" t="n"/>
      <c r="N3" s="127" t="inlineStr">
        <is>
          <t>O/T</t>
        </is>
      </c>
      <c r="O3" s="1710" t="n"/>
      <c r="P3" s="1711" t="inlineStr">
        <is>
          <t>ph</t>
        </is>
      </c>
      <c r="Q3" s="1711" t="n"/>
      <c r="R3" s="1711" t="inlineStr">
        <is>
          <t>ph casual</t>
        </is>
      </c>
      <c r="S3" s="1711" t="n"/>
      <c r="T3" s="1711" t="n"/>
      <c r="U3" s="1711" t="n"/>
      <c r="V3" s="1711" t="n"/>
      <c r="W3" s="1712" t="inlineStr">
        <is>
          <t>Penalty</t>
        </is>
      </c>
      <c r="X3" s="1711" t="inlineStr">
        <is>
          <t>$</t>
        </is>
      </c>
      <c r="Y3" s="1710" t="n"/>
      <c r="Z3" s="1710" t="inlineStr">
        <is>
          <t>$</t>
        </is>
      </c>
      <c r="AA3" s="127" t="n"/>
      <c r="AB3" s="1713" t="n"/>
    </row>
    <row r="4" customFormat="1" s="90">
      <c r="A4" s="1362" t="inlineStr">
        <is>
          <t>MALLA, Kajal</t>
        </is>
      </c>
      <c r="B4" s="588" t="n"/>
      <c r="C4" s="1714" t="n">
        <v>25.85</v>
      </c>
      <c r="D4" s="128" t="n"/>
      <c r="E4" s="1715">
        <f>C4*D4</f>
        <v/>
      </c>
      <c r="F4" s="116" t="n"/>
      <c r="G4" s="1715">
        <f>C4*1.25*F4</f>
        <v/>
      </c>
      <c r="H4" s="116" t="n"/>
      <c r="I4" s="1715">
        <f>C4*1.5*H4</f>
        <v/>
      </c>
      <c r="J4" s="116" t="n"/>
      <c r="K4" s="1715">
        <f>C4*1.5*J4</f>
        <v/>
      </c>
      <c r="L4" s="116" t="n"/>
      <c r="M4" s="1715">
        <f>C4*1.75*L4</f>
        <v/>
      </c>
      <c r="N4" s="116" t="n"/>
      <c r="O4" s="1715">
        <f>C4*2*N4</f>
        <v/>
      </c>
      <c r="P4" s="1716" t="n"/>
      <c r="Q4" s="1717">
        <f>C4*2.25*P4</f>
        <v/>
      </c>
      <c r="R4" s="1717" t="n"/>
      <c r="S4" s="1717">
        <f>C4*2.5*R4</f>
        <v/>
      </c>
      <c r="T4" s="1717" t="n"/>
      <c r="U4" s="1717" t="n"/>
      <c r="V4" s="1717" t="n"/>
      <c r="W4" s="721" t="n"/>
      <c r="X4" s="1717">
        <f>W4*X2</f>
        <v/>
      </c>
      <c r="Y4" s="722" t="n"/>
      <c r="Z4" s="1715">
        <f>Z2*Y4</f>
        <v/>
      </c>
      <c r="AA4" s="116">
        <f>D4+F4+H4+J4+L4+N4+R4+P4</f>
        <v/>
      </c>
      <c r="AB4" s="1718">
        <f>E4+G4+I4+K4+M4+O4+Z4+X4+V4+T4+Q4+S4+U4</f>
        <v/>
      </c>
    </row>
    <row r="5" customFormat="1" s="90">
      <c r="A5" s="940" t="inlineStr">
        <is>
          <t>TIRTHO, Rafid Mahmud</t>
        </is>
      </c>
      <c r="B5" s="588" t="n"/>
      <c r="C5" s="1714" t="n">
        <v>26.7</v>
      </c>
      <c r="D5" s="128" t="n"/>
      <c r="E5" s="1715">
        <f>C5*D5</f>
        <v/>
      </c>
      <c r="F5" s="116" t="n"/>
      <c r="G5" s="1715">
        <f>F5*C5*F2</f>
        <v/>
      </c>
      <c r="H5" s="116" t="n"/>
      <c r="I5" s="1715">
        <f>C5*1.5*H5</f>
        <v/>
      </c>
      <c r="J5" s="116" t="n"/>
      <c r="K5" s="1715">
        <f>C5*1.5*J5</f>
        <v/>
      </c>
      <c r="L5" s="116" t="n"/>
      <c r="M5" s="1715">
        <f>C5*1.75*L5</f>
        <v/>
      </c>
      <c r="N5" s="116" t="n"/>
      <c r="O5" s="1715">
        <f>C5*2*N5</f>
        <v/>
      </c>
      <c r="P5" s="1716" t="n"/>
      <c r="Q5" s="1717">
        <f>C5*2.25*P5</f>
        <v/>
      </c>
      <c r="R5" s="1717" t="n"/>
      <c r="S5" s="1717">
        <f>C5*2.5*R5</f>
        <v/>
      </c>
      <c r="T5" s="1717" t="n"/>
      <c r="U5" s="1717" t="n"/>
      <c r="V5" s="1717" t="n"/>
      <c r="W5" s="721" t="n"/>
      <c r="X5" s="1717">
        <f>W5*X2</f>
        <v/>
      </c>
      <c r="Y5" s="722" t="n"/>
      <c r="Z5" s="1715">
        <f>Z2*Y5</f>
        <v/>
      </c>
      <c r="AA5" s="116">
        <f>D5+F5+H5+J5+L5+N5+R5+P5</f>
        <v/>
      </c>
      <c r="AB5" s="1718">
        <f>E5+G5+I5+K5+M5+O5+Z5+X5+V5+T5+Q5+S5+U5</f>
        <v/>
      </c>
    </row>
    <row r="6">
      <c r="A6" s="132" t="inlineStr">
        <is>
          <t>BANIYA ,Bijusha</t>
        </is>
      </c>
      <c r="B6" s="1317" t="inlineStr">
        <is>
          <t>CAS</t>
        </is>
      </c>
      <c r="C6" s="1719" t="n">
        <v>28.12</v>
      </c>
      <c r="D6" s="128" t="n"/>
      <c r="E6" s="1715">
        <f>C6*D6</f>
        <v/>
      </c>
      <c r="F6" s="116" t="n"/>
      <c r="G6" s="1715">
        <f>C6*1.25*F6</f>
        <v/>
      </c>
      <c r="H6" s="116" t="n"/>
      <c r="I6" s="1715">
        <f>C6*1.5*H6</f>
        <v/>
      </c>
      <c r="J6" s="116" t="n"/>
      <c r="K6" s="1715">
        <f>C6*1.5*J6</f>
        <v/>
      </c>
      <c r="L6" s="116" t="n"/>
      <c r="M6" s="1715">
        <f>C6*1.75*L6</f>
        <v/>
      </c>
      <c r="N6" s="116" t="n"/>
      <c r="O6" s="1715">
        <f>C6*2*N6</f>
        <v/>
      </c>
      <c r="P6" s="1716" t="n"/>
      <c r="Q6" s="1717">
        <f>C6*2.25*P6</f>
        <v/>
      </c>
      <c r="R6" s="1717" t="n"/>
      <c r="S6" s="1717">
        <f>C6*2.5*R6</f>
        <v/>
      </c>
      <c r="T6" s="1717" t="n"/>
      <c r="U6" s="1717" t="n"/>
      <c r="V6" s="1717" t="n"/>
      <c r="W6" s="721" t="n"/>
      <c r="X6" s="1717">
        <f>W6*X2</f>
        <v/>
      </c>
      <c r="Y6" s="722" t="n"/>
      <c r="Z6" s="1715">
        <f>Z4*Y6</f>
        <v/>
      </c>
      <c r="AA6" s="116">
        <f>D6+F6+H6+J6+L6+N6+R6+P6</f>
        <v/>
      </c>
      <c r="AB6" s="1718">
        <f>E6+G6+I6+K6+M6+O6+Z6+X6+V6+T6+Q6+S6+U6</f>
        <v/>
      </c>
    </row>
    <row r="7">
      <c r="A7" s="132" t="inlineStr">
        <is>
          <t>GAUCHAN, Bibek</t>
        </is>
      </c>
      <c r="B7" s="1317" t="inlineStr">
        <is>
          <t>SAL</t>
        </is>
      </c>
      <c r="C7" s="1719" t="n">
        <v>37.45</v>
      </c>
      <c r="D7" s="128" t="n"/>
      <c r="E7" s="1715">
        <f>C7*D7</f>
        <v/>
      </c>
      <c r="F7" s="116" t="n"/>
      <c r="G7" s="1715">
        <f>C7*1.25*F7</f>
        <v/>
      </c>
      <c r="H7" s="116" t="n"/>
      <c r="I7" s="1715">
        <f>C7*1.5*H7</f>
        <v/>
      </c>
      <c r="J7" s="116" t="n"/>
      <c r="K7" s="1715">
        <f>C7*1.5*J7</f>
        <v/>
      </c>
      <c r="L7" s="116" t="n"/>
      <c r="M7" s="1715">
        <f>C7*1.75*L7</f>
        <v/>
      </c>
      <c r="N7" s="116" t="n"/>
      <c r="O7" s="1715">
        <f>C7*2*N7</f>
        <v/>
      </c>
      <c r="P7" s="1716" t="n"/>
      <c r="Q7" s="1717">
        <f>C7*2.25*P7</f>
        <v/>
      </c>
      <c r="R7" s="1717" t="n"/>
      <c r="S7" s="1717">
        <f>C7*2.5*R7</f>
        <v/>
      </c>
      <c r="T7" s="1717" t="n"/>
      <c r="U7" s="1717" t="n"/>
      <c r="V7" s="1717" t="n"/>
      <c r="W7" s="721" t="n"/>
      <c r="X7" s="1717">
        <f>W7*X5</f>
        <v/>
      </c>
      <c r="Y7" s="722" t="n"/>
      <c r="Z7" s="1715">
        <f>Z5*Y7</f>
        <v/>
      </c>
      <c r="AA7" s="116">
        <f>D7+F7+H7+J7+L7+N7+R7+P7</f>
        <v/>
      </c>
      <c r="AB7" s="1718">
        <f>E7+G7+I7+K7+M7+O7+Z7+X7+V7+T7+Q7+S7+U7</f>
        <v/>
      </c>
    </row>
    <row r="8">
      <c r="A8" s="132" t="inlineStr">
        <is>
          <t>KHATRI, Sanjay</t>
        </is>
      </c>
      <c r="B8" s="1317" t="inlineStr">
        <is>
          <t>SAL</t>
        </is>
      </c>
      <c r="C8" s="1719" t="n">
        <v>37.45</v>
      </c>
      <c r="D8" s="128" t="n"/>
      <c r="E8" s="1715">
        <f>C8*D8</f>
        <v/>
      </c>
      <c r="F8" s="116" t="n"/>
      <c r="G8" s="1715">
        <f>C8*1.25*F8</f>
        <v/>
      </c>
      <c r="H8" s="116" t="n"/>
      <c r="I8" s="1715">
        <f>C8*1.5*H8</f>
        <v/>
      </c>
      <c r="J8" s="116" t="n"/>
      <c r="K8" s="1715">
        <f>C8*1.5*J8</f>
        <v/>
      </c>
      <c r="L8" s="116" t="n"/>
      <c r="M8" s="1715">
        <f>C8*1.75*L8</f>
        <v/>
      </c>
      <c r="N8" s="116" t="n"/>
      <c r="O8" s="1715">
        <f>C8*2*N8</f>
        <v/>
      </c>
      <c r="P8" s="1716" t="n"/>
      <c r="Q8" s="1717">
        <f>C8*2.25*P8</f>
        <v/>
      </c>
      <c r="R8" s="1717" t="n"/>
      <c r="S8" s="1717">
        <f>C8*2.5*R8</f>
        <v/>
      </c>
      <c r="T8" s="1717" t="n"/>
      <c r="U8" s="1717" t="n"/>
      <c r="V8" s="1717" t="n"/>
      <c r="W8" s="721" t="n"/>
      <c r="X8" s="1717">
        <f>W8*X6</f>
        <v/>
      </c>
      <c r="Y8" s="722" t="n"/>
      <c r="Z8" s="1715">
        <f>Z6*Y8</f>
        <v/>
      </c>
      <c r="AA8" s="116">
        <f>D8+F8+H8+J8+L8+N8+R8+P8</f>
        <v/>
      </c>
      <c r="AB8" s="1718">
        <f>E8+G8+I8+K8+M8+O8+Z8+X8+V8+T8+Q8+S8+U8</f>
        <v/>
      </c>
    </row>
    <row r="9">
      <c r="A9" s="932" t="inlineStr">
        <is>
          <t>KC Sulav</t>
        </is>
      </c>
      <c r="B9" s="1317" t="inlineStr">
        <is>
          <t>SAL</t>
        </is>
      </c>
      <c r="C9" s="1719" t="n">
        <v>37.45</v>
      </c>
      <c r="D9" s="128" t="n"/>
      <c r="E9" s="1715">
        <f>C9*D9</f>
        <v/>
      </c>
      <c r="F9" s="116" t="n"/>
      <c r="G9" s="1715">
        <f>C9*1.25*F9</f>
        <v/>
      </c>
      <c r="H9" s="116" t="n"/>
      <c r="I9" s="1715">
        <f>C9*1.5*H9</f>
        <v/>
      </c>
      <c r="J9" s="116" t="n"/>
      <c r="K9" s="1715">
        <f>C9*1.5*J9</f>
        <v/>
      </c>
      <c r="L9" s="116" t="n"/>
      <c r="M9" s="1715">
        <f>C9*1.75*L9</f>
        <v/>
      </c>
      <c r="N9" s="116" t="n"/>
      <c r="O9" s="1715">
        <f>C9*2*N9</f>
        <v/>
      </c>
      <c r="P9" s="1716" t="n"/>
      <c r="Q9" s="1717">
        <f>C9*2.25*P9</f>
        <v/>
      </c>
      <c r="R9" s="1717" t="n"/>
      <c r="S9" s="1717">
        <f>C9*2.5*R9</f>
        <v/>
      </c>
      <c r="T9" s="1717" t="n"/>
      <c r="U9" s="1717" t="n"/>
      <c r="V9" s="1717" t="n"/>
      <c r="W9" s="721" t="n"/>
      <c r="X9" s="1717">
        <f>W9*X6</f>
        <v/>
      </c>
      <c r="Y9" s="722" t="n"/>
      <c r="Z9" s="1715">
        <f>Z6*Y9</f>
        <v/>
      </c>
      <c r="AA9" s="116">
        <f>D9+F9+H9+J9+L9+N9+R9+P9</f>
        <v/>
      </c>
      <c r="AB9" s="1718">
        <f>E9+G9+I9+K9+M9+O9+Z9+X9+V9+T9+Q9+S9+U9</f>
        <v/>
      </c>
    </row>
    <row r="10">
      <c r="A10" s="132" t="inlineStr">
        <is>
          <t>SHIWAKOTI, Rojal</t>
        </is>
      </c>
      <c r="B10" s="1317" t="inlineStr">
        <is>
          <t>SUP</t>
        </is>
      </c>
      <c r="C10" s="1719" t="n">
        <v>28.5</v>
      </c>
      <c r="D10" s="128" t="n"/>
      <c r="E10" s="1715">
        <f>C10*D10</f>
        <v/>
      </c>
      <c r="F10" s="116" t="n"/>
      <c r="G10" s="1715">
        <f>C10*1.25*F10</f>
        <v/>
      </c>
      <c r="H10" s="116" t="n"/>
      <c r="I10" s="1715">
        <f>C10*1.5*H10</f>
        <v/>
      </c>
      <c r="J10" s="116" t="n"/>
      <c r="K10" s="1715">
        <f>C10*1.5*J10</f>
        <v/>
      </c>
      <c r="L10" s="116" t="n"/>
      <c r="M10" s="1715">
        <f>C10*1.75*L10</f>
        <v/>
      </c>
      <c r="N10" s="116" t="n"/>
      <c r="O10" s="1715">
        <f>C10*2*N10</f>
        <v/>
      </c>
      <c r="P10" s="1716" t="n"/>
      <c r="Q10" s="1717">
        <f>C10*2.25*P10</f>
        <v/>
      </c>
      <c r="R10" s="1717" t="n"/>
      <c r="S10" s="1717">
        <f>C10*2.5*R10</f>
        <v/>
      </c>
      <c r="T10" s="1717" t="n"/>
      <c r="U10" s="1717" t="n"/>
      <c r="V10" s="1717" t="n"/>
      <c r="W10" s="721" t="n"/>
      <c r="X10" s="1717">
        <f>W10*X7</f>
        <v/>
      </c>
      <c r="Y10" s="722" t="n"/>
      <c r="Z10" s="1715">
        <f>Z7*Y10</f>
        <v/>
      </c>
      <c r="AA10" s="116">
        <f>D10+F10+H10+J10+L10+N10+R10+P10</f>
        <v/>
      </c>
      <c r="AB10" s="1718">
        <f>E10+G10+I10+K10+M10+O10+Z10+X10+V10+T10+Q10+S10+U10</f>
        <v/>
      </c>
    </row>
    <row r="11">
      <c r="A11" s="132" t="inlineStr">
        <is>
          <t>FAN, Yong (Richard)</t>
        </is>
      </c>
      <c r="B11" s="1317" t="inlineStr">
        <is>
          <t>CAS</t>
        </is>
      </c>
      <c r="C11" s="1719" t="n">
        <v>29.45</v>
      </c>
      <c r="D11" s="128" t="n"/>
      <c r="E11" s="1715">
        <f>C11*D11</f>
        <v/>
      </c>
      <c r="F11" s="116" t="n"/>
      <c r="G11" s="1715">
        <f>C11*1.25*F11</f>
        <v/>
      </c>
      <c r="H11" s="116" t="n">
        <v>3.5</v>
      </c>
      <c r="I11" s="1715">
        <f>C11*1.5*H11</f>
        <v/>
      </c>
      <c r="J11" s="116" t="n"/>
      <c r="K11" s="1715">
        <f>C11*1.5*J11</f>
        <v/>
      </c>
      <c r="L11" s="116" t="n"/>
      <c r="M11" s="1715">
        <f>C11*1.75*L11</f>
        <v/>
      </c>
      <c r="N11" s="116" t="n"/>
      <c r="O11" s="1715">
        <f>C11*2*N11</f>
        <v/>
      </c>
      <c r="P11" s="1716" t="n"/>
      <c r="Q11" s="1717">
        <f>C11*2.25*P11</f>
        <v/>
      </c>
      <c r="R11" s="1717" t="n"/>
      <c r="S11" s="1717">
        <f>C11*2.5*R11</f>
        <v/>
      </c>
      <c r="T11" s="1717" t="n"/>
      <c r="U11" s="1717" t="n"/>
      <c r="V11" s="1717" t="n"/>
      <c r="W11" s="721" t="n"/>
      <c r="X11" s="1717">
        <f>W11*X9</f>
        <v/>
      </c>
      <c r="Y11" s="722" t="n"/>
      <c r="Z11" s="1715">
        <f>Z9*Y11</f>
        <v/>
      </c>
      <c r="AA11" s="116">
        <f>D11+F11+H11+J11+L11+N11+R11+P11</f>
        <v/>
      </c>
      <c r="AB11" s="1718">
        <f>E11+G11+I11+K11+M11+O11+Z11+X11+V11+T11+Q11+S11+U11</f>
        <v/>
      </c>
    </row>
    <row r="12">
      <c r="C12" s="90" t="n"/>
      <c r="P12" s="1720" t="n"/>
      <c r="AA12" s="454">
        <f>SUM(AA4:AA11)</f>
        <v/>
      </c>
      <c r="AB12" s="1721">
        <f>SUM(AB4:AB11)</f>
        <v/>
      </c>
    </row>
    <row r="13" ht="13.5" customHeight="1" s="2" thickBot="1">
      <c r="A13" t="inlineStr">
        <is>
          <t>transfer OUT to BH</t>
        </is>
      </c>
      <c r="C13" s="90" t="n"/>
      <c r="P13" s="1720" t="n"/>
    </row>
    <row r="14" ht="13.5" customHeight="1" s="2" thickBot="1">
      <c r="A14" s="577" t="inlineStr">
        <is>
          <t>EMPLOYEE</t>
        </is>
      </c>
      <c r="B14" s="578" t="n"/>
      <c r="C14" s="579" t="inlineStr">
        <is>
          <t>RATE</t>
        </is>
      </c>
      <c r="D14" s="580" t="n">
        <v>1</v>
      </c>
      <c r="E14" s="581" t="inlineStr">
        <is>
          <t>$</t>
        </is>
      </c>
      <c r="F14" s="582" t="n">
        <v>1.25</v>
      </c>
      <c r="G14" s="581" t="inlineStr">
        <is>
          <t>$</t>
        </is>
      </c>
      <c r="H14" s="582" t="n">
        <v>1.5</v>
      </c>
      <c r="I14" s="581" t="inlineStr">
        <is>
          <t>$</t>
        </is>
      </c>
      <c r="J14" s="583" t="n">
        <v>1.5</v>
      </c>
      <c r="K14" s="581" t="inlineStr">
        <is>
          <t>$</t>
        </is>
      </c>
      <c r="L14" s="583" t="n">
        <v>1.75</v>
      </c>
      <c r="M14" s="581" t="inlineStr">
        <is>
          <t>$</t>
        </is>
      </c>
      <c r="N14" s="583" t="n">
        <v>2</v>
      </c>
      <c r="O14" s="581" t="inlineStr">
        <is>
          <t>$</t>
        </is>
      </c>
      <c r="P14" s="718" t="inlineStr">
        <is>
          <t>2.25</t>
        </is>
      </c>
      <c r="Q14" s="718" t="n"/>
      <c r="R14" s="718" t="inlineStr">
        <is>
          <t>2.5</t>
        </is>
      </c>
      <c r="S14" s="718" t="n"/>
      <c r="T14" s="718" t="inlineStr">
        <is>
          <t>split</t>
        </is>
      </c>
      <c r="U14" s="718" t="inlineStr">
        <is>
          <t>sup</t>
        </is>
      </c>
      <c r="V14" s="718" t="inlineStr">
        <is>
          <t>laundry</t>
        </is>
      </c>
      <c r="W14" s="585" t="inlineStr">
        <is>
          <t>10-12am</t>
        </is>
      </c>
      <c r="X14" s="718" t="inlineStr">
        <is>
          <t>2.81</t>
        </is>
      </c>
      <c r="Y14" s="581" t="n"/>
      <c r="Z14" s="581" t="inlineStr">
        <is>
          <t>4.22</t>
        </is>
      </c>
      <c r="AA14" s="581" t="inlineStr">
        <is>
          <t>TOTAL</t>
        </is>
      </c>
      <c r="AB14" s="586" t="inlineStr">
        <is>
          <t xml:space="preserve">TOTAL </t>
        </is>
      </c>
    </row>
    <row r="15">
      <c r="A15" s="131" t="n"/>
      <c r="B15" s="587" t="n"/>
      <c r="C15" s="1506" t="n"/>
      <c r="D15" s="137" t="n"/>
      <c r="E15" s="120" t="n"/>
      <c r="F15" s="1708" t="inlineStr">
        <is>
          <t>SAT</t>
        </is>
      </c>
      <c r="G15" s="119" t="n"/>
      <c r="H15" s="122" t="inlineStr">
        <is>
          <t xml:space="preserve">SUN </t>
        </is>
      </c>
      <c r="I15" s="1709" t="n"/>
      <c r="J15" s="124" t="inlineStr">
        <is>
          <t>O/T</t>
        </is>
      </c>
      <c r="K15" s="1710" t="n"/>
      <c r="L15" s="120" t="inlineStr">
        <is>
          <t>O/T</t>
        </is>
      </c>
      <c r="M15" s="1710" t="n"/>
      <c r="N15" s="127" t="inlineStr">
        <is>
          <t>O/T</t>
        </is>
      </c>
      <c r="O15" s="1710" t="n"/>
      <c r="P15" s="1711" t="n"/>
      <c r="Q15" s="1711" t="n"/>
      <c r="R15" s="1711" t="n"/>
      <c r="S15" s="1711" t="n"/>
      <c r="T15" s="1711" t="n"/>
      <c r="U15" s="1711" t="n"/>
      <c r="V15" s="1711" t="n"/>
      <c r="W15" s="1712" t="n"/>
      <c r="X15" s="1711" t="n"/>
      <c r="Y15" s="1710" t="n"/>
      <c r="Z15" s="1710" t="n"/>
      <c r="AA15" s="127" t="n"/>
      <c r="AB15" s="1713" t="n"/>
    </row>
    <row r="16" customFormat="1" s="90">
      <c r="A16" s="132" t="inlineStr">
        <is>
          <t>KC, Sulav</t>
        </is>
      </c>
      <c r="B16" s="588" t="inlineStr">
        <is>
          <t>SAL</t>
        </is>
      </c>
      <c r="C16" s="1520" t="n">
        <v>37.45</v>
      </c>
      <c r="D16" s="138" t="n"/>
      <c r="E16" s="1715">
        <f>C16*D16</f>
        <v/>
      </c>
      <c r="F16" s="1722" t="n"/>
      <c r="G16" s="1715">
        <f>E16*F16</f>
        <v/>
      </c>
      <c r="H16" s="114" t="n"/>
      <c r="I16" s="1715">
        <f>C16*1.5*H16</f>
        <v/>
      </c>
      <c r="J16" s="113" t="n"/>
      <c r="K16" s="1715">
        <f>E16*1.5*J16</f>
        <v/>
      </c>
      <c r="L16" s="114" t="n"/>
      <c r="M16" s="1715">
        <f>C16*1.75*L16</f>
        <v/>
      </c>
      <c r="N16" s="116" t="n"/>
      <c r="O16" s="1715">
        <f>E16*1.75*N16</f>
        <v/>
      </c>
      <c r="P16" s="1723" t="n"/>
      <c r="Q16" s="1717">
        <f>E16*2.25*P16</f>
        <v/>
      </c>
      <c r="R16" s="1717" t="n"/>
      <c r="S16" s="1717">
        <f>C16*2.5*R16</f>
        <v/>
      </c>
      <c r="T16" s="1717" t="n"/>
      <c r="U16" s="1717" t="n"/>
      <c r="V16" s="1717" t="n"/>
      <c r="W16" s="1724" t="n"/>
      <c r="X16" s="1717">
        <f>W16*X14</f>
        <v/>
      </c>
      <c r="Y16" s="1715" t="n"/>
      <c r="Z16" s="1715">
        <f>Y16*Z14</f>
        <v/>
      </c>
      <c r="AA16" s="116">
        <f>D16+P16+R16+F16+H16+J16+L16+N16</f>
        <v/>
      </c>
      <c r="AB16" s="1718">
        <f>E16+G16+I16+K16+M16+O16+Z16+X16+V16+Q16+S16+T16+U16</f>
        <v/>
      </c>
    </row>
    <row r="17" customFormat="1" s="90">
      <c r="A17" s="1125" t="inlineStr">
        <is>
          <t>Khanal, Nischal</t>
        </is>
      </c>
      <c r="B17" s="588" t="n"/>
      <c r="C17" s="1520" t="n">
        <v>28.12</v>
      </c>
      <c r="D17" s="138" t="n"/>
      <c r="E17" s="1715">
        <f>C17*D17</f>
        <v/>
      </c>
      <c r="F17" s="1722" t="n"/>
      <c r="G17" s="1715">
        <f>E17*F17</f>
        <v/>
      </c>
      <c r="H17" s="114" t="n"/>
      <c r="I17" s="1715">
        <f>C17*1.5*H17</f>
        <v/>
      </c>
      <c r="J17" s="113" t="n"/>
      <c r="K17" s="1715">
        <f>E17*1.5*J17</f>
        <v/>
      </c>
      <c r="L17" s="114" t="n"/>
      <c r="M17" s="1715">
        <f>C17*1.75*L17</f>
        <v/>
      </c>
      <c r="N17" s="116" t="n"/>
      <c r="O17" s="1715">
        <f>E17*1.75*N17</f>
        <v/>
      </c>
      <c r="P17" s="1723" t="n"/>
      <c r="Q17" s="1717">
        <f>E17*2.25*P17</f>
        <v/>
      </c>
      <c r="R17" s="1717" t="n"/>
      <c r="S17" s="1717">
        <f>C17*2.5*R17</f>
        <v/>
      </c>
      <c r="T17" s="1717" t="n"/>
      <c r="U17" s="1717" t="n"/>
      <c r="V17" s="1717" t="n"/>
      <c r="W17" s="1724" t="n"/>
      <c r="X17" s="1717">
        <f>W17*X15</f>
        <v/>
      </c>
      <c r="Y17" s="1715" t="n"/>
      <c r="Z17" s="1715">
        <f>Y17*Z15</f>
        <v/>
      </c>
      <c r="AA17" s="116">
        <f>D17+P17+R17+F17+H17+J17+L17+N17</f>
        <v/>
      </c>
      <c r="AB17" s="1718">
        <f>E17+G17+I17+K17+M17+O17+Z17+X17+V17+Q17+S17+T17+U17</f>
        <v/>
      </c>
    </row>
    <row r="18" customFormat="1" s="90">
      <c r="A18" s="1125" t="inlineStr">
        <is>
          <t>SHIWAKOTI,  Rojal</t>
        </is>
      </c>
      <c r="B18" s="588" t="n"/>
      <c r="C18" s="1520" t="n">
        <v>28.5</v>
      </c>
      <c r="D18" s="128" t="n"/>
      <c r="E18" s="1715">
        <f>C18*D18</f>
        <v/>
      </c>
      <c r="F18" s="116" t="n"/>
      <c r="G18" s="1715">
        <f>C18*1.25*F18</f>
        <v/>
      </c>
      <c r="H18" s="116" t="n"/>
      <c r="I18" s="1715">
        <f>C18*1.5*H18</f>
        <v/>
      </c>
      <c r="J18" s="116" t="n"/>
      <c r="K18" s="1715">
        <f>C18*1.5*J18</f>
        <v/>
      </c>
      <c r="L18" s="116" t="n"/>
      <c r="M18" s="1715">
        <f>C18*1.75*L18</f>
        <v/>
      </c>
      <c r="N18" s="116" t="n"/>
      <c r="O18" s="1715">
        <f>C18*2*N18</f>
        <v/>
      </c>
      <c r="P18" s="1723" t="n"/>
      <c r="Q18" s="1717">
        <f>C18*2.25*P18</f>
        <v/>
      </c>
      <c r="R18" s="1717" t="n"/>
      <c r="S18" s="1717">
        <f>C18*2.5*R18</f>
        <v/>
      </c>
      <c r="T18" s="1717" t="n"/>
      <c r="U18" s="1717" t="n"/>
      <c r="V18" s="1717" t="n"/>
      <c r="W18" s="1724" t="n"/>
      <c r="X18" s="1717">
        <f>W18*X12</f>
        <v/>
      </c>
      <c r="Y18" s="1715" t="n"/>
      <c r="Z18" s="1715">
        <f>Y18*Z11</f>
        <v/>
      </c>
      <c r="AA18" s="116">
        <f>D18+P18+R18+F18+H18+J18+L18+N18</f>
        <v/>
      </c>
      <c r="AB18" s="1718">
        <f>E18+G18+I18+K18+M18+O18+Z18+X18+V18+Q18+S18+T18+U18</f>
        <v/>
      </c>
    </row>
    <row r="19" customFormat="1" s="90">
      <c r="A19" s="132" t="inlineStr">
        <is>
          <t>MAJOHR, Jolie</t>
        </is>
      </c>
      <c r="B19" s="588" t="n"/>
      <c r="C19" s="1520" t="n">
        <v>25.85</v>
      </c>
      <c r="D19" s="128" t="n"/>
      <c r="E19" s="1715">
        <f>C19*D19</f>
        <v/>
      </c>
      <c r="F19" s="116" t="n"/>
      <c r="G19" s="1715">
        <f>C19*1.25*F19</f>
        <v/>
      </c>
      <c r="H19" s="116" t="n"/>
      <c r="I19" s="1715">
        <f>C19*1.5*H19</f>
        <v/>
      </c>
      <c r="J19" s="116" t="n"/>
      <c r="K19" s="1715">
        <f>C19*1.5*J19</f>
        <v/>
      </c>
      <c r="L19" s="116" t="n"/>
      <c r="M19" s="1715">
        <f>C19*1.75*L19</f>
        <v/>
      </c>
      <c r="N19" s="116" t="n"/>
      <c r="O19" s="1715">
        <f>C19*2*N19</f>
        <v/>
      </c>
      <c r="P19" s="1723" t="n"/>
      <c r="Q19" s="1717">
        <f>C19*2.25*P19</f>
        <v/>
      </c>
      <c r="R19" s="1717" t="n"/>
      <c r="S19" s="1717">
        <f>C19*2.5*R19</f>
        <v/>
      </c>
      <c r="T19" s="1717" t="n"/>
      <c r="U19" s="1717" t="n"/>
      <c r="V19" s="1717" t="n"/>
      <c r="W19" s="1724" t="n"/>
      <c r="X19" s="1717">
        <f>W19*X12</f>
        <v/>
      </c>
      <c r="Y19" s="1715" t="n"/>
      <c r="Z19" s="1715">
        <f>Y19*Z11</f>
        <v/>
      </c>
      <c r="AA19" s="116">
        <f>D19+P19+R19+F19+H19+J19+L19+N19</f>
        <v/>
      </c>
      <c r="AB19" s="1718">
        <f>E19+G19+I19+K19+M19+O19+Z19+X19+V19+Q19+S19+T19+U19</f>
        <v/>
      </c>
    </row>
    <row r="20" customFormat="1" s="90">
      <c r="A20" s="1125" t="inlineStr">
        <is>
          <t>RAHMAN, Mahinur</t>
        </is>
      </c>
      <c r="B20" s="588" t="n"/>
      <c r="C20" s="1520" t="n">
        <v>25.85</v>
      </c>
      <c r="D20" s="128" t="n"/>
      <c r="E20" s="1715">
        <f>C20*D20</f>
        <v/>
      </c>
      <c r="F20" s="116" t="n"/>
      <c r="G20" s="1715">
        <f>C20*1.25*F20</f>
        <v/>
      </c>
      <c r="H20" s="116" t="n"/>
      <c r="I20" s="1715">
        <f>C20*1.5*H20</f>
        <v/>
      </c>
      <c r="J20" s="116" t="n"/>
      <c r="K20" s="1715">
        <f>C20*1.5*J20</f>
        <v/>
      </c>
      <c r="L20" s="116" t="n"/>
      <c r="M20" s="1715">
        <f>C20*1.75*L20</f>
        <v/>
      </c>
      <c r="N20" s="116" t="n"/>
      <c r="O20" s="1715">
        <f>C20*2*N20</f>
        <v/>
      </c>
      <c r="P20" s="1723" t="n"/>
      <c r="Q20" s="1717">
        <f>C20*2.25*P20</f>
        <v/>
      </c>
      <c r="R20" s="1717" t="n"/>
      <c r="S20" s="1717">
        <f>C20*2.5*R20</f>
        <v/>
      </c>
      <c r="T20" s="1717" t="n"/>
      <c r="U20" s="1717" t="n"/>
      <c r="V20" s="1717" t="n"/>
      <c r="W20" s="1724" t="n"/>
      <c r="X20" s="1717">
        <f>W20*X13</f>
        <v/>
      </c>
      <c r="Y20" s="1715" t="n"/>
      <c r="Z20" s="1715">
        <f>Y20*Z12</f>
        <v/>
      </c>
      <c r="AA20" s="116">
        <f>D20+P20+R20+F20+H20+J20+L20+N20</f>
        <v/>
      </c>
      <c r="AB20" s="1718">
        <f>E20+G20+I20+K20+M20+O20+Z20+X20+V20+Q20+S20+T20+U20</f>
        <v/>
      </c>
    </row>
    <row r="21" customFormat="1" s="90">
      <c r="A21" s="132" t="inlineStr">
        <is>
          <t>DISSANAYAKE, Dissanayake Mudiyanselage Hansali Nimsadi</t>
        </is>
      </c>
      <c r="B21" s="588" t="inlineStr">
        <is>
          <t>CAS</t>
        </is>
      </c>
      <c r="C21" s="1520" t="n">
        <v>25.85</v>
      </c>
      <c r="D21" s="128" t="n"/>
      <c r="E21" s="1715">
        <f>C21*D21</f>
        <v/>
      </c>
      <c r="F21" s="116" t="n"/>
      <c r="G21" s="1715">
        <f>C21*1.25*F21</f>
        <v/>
      </c>
      <c r="H21" s="116" t="n"/>
      <c r="I21" s="1715">
        <f>C21*1.5*H21</f>
        <v/>
      </c>
      <c r="J21" s="116" t="n"/>
      <c r="K21" s="1715">
        <f>C21*1.5*J21</f>
        <v/>
      </c>
      <c r="L21" s="116" t="n"/>
      <c r="M21" s="1715">
        <f>C21*1.75*L21</f>
        <v/>
      </c>
      <c r="N21" s="116" t="n"/>
      <c r="O21" s="1715">
        <f>C21*2*N21</f>
        <v/>
      </c>
      <c r="P21" s="1723" t="n"/>
      <c r="Q21" s="1717">
        <f>C21*2.25*P21</f>
        <v/>
      </c>
      <c r="R21" s="1717" t="n"/>
      <c r="S21" s="1717">
        <f>C21*2.5*R21</f>
        <v/>
      </c>
      <c r="T21" s="1717" t="n"/>
      <c r="U21" s="1717" t="n"/>
      <c r="V21" s="1717" t="n"/>
      <c r="W21" s="1724" t="n"/>
      <c r="X21" s="1717">
        <f>W21*X14</f>
        <v/>
      </c>
      <c r="Y21" s="1715" t="n"/>
      <c r="Z21" s="1715">
        <f>Y21*Z13</f>
        <v/>
      </c>
      <c r="AA21" s="116">
        <f>D21+P21+R21+F21+H21+J21+L21+N21</f>
        <v/>
      </c>
      <c r="AB21" s="1718">
        <f>E21+G21+I21+K21+M21+O21+Z21+X21+V21+Q21+S21+T21+U21</f>
        <v/>
      </c>
    </row>
    <row r="22" customFormat="1" s="90">
      <c r="A22" s="1125" t="n"/>
      <c r="B22" s="588" t="n"/>
      <c r="C22" s="1520" t="n">
        <v>26.7</v>
      </c>
      <c r="D22" s="128" t="n"/>
      <c r="E22" s="1715">
        <f>C22*D22</f>
        <v/>
      </c>
      <c r="F22" s="116" t="n"/>
      <c r="G22" s="1715">
        <f>C22*1.25*F22</f>
        <v/>
      </c>
      <c r="H22" s="116" t="n"/>
      <c r="I22" s="1715">
        <f>C22*1.5*H22</f>
        <v/>
      </c>
      <c r="J22" s="116" t="n"/>
      <c r="K22" s="1715">
        <f>C22*1.5*J22</f>
        <v/>
      </c>
      <c r="L22" s="116" t="n"/>
      <c r="M22" s="1715">
        <f>C22*1.75*L22</f>
        <v/>
      </c>
      <c r="N22" s="116" t="n"/>
      <c r="O22" s="1715">
        <f>C22*2*N22</f>
        <v/>
      </c>
      <c r="P22" s="1723" t="n"/>
      <c r="Q22" s="1717">
        <f>C22*2.25*P22</f>
        <v/>
      </c>
      <c r="R22" s="1717" t="n"/>
      <c r="S22" s="1717">
        <f>C22*2.5*R22</f>
        <v/>
      </c>
      <c r="T22" s="1717" t="n"/>
      <c r="U22" s="1717" t="n"/>
      <c r="V22" s="1717" t="n"/>
      <c r="W22" s="1724" t="n"/>
      <c r="X22" s="1717">
        <f>W22*X15</f>
        <v/>
      </c>
      <c r="Y22" s="1715" t="n"/>
      <c r="Z22" s="1715">
        <f>Y22*Z14</f>
        <v/>
      </c>
      <c r="AA22" s="116">
        <f>D22+P22+R22+F22+H22+J22+L22+N22</f>
        <v/>
      </c>
      <c r="AB22" s="1718">
        <f>E22+G22+I22+K22+M22+O22+Z22+X22+V22+Q22+S22+T22+U22</f>
        <v/>
      </c>
    </row>
    <row r="23" ht="17.25" customHeight="1" s="2">
      <c r="C23" s="90" t="n"/>
      <c r="V23" s="1717" t="n"/>
      <c r="AA23" s="454">
        <f>SUM(AA16:AA22)</f>
        <v/>
      </c>
      <c r="AB23" s="1721">
        <f>SUM(AB16:AB22)</f>
        <v/>
      </c>
    </row>
    <row r="24" ht="13.5" customHeight="1" s="2" thickBot="1">
      <c r="A24" t="inlineStr">
        <is>
          <t>Transfer OUT to Northmead</t>
        </is>
      </c>
      <c r="C24" s="90" t="n"/>
      <c r="V24" s="1717" t="n"/>
      <c r="AA24" s="454" t="n"/>
      <c r="AB24" s="1721" t="n"/>
    </row>
    <row r="25" ht="13.5" customHeight="1" s="2" thickBot="1">
      <c r="A25" s="577" t="inlineStr">
        <is>
          <t>EMPLOYEE</t>
        </is>
      </c>
      <c r="B25" s="578" t="n"/>
      <c r="C25" s="579" t="inlineStr">
        <is>
          <t>RATE</t>
        </is>
      </c>
      <c r="D25" s="580" t="n">
        <v>1</v>
      </c>
      <c r="E25" s="581" t="inlineStr">
        <is>
          <t>$</t>
        </is>
      </c>
      <c r="F25" s="582" t="n">
        <v>1.25</v>
      </c>
      <c r="G25" s="581" t="inlineStr">
        <is>
          <t>$</t>
        </is>
      </c>
      <c r="H25" s="582" t="n">
        <v>1.5</v>
      </c>
      <c r="I25" s="581" t="inlineStr">
        <is>
          <t>$</t>
        </is>
      </c>
      <c r="J25" s="583" t="n">
        <v>1.5</v>
      </c>
      <c r="K25" s="581" t="inlineStr">
        <is>
          <t>$</t>
        </is>
      </c>
      <c r="L25" s="583" t="n">
        <v>1.75</v>
      </c>
      <c r="M25" s="581" t="inlineStr">
        <is>
          <t>$</t>
        </is>
      </c>
      <c r="N25" s="583" t="n">
        <v>2</v>
      </c>
      <c r="O25" s="581" t="inlineStr">
        <is>
          <t>$</t>
        </is>
      </c>
      <c r="P25" s="718" t="inlineStr">
        <is>
          <t>2.25</t>
        </is>
      </c>
      <c r="Q25" s="718" t="n"/>
      <c r="R25" s="718" t="inlineStr">
        <is>
          <t>2.5</t>
        </is>
      </c>
      <c r="S25" s="718" t="n"/>
      <c r="T25" s="718" t="inlineStr">
        <is>
          <t>split</t>
        </is>
      </c>
      <c r="U25" s="718" t="inlineStr">
        <is>
          <t>sup</t>
        </is>
      </c>
      <c r="V25" s="718" t="inlineStr">
        <is>
          <t>laundry</t>
        </is>
      </c>
      <c r="W25" s="585" t="n"/>
      <c r="X25" s="718" t="inlineStr">
        <is>
          <t>2.48</t>
        </is>
      </c>
      <c r="Y25" s="581" t="n"/>
      <c r="Z25" s="581" t="inlineStr">
        <is>
          <t>3.71</t>
        </is>
      </c>
      <c r="AA25" s="581" t="inlineStr">
        <is>
          <t>TOTAL</t>
        </is>
      </c>
      <c r="AB25" s="586" t="inlineStr">
        <is>
          <t xml:space="preserve">TOTAL </t>
        </is>
      </c>
    </row>
    <row r="26">
      <c r="A26" s="131" t="n"/>
      <c r="B26" s="587" t="n"/>
      <c r="C26" s="1506" t="n"/>
      <c r="D26" s="137" t="n"/>
      <c r="E26" s="120" t="n"/>
      <c r="F26" s="1708" t="inlineStr">
        <is>
          <t>SAT</t>
        </is>
      </c>
      <c r="G26" s="119" t="n"/>
      <c r="H26" s="122" t="inlineStr">
        <is>
          <t xml:space="preserve">SUN </t>
        </is>
      </c>
      <c r="I26" s="1709" t="n"/>
      <c r="J26" s="124" t="inlineStr">
        <is>
          <t>O/T</t>
        </is>
      </c>
      <c r="K26" s="1710" t="n"/>
      <c r="L26" s="120" t="inlineStr">
        <is>
          <t>O/T</t>
        </is>
      </c>
      <c r="M26" s="1710" t="n"/>
      <c r="N26" s="127" t="inlineStr">
        <is>
          <t>O/T</t>
        </is>
      </c>
      <c r="O26" s="1710" t="n"/>
      <c r="P26" s="1711" t="inlineStr">
        <is>
          <t>ph</t>
        </is>
      </c>
      <c r="Q26" s="1711" t="n"/>
      <c r="R26" s="1711" t="inlineStr">
        <is>
          <t>ph casual</t>
        </is>
      </c>
      <c r="S26" s="1711" t="n"/>
      <c r="T26" s="1711" t="n"/>
      <c r="U26" s="1711" t="n"/>
      <c r="V26" s="1711" t="n"/>
      <c r="W26" s="723" t="n"/>
      <c r="X26" s="1711" t="n"/>
      <c r="Y26" s="724" t="n"/>
      <c r="Z26" s="1710" t="n"/>
      <c r="AA26" s="127" t="n"/>
      <c r="AB26" s="1713" t="n"/>
    </row>
    <row r="27" customFormat="1" s="90">
      <c r="A27" s="132" t="n"/>
      <c r="B27" s="588" t="n"/>
      <c r="C27" s="1714" t="n"/>
      <c r="D27" s="138" t="n"/>
      <c r="E27" s="1715">
        <f>C27*D27</f>
        <v/>
      </c>
      <c r="F27" s="1722" t="n"/>
      <c r="G27" s="1715">
        <f>C27*1.25*F27</f>
        <v/>
      </c>
      <c r="H27" s="114" t="n"/>
      <c r="I27" s="1715">
        <f>C27*1.5*H27</f>
        <v/>
      </c>
      <c r="J27" s="113" t="n"/>
      <c r="K27" s="1715">
        <f>C27*1.5*J27</f>
        <v/>
      </c>
      <c r="L27" s="114" t="n"/>
      <c r="M27" s="1715">
        <f>C27*1.75*L27</f>
        <v/>
      </c>
      <c r="N27" s="116" t="n"/>
      <c r="O27" s="1715">
        <f>C27*2*N27</f>
        <v/>
      </c>
      <c r="P27" s="1716" t="n"/>
      <c r="Q27" s="1717">
        <f>C27*2.25*P27</f>
        <v/>
      </c>
      <c r="R27" s="1717" t="n"/>
      <c r="S27" s="1717">
        <f>C27*2.5*R27</f>
        <v/>
      </c>
      <c r="T27" s="1717" t="n"/>
      <c r="U27" s="1717" t="n"/>
      <c r="V27" s="1717" t="n"/>
      <c r="W27" s="721" t="n"/>
      <c r="X27" s="1717">
        <f>W27*X25</f>
        <v/>
      </c>
      <c r="Y27" s="722" t="n"/>
      <c r="Z27" s="1715">
        <f>Y27*Z25</f>
        <v/>
      </c>
      <c r="AA27" s="116">
        <f>D27+F27+H27+J27+L27+N27</f>
        <v/>
      </c>
      <c r="AB27" s="1718">
        <f>E27+G27+I27+K27+M27+O27+Z27+X27+V27+T27+Q27+S27</f>
        <v/>
      </c>
    </row>
    <row r="28" customFormat="1" s="90">
      <c r="A28" s="132" t="inlineStr">
        <is>
          <t>WAGLE KHATRI, Sabina</t>
        </is>
      </c>
      <c r="B28" s="588" t="n"/>
      <c r="C28" s="1714" t="n">
        <v>26.7</v>
      </c>
      <c r="D28" s="138" t="n"/>
      <c r="E28" s="1715">
        <f>C28*D28</f>
        <v/>
      </c>
      <c r="F28" s="1722" t="n"/>
      <c r="G28" s="1715">
        <f>C28*1.25*F28</f>
        <v/>
      </c>
      <c r="H28" s="114" t="n"/>
      <c r="I28" s="1715">
        <f>C28*1.5*H28</f>
        <v/>
      </c>
      <c r="J28" s="113" t="n"/>
      <c r="K28" s="1715">
        <f>C28*1.5*J28</f>
        <v/>
      </c>
      <c r="L28" s="114" t="n"/>
      <c r="M28" s="1715">
        <f>C28*1.75*L28</f>
        <v/>
      </c>
      <c r="N28" s="116" t="n"/>
      <c r="O28" s="1715">
        <f>C28*2*N28</f>
        <v/>
      </c>
      <c r="P28" s="1716" t="n"/>
      <c r="Q28" s="1717">
        <f>C28*2.25*P28</f>
        <v/>
      </c>
      <c r="R28" s="1717" t="n"/>
      <c r="S28" s="1717">
        <f>C28*2.5*R28</f>
        <v/>
      </c>
      <c r="T28" s="1717" t="n"/>
      <c r="U28" s="1717" t="n"/>
      <c r="V28" s="1717" t="n"/>
      <c r="W28" s="721" t="n"/>
      <c r="X28" s="1717">
        <f>W28*X25</f>
        <v/>
      </c>
      <c r="Y28" s="722" t="n"/>
      <c r="Z28" s="1715">
        <f>Y28*Z25</f>
        <v/>
      </c>
      <c r="AA28" s="116">
        <f>D28+F28+H28+J28+L28+N28+P28</f>
        <v/>
      </c>
      <c r="AB28" s="1718">
        <f>E28+G28+I28+K28+M28+O28+Z28+X28+V28+T28+Q28+S28</f>
        <v/>
      </c>
    </row>
    <row r="29" customFormat="1" s="90">
      <c r="A29" s="132" t="inlineStr">
        <is>
          <t>PARTHO, Razin Mahmud</t>
        </is>
      </c>
      <c r="B29" s="588" t="n"/>
      <c r="C29" s="1714" t="n">
        <v>27.17</v>
      </c>
      <c r="D29" s="138" t="n"/>
      <c r="E29" s="1715">
        <f>C29*D29</f>
        <v/>
      </c>
      <c r="F29" s="1722" t="n"/>
      <c r="G29" s="1715">
        <f>C29*1.25*F29</f>
        <v/>
      </c>
      <c r="H29" s="114" t="n"/>
      <c r="I29" s="1715">
        <f>C29*1.5*H29</f>
        <v/>
      </c>
      <c r="J29" s="113" t="n"/>
      <c r="K29" s="1715">
        <f>C29*1.5*J29</f>
        <v/>
      </c>
      <c r="L29" s="114" t="n"/>
      <c r="M29" s="1715">
        <f>C29*1.75*L29</f>
        <v/>
      </c>
      <c r="N29" s="116" t="n"/>
      <c r="O29" s="1715">
        <f>C29*2*N29</f>
        <v/>
      </c>
      <c r="P29" s="1716" t="n"/>
      <c r="Q29" s="1717">
        <f>C29*2.25*P29</f>
        <v/>
      </c>
      <c r="R29" s="1717" t="n"/>
      <c r="S29" s="1717">
        <f>C29*2.5*R29</f>
        <v/>
      </c>
      <c r="T29" s="1717" t="n"/>
      <c r="U29" s="1717" t="n"/>
      <c r="V29" s="1717" t="n"/>
      <c r="W29" s="721" t="n"/>
      <c r="X29" s="1717">
        <f>W29*X25</f>
        <v/>
      </c>
      <c r="Y29" s="722" t="n"/>
      <c r="Z29" s="1715">
        <f>Y29*Z25</f>
        <v/>
      </c>
      <c r="AA29" s="116">
        <f>D29+F29+H29+J29+L29+N29</f>
        <v/>
      </c>
      <c r="AB29" s="1718">
        <f>E29+G29+I29+K29+M29+O29+Z29+X29+V29+T29+Q29+S29</f>
        <v/>
      </c>
    </row>
    <row r="30" customFormat="1" s="90">
      <c r="A30" s="132" t="inlineStr">
        <is>
          <t>KARTA, Vera</t>
        </is>
      </c>
      <c r="B30" s="588" t="n"/>
      <c r="C30" s="1714" t="n">
        <v>40</v>
      </c>
      <c r="D30" s="138" t="n"/>
      <c r="E30" s="1715">
        <f>C30*D30</f>
        <v/>
      </c>
      <c r="F30" s="1722" t="n"/>
      <c r="G30" s="1715">
        <f>C30*1.25*F30</f>
        <v/>
      </c>
      <c r="H30" s="114" t="n"/>
      <c r="I30" s="1715">
        <f>C30*1.5*H30</f>
        <v/>
      </c>
      <c r="J30" s="113" t="n"/>
      <c r="K30" s="1715">
        <f>C30*1.5*J30</f>
        <v/>
      </c>
      <c r="L30" s="114" t="n"/>
      <c r="M30" s="1715">
        <f>C30*1.75*L30</f>
        <v/>
      </c>
      <c r="N30" s="116" t="n"/>
      <c r="O30" s="1715">
        <f>C30*2*N30</f>
        <v/>
      </c>
      <c r="P30" s="1725" t="n"/>
      <c r="Q30" s="1723">
        <f>C30*2.25*P30</f>
        <v/>
      </c>
      <c r="R30" s="1717" t="n"/>
      <c r="S30" s="1717">
        <f>C30*2.5*R30</f>
        <v/>
      </c>
      <c r="T30" s="1717" t="n"/>
      <c r="U30" s="1717" t="n"/>
      <c r="V30" s="1717" t="n"/>
      <c r="W30" s="721" t="n"/>
      <c r="X30" s="1717">
        <f>W30*X25</f>
        <v/>
      </c>
      <c r="Y30" s="722" t="n"/>
      <c r="Z30" s="1715">
        <f>Y30*Z25</f>
        <v/>
      </c>
      <c r="AA30" s="116">
        <f>D30+F30+H30+J30+L30+N30</f>
        <v/>
      </c>
      <c r="AB30" s="1718">
        <f>E30+G30+I30+K30+M30+O30+Z30+X30+V30+T30+Q30+S30</f>
        <v/>
      </c>
    </row>
    <row r="31" customFormat="1" s="90">
      <c r="A31" s="132" t="inlineStr">
        <is>
          <t>Feige, Oliver</t>
        </is>
      </c>
      <c r="B31" s="588" t="inlineStr">
        <is>
          <t>cas</t>
        </is>
      </c>
      <c r="C31" s="1714" t="n">
        <v>15.51</v>
      </c>
      <c r="D31" s="1326" t="n"/>
      <c r="E31" s="1726">
        <f>C31*D31</f>
        <v/>
      </c>
      <c r="F31" s="1722" t="n"/>
      <c r="G31" s="1715">
        <f>C31*1.25*F31</f>
        <v/>
      </c>
      <c r="H31" s="114" t="n"/>
      <c r="I31" s="1715">
        <f>C31*1.5*H31</f>
        <v/>
      </c>
      <c r="J31" s="116" t="n"/>
      <c r="K31" s="1715">
        <f>C31*1.5*J31</f>
        <v/>
      </c>
      <c r="L31" s="114" t="n"/>
      <c r="M31" s="1715">
        <f>C31*1.75*L31</f>
        <v/>
      </c>
      <c r="N31" s="116" t="n"/>
      <c r="O31" s="1715">
        <f>C31*2*N31</f>
        <v/>
      </c>
      <c r="P31" s="1716" t="n"/>
      <c r="Q31" s="1717">
        <f>C31*2.25*P31</f>
        <v/>
      </c>
      <c r="R31" s="1717" t="n"/>
      <c r="S31" s="1717">
        <f>C31*2.5*R31</f>
        <v/>
      </c>
      <c r="T31" s="1717" t="n"/>
      <c r="U31" s="1717" t="n"/>
      <c r="V31" s="1717" t="n"/>
      <c r="W31" s="721" t="n"/>
      <c r="X31" s="1717">
        <f>W31*X25</f>
        <v/>
      </c>
      <c r="Y31" s="722" t="n"/>
      <c r="Z31" s="1715">
        <f>Y31*Z25</f>
        <v/>
      </c>
      <c r="AA31" s="116">
        <f>D31+F31+H31+J31+L31+N31</f>
        <v/>
      </c>
      <c r="AB31" s="1718">
        <f>E31+G31+I31+K31+M31+O31+Z31+X31+V31+T31+Q31+S31</f>
        <v/>
      </c>
    </row>
    <row r="32" customFormat="1" s="90">
      <c r="A32" s="132" t="n"/>
      <c r="B32" s="588" t="n"/>
      <c r="C32" s="1714" t="n"/>
      <c r="D32" s="138" t="n"/>
      <c r="E32" s="1715" t="n"/>
      <c r="F32" s="1722" t="n"/>
      <c r="G32" s="1715" t="n"/>
      <c r="H32" s="114" t="n"/>
      <c r="I32" s="1715">
        <f>C32*1.5*H32</f>
        <v/>
      </c>
      <c r="J32" s="113" t="n"/>
      <c r="K32" s="1715" t="n"/>
      <c r="L32" s="114" t="n"/>
      <c r="M32" s="1715" t="n"/>
      <c r="N32" s="116" t="n"/>
      <c r="O32" s="1715" t="n"/>
      <c r="P32" s="1716" t="n"/>
      <c r="Q32" s="1717">
        <f>C32*2.25*P32</f>
        <v/>
      </c>
      <c r="R32" s="1717" t="n"/>
      <c r="S32" s="1717" t="n"/>
      <c r="T32" s="1717" t="n"/>
      <c r="U32" s="1717" t="n"/>
      <c r="V32" s="1717" t="n"/>
      <c r="W32" s="721" t="n"/>
      <c r="X32" s="1717">
        <f>W32*X25</f>
        <v/>
      </c>
      <c r="Y32" s="722" t="n"/>
      <c r="Z32" s="1715" t="n"/>
      <c r="AA32" s="116" t="n"/>
      <c r="AB32" s="1718" t="n"/>
    </row>
    <row r="33">
      <c r="C33" s="90" t="n"/>
      <c r="AA33" s="454">
        <f>SUM(AA27:AA31)</f>
        <v/>
      </c>
      <c r="AB33" s="1721">
        <f>SUM(AB27:AB31)</f>
        <v/>
      </c>
    </row>
    <row r="34" ht="13.5" customHeight="1" s="2" thickBot="1">
      <c r="A34" s="1429" t="inlineStr">
        <is>
          <t>Transfer IN from DSQ</t>
        </is>
      </c>
      <c r="B34" s="1429" t="n"/>
      <c r="C34" s="1446" t="n"/>
      <c r="D34" s="1429" t="n"/>
      <c r="E34" s="1429" t="n"/>
      <c r="F34" s="1429" t="n"/>
      <c r="G34" s="1429" t="n"/>
      <c r="H34" s="1429" t="n"/>
      <c r="I34" s="1429" t="n"/>
      <c r="J34" s="1429" t="n"/>
      <c r="K34" s="1429" t="n"/>
      <c r="L34" s="1429" t="n"/>
      <c r="M34" s="1429" t="n"/>
      <c r="N34" s="1429" t="n"/>
      <c r="O34" s="1429" t="n"/>
      <c r="P34" s="1429" t="n"/>
      <c r="Q34" s="1429" t="n"/>
      <c r="R34" s="1429" t="n"/>
      <c r="S34" s="1429" t="n"/>
      <c r="T34" s="1429" t="n"/>
      <c r="U34" s="1429" t="n"/>
      <c r="V34" s="1429" t="n"/>
      <c r="W34" s="1429" t="n"/>
      <c r="X34" s="1429" t="n"/>
      <c r="Y34" s="1429" t="n"/>
      <c r="Z34" s="1429" t="n"/>
      <c r="AA34" s="1429" t="n"/>
      <c r="AB34" s="1429" t="n"/>
    </row>
    <row r="35" ht="13.5" customHeight="1" s="2" thickBot="1">
      <c r="A35" s="579" t="inlineStr">
        <is>
          <t>EMPLOYEE</t>
        </is>
      </c>
      <c r="B35" s="578" t="n"/>
      <c r="C35" s="579" t="inlineStr">
        <is>
          <t>RATE</t>
        </is>
      </c>
      <c r="D35" s="580" t="n">
        <v>1</v>
      </c>
      <c r="E35" s="581" t="inlineStr">
        <is>
          <t>$</t>
        </is>
      </c>
      <c r="F35" s="582" t="n">
        <v>1.25</v>
      </c>
      <c r="G35" s="581" t="inlineStr">
        <is>
          <t>$</t>
        </is>
      </c>
      <c r="H35" s="582" t="n">
        <v>1.5</v>
      </c>
      <c r="I35" s="581" t="inlineStr">
        <is>
          <t>$</t>
        </is>
      </c>
      <c r="J35" s="583" t="n">
        <v>1.5</v>
      </c>
      <c r="K35" s="581" t="inlineStr">
        <is>
          <t>$</t>
        </is>
      </c>
      <c r="L35" s="583" t="n">
        <v>1.75</v>
      </c>
      <c r="M35" s="581" t="inlineStr">
        <is>
          <t>$</t>
        </is>
      </c>
      <c r="N35" s="583" t="n">
        <v>2</v>
      </c>
      <c r="O35" s="581" t="inlineStr">
        <is>
          <t>$</t>
        </is>
      </c>
      <c r="P35" s="718" t="inlineStr">
        <is>
          <t>2.25</t>
        </is>
      </c>
      <c r="Q35" s="718" t="n"/>
      <c r="R35" s="718" t="inlineStr">
        <is>
          <t xml:space="preserve">Sick </t>
        </is>
      </c>
      <c r="S35" s="718" t="inlineStr">
        <is>
          <t>$</t>
        </is>
      </c>
      <c r="T35" s="718" t="inlineStr">
        <is>
          <t>split</t>
        </is>
      </c>
      <c r="U35" s="718" t="inlineStr">
        <is>
          <t>sup</t>
        </is>
      </c>
      <c r="V35" s="718" t="inlineStr">
        <is>
          <t>laundry</t>
        </is>
      </c>
      <c r="W35" s="585" t="n"/>
      <c r="X35" s="718" t="inlineStr">
        <is>
          <t>2.95</t>
        </is>
      </c>
      <c r="Y35" s="581" t="n"/>
      <c r="Z35" s="581" t="inlineStr">
        <is>
          <t>4.42</t>
        </is>
      </c>
      <c r="AA35" s="581" t="inlineStr">
        <is>
          <t>TOTAL</t>
        </is>
      </c>
      <c r="AB35" s="586" t="inlineStr">
        <is>
          <t xml:space="preserve">TOTAL </t>
        </is>
      </c>
    </row>
    <row r="36">
      <c r="A36" s="1447" t="n"/>
      <c r="B36" s="1448" t="n"/>
      <c r="C36" s="1506" t="n"/>
      <c r="D36" s="1449" t="n"/>
      <c r="E36" s="1450" t="n"/>
      <c r="F36" s="1727" t="inlineStr">
        <is>
          <t>SAT</t>
        </is>
      </c>
      <c r="G36" s="1452" t="n"/>
      <c r="H36" s="1453" t="inlineStr">
        <is>
          <t xml:space="preserve">SUN </t>
        </is>
      </c>
      <c r="I36" s="1709" t="n"/>
      <c r="J36" s="1454" t="inlineStr">
        <is>
          <t>O/T</t>
        </is>
      </c>
      <c r="K36" s="1728" t="n"/>
      <c r="L36" s="1450" t="inlineStr">
        <is>
          <t>O/T</t>
        </is>
      </c>
      <c r="M36" s="1728" t="n"/>
      <c r="N36" s="1456" t="inlineStr">
        <is>
          <t>O/T</t>
        </is>
      </c>
      <c r="O36" s="1728" t="n"/>
      <c r="P36" s="1729" t="inlineStr">
        <is>
          <t>PH</t>
        </is>
      </c>
      <c r="Q36" s="1729" t="n"/>
      <c r="R36" s="1729" t="n"/>
      <c r="S36" s="1729" t="n"/>
      <c r="T36" s="1729" t="n"/>
      <c r="U36" s="1729" t="n"/>
      <c r="V36" s="1729" t="n"/>
      <c r="W36" s="1458" t="n"/>
      <c r="X36" s="1729" t="n"/>
      <c r="Y36" s="1456" t="n"/>
      <c r="Z36" s="1728" t="n"/>
      <c r="AA36" s="1456" t="n"/>
      <c r="AB36" s="1730" t="n"/>
    </row>
    <row r="37">
      <c r="A37" s="1460" t="inlineStr">
        <is>
          <t>KHANAL, Nischal</t>
        </is>
      </c>
      <c r="B37" s="588" t="n"/>
      <c r="C37" s="1719" t="n">
        <v>29.45</v>
      </c>
      <c r="D37" s="138" t="n">
        <v>21.5</v>
      </c>
      <c r="E37" s="1715">
        <f>C37*D37</f>
        <v/>
      </c>
      <c r="F37" s="917" t="n">
        <v>6.5</v>
      </c>
      <c r="G37" s="1715">
        <f>C37*1.25*F37</f>
        <v/>
      </c>
      <c r="H37" s="116" t="n">
        <v>8.5</v>
      </c>
      <c r="I37" s="1715">
        <f>C37*1.5*H37</f>
        <v/>
      </c>
      <c r="J37" s="116" t="n"/>
      <c r="K37" s="1715">
        <f>C37*1.5*J37</f>
        <v/>
      </c>
      <c r="L37" s="116" t="n"/>
      <c r="M37" s="1715">
        <f>C37*1.75*L37</f>
        <v/>
      </c>
      <c r="N37" s="116" t="n">
        <v>0.25</v>
      </c>
      <c r="O37" s="1715">
        <f>C37*2*N37</f>
        <v/>
      </c>
      <c r="P37" s="1716" t="n"/>
      <c r="Q37" s="1717" t="n"/>
      <c r="R37" s="128" t="n"/>
      <c r="S37" s="1717">
        <f>R37*C37</f>
        <v/>
      </c>
      <c r="T37" s="1717" t="n"/>
      <c r="U37" s="1717" t="n"/>
      <c r="V37" s="1717" t="n">
        <v>6.9</v>
      </c>
      <c r="W37" s="1264" t="n">
        <v>6</v>
      </c>
      <c r="X37" s="1717">
        <f>W37*X35</f>
        <v/>
      </c>
      <c r="Y37" s="127" t="n">
        <v>3</v>
      </c>
      <c r="Z37" s="1715">
        <f>Y37*Z35</f>
        <v/>
      </c>
      <c r="AA37" s="116">
        <f>D37+F37+H37+J37+L37+N37+P37+R37</f>
        <v/>
      </c>
      <c r="AB37" s="1718">
        <f>E37+G37+I37+K37+M37+O37+Z37+X37+V37+T37+R37+Q37</f>
        <v/>
      </c>
    </row>
    <row r="38">
      <c r="A38" s="1318" t="inlineStr">
        <is>
          <t>GODA, Yuka</t>
        </is>
      </c>
      <c r="B38" s="588" t="inlineStr">
        <is>
          <t>SAL</t>
        </is>
      </c>
      <c r="C38" s="1719" t="n">
        <v>40.5</v>
      </c>
      <c r="D38" s="138" t="n"/>
      <c r="E38" s="1715">
        <f>C38*D38</f>
        <v/>
      </c>
      <c r="F38" s="1722" t="n"/>
      <c r="G38" s="1715">
        <f>C38*1.25*F38</f>
        <v/>
      </c>
      <c r="H38" s="114" t="n"/>
      <c r="I38" s="1715">
        <f>C38*1.5*H38</f>
        <v/>
      </c>
      <c r="J38" s="113" t="n"/>
      <c r="K38" s="1715">
        <f>C38*1.5*J38</f>
        <v/>
      </c>
      <c r="L38" s="114" t="n"/>
      <c r="M38" s="1715">
        <f>C38*1.75*L38</f>
        <v/>
      </c>
      <c r="N38" s="116" t="n"/>
      <c r="O38" s="1715">
        <f>C38*2*N38</f>
        <v/>
      </c>
      <c r="P38" s="1717" t="n"/>
      <c r="Q38" s="1731" t="n"/>
      <c r="R38" s="1717" t="n"/>
      <c r="S38" s="1717" t="n"/>
      <c r="T38" s="1717" t="n"/>
      <c r="U38" s="1717" t="n"/>
      <c r="V38" s="1717" t="n"/>
      <c r="W38" s="1264" t="n"/>
      <c r="X38" s="1717">
        <f>W38*X35</f>
        <v/>
      </c>
      <c r="Y38" s="127" t="n"/>
      <c r="Z38" s="1715">
        <f>Y38*Z35</f>
        <v/>
      </c>
      <c r="AA38" s="116">
        <f>D38+F38+H38+J38+L38+N38</f>
        <v/>
      </c>
      <c r="AB38" s="1718">
        <f>E38+G38+I38+K38+M38+O38+Z38+X38+V38+T38</f>
        <v/>
      </c>
    </row>
    <row r="39">
      <c r="A39" s="132" t="inlineStr">
        <is>
          <t>MANANDHAR, Leelen</t>
        </is>
      </c>
      <c r="B39" s="588" t="n"/>
      <c r="C39" s="1732" t="n">
        <v>26.7</v>
      </c>
      <c r="D39" s="138" t="n"/>
      <c r="E39" s="1715">
        <f>C39*D39</f>
        <v/>
      </c>
      <c r="F39" s="843" t="n"/>
      <c r="G39" s="1715">
        <f>C39*1.25*F39</f>
        <v/>
      </c>
      <c r="H39" s="114" t="n"/>
      <c r="I39" s="1715">
        <f>C39*1.5*H39</f>
        <v/>
      </c>
      <c r="J39" s="113" t="n"/>
      <c r="K39" s="1715">
        <f>C39*1.5*J39</f>
        <v/>
      </c>
      <c r="L39" s="114" t="n"/>
      <c r="M39" s="1715">
        <f>C39*1.75*L39</f>
        <v/>
      </c>
      <c r="N39" s="116" t="n"/>
      <c r="O39" s="1715">
        <f>C39*2*N39</f>
        <v/>
      </c>
      <c r="P39" s="1717" t="n"/>
      <c r="Q39" s="1731" t="n"/>
      <c r="R39" s="1717" t="n"/>
      <c r="S39" s="1717" t="n"/>
      <c r="T39" s="1717" t="n"/>
      <c r="U39" s="1717" t="n"/>
      <c r="V39" s="1717" t="n"/>
      <c r="W39" s="1264" t="n"/>
      <c r="X39" s="1717">
        <f>W39*X35</f>
        <v/>
      </c>
      <c r="Y39" s="127" t="n"/>
      <c r="Z39" s="1715">
        <f>Y39*Z35</f>
        <v/>
      </c>
      <c r="AA39" s="116">
        <f>D39+F39+H39+J39+L39+N39</f>
        <v/>
      </c>
      <c r="AB39" s="1718">
        <f>E39+G39+I39+K39+M39+O39+Z39+X39+V39+T39</f>
        <v/>
      </c>
    </row>
    <row r="40">
      <c r="A40" s="1442" t="inlineStr">
        <is>
          <t>ISKANDAR, Kenny</t>
        </is>
      </c>
      <c r="C40" s="1732" t="n">
        <v>28.12</v>
      </c>
      <c r="D40" s="138" t="n"/>
      <c r="E40" s="1715">
        <f>C40*D40</f>
        <v/>
      </c>
      <c r="F40" s="1722" t="n"/>
      <c r="G40" s="1715">
        <f>C40*1.25*F40</f>
        <v/>
      </c>
      <c r="H40" s="114" t="n"/>
      <c r="I40" s="1715">
        <f>C40*1.5*H40</f>
        <v/>
      </c>
      <c r="J40" s="113" t="n"/>
      <c r="K40" s="1715">
        <f>C40*1.5*J40</f>
        <v/>
      </c>
      <c r="L40" s="114" t="n"/>
      <c r="M40" s="1715">
        <f>C40*1.75*L40</f>
        <v/>
      </c>
      <c r="N40" s="116" t="n"/>
      <c r="O40" s="1715">
        <f>C40*2*N40</f>
        <v/>
      </c>
      <c r="P40" s="1717" t="n"/>
      <c r="Q40" s="1731" t="n"/>
      <c r="R40" s="1717" t="n"/>
      <c r="S40" s="1717" t="n"/>
      <c r="T40" s="1717" t="n"/>
      <c r="U40" s="1717" t="n"/>
      <c r="V40" s="1717" t="n"/>
      <c r="W40" s="1264" t="n"/>
      <c r="X40" s="1717">
        <f>W40*X35</f>
        <v/>
      </c>
      <c r="Y40" s="127" t="n"/>
      <c r="Z40" s="1715">
        <f>Y40*Z35</f>
        <v/>
      </c>
      <c r="AA40" s="116">
        <f>D40+F40+H40+J40+L40+N40</f>
        <v/>
      </c>
      <c r="AB40" s="1718">
        <f>E40+G40+I40+K40+M40+O40+Z40+X40+V40+T40</f>
        <v/>
      </c>
    </row>
    <row r="41">
      <c r="A41" s="1441" t="inlineStr">
        <is>
          <t>KUDO,  Kana</t>
        </is>
      </c>
      <c r="B41" s="588" t="n"/>
      <c r="C41" s="1732" t="n">
        <v>25.8</v>
      </c>
      <c r="D41" s="138" t="n"/>
      <c r="E41" s="1715">
        <f>C41*D41</f>
        <v/>
      </c>
      <c r="F41" s="1722" t="n"/>
      <c r="G41" s="1715">
        <f>C41*1.25*F41</f>
        <v/>
      </c>
      <c r="H41" s="114" t="n"/>
      <c r="I41" s="1715">
        <f>C41*1.5*H41</f>
        <v/>
      </c>
      <c r="J41" s="113" t="n"/>
      <c r="K41" s="1715">
        <f>C41*1.5*J41</f>
        <v/>
      </c>
      <c r="L41" s="114" t="n"/>
      <c r="M41" s="1715">
        <f>C41*1.75*L41</f>
        <v/>
      </c>
      <c r="N41" s="116" t="n"/>
      <c r="O41" s="1715">
        <f>C41*2*N41</f>
        <v/>
      </c>
      <c r="P41" s="1717" t="n"/>
      <c r="Q41" s="1731" t="n"/>
      <c r="R41" s="1717" t="n"/>
      <c r="S41" s="1717" t="n"/>
      <c r="T41" s="1717" t="n"/>
      <c r="U41" s="1717" t="n"/>
      <c r="V41" s="1717" t="n"/>
      <c r="W41" s="1264" t="n"/>
      <c r="X41" s="1717">
        <f>W41*X35</f>
        <v/>
      </c>
      <c r="Y41" s="127" t="n"/>
      <c r="Z41" s="1715">
        <f>Y41*Z35</f>
        <v/>
      </c>
      <c r="AA41" s="116">
        <f>D41+F41+H41+J41+L41+N41</f>
        <v/>
      </c>
      <c r="AB41" s="1718">
        <f>E41+G41+I41+K41+M41+O41+Z41+X41+V41+T41</f>
        <v/>
      </c>
    </row>
    <row r="42">
      <c r="A42" s="132" t="inlineStr">
        <is>
          <t>MANANDHAR, Leelen</t>
        </is>
      </c>
      <c r="B42" s="588" t="n"/>
      <c r="C42" s="1732" t="n">
        <v>26.7</v>
      </c>
      <c r="D42" s="138" t="n"/>
      <c r="E42" s="1715">
        <f>C42*D42</f>
        <v/>
      </c>
      <c r="F42" s="1722" t="n"/>
      <c r="G42" s="1715">
        <f>C42*1.25*F42</f>
        <v/>
      </c>
      <c r="H42" s="114" t="n"/>
      <c r="I42" s="1715">
        <f>C42*1.5*H42</f>
        <v/>
      </c>
      <c r="J42" s="113" t="n"/>
      <c r="K42" s="1715">
        <f>C42*1.5*J42</f>
        <v/>
      </c>
      <c r="L42" s="114" t="n"/>
      <c r="M42" s="1715">
        <f>C42*1.75*L42</f>
        <v/>
      </c>
      <c r="N42" s="116" t="n"/>
      <c r="O42" s="1715">
        <f>C42*2*N42</f>
        <v/>
      </c>
      <c r="P42" s="1717" t="n"/>
      <c r="Q42" s="1731" t="n"/>
      <c r="R42" s="1717" t="n"/>
      <c r="S42" s="1717" t="n"/>
      <c r="T42" s="1717" t="n"/>
      <c r="U42" s="1717" t="n"/>
      <c r="V42" s="1717" t="n"/>
      <c r="W42" s="1264" t="n"/>
      <c r="X42" s="1717">
        <f>W42*X35</f>
        <v/>
      </c>
      <c r="Y42" s="127" t="n"/>
      <c r="Z42" s="1715">
        <f>Y42*Z35</f>
        <v/>
      </c>
      <c r="AA42" s="116">
        <f>D42+F42+H42+J42+L42+N42</f>
        <v/>
      </c>
      <c r="AB42" s="1718">
        <f>E42+G42+I42+K42+M42+O42+Z42+X42+V42+T42</f>
        <v/>
      </c>
    </row>
    <row r="43" ht="13.5" customHeight="1" s="2" thickBot="1">
      <c r="A43" s="1348" t="inlineStr">
        <is>
          <t>SHRESTHA, Bisesh</t>
        </is>
      </c>
      <c r="B43" s="588" t="n"/>
      <c r="C43" s="1732" t="n">
        <v>26.7</v>
      </c>
      <c r="D43" s="138" t="n"/>
      <c r="E43" s="1715">
        <f>C43*D43</f>
        <v/>
      </c>
      <c r="F43" s="843" t="n"/>
      <c r="G43" s="1715">
        <f>C43*1.25*F43</f>
        <v/>
      </c>
      <c r="H43" s="114" t="n"/>
      <c r="I43" s="1715">
        <f>C43*1.5*H43</f>
        <v/>
      </c>
      <c r="J43" s="113" t="n"/>
      <c r="K43" s="1715">
        <f>C43*1.5*J43</f>
        <v/>
      </c>
      <c r="L43" s="114" t="n"/>
      <c r="M43" s="1715">
        <f>C43*1.75*L43</f>
        <v/>
      </c>
      <c r="N43" s="116" t="n"/>
      <c r="O43" s="1715">
        <f>C43*2*N43</f>
        <v/>
      </c>
      <c r="P43" s="1717" t="n"/>
      <c r="Q43" s="1731" t="n"/>
      <c r="R43" s="1717" t="n"/>
      <c r="S43" s="1717" t="n"/>
      <c r="T43" s="1717" t="n"/>
      <c r="U43" s="1717" t="n"/>
      <c r="V43" s="1717" t="n"/>
      <c r="W43" s="1264" t="n"/>
      <c r="X43" s="1717">
        <f>W43*X35</f>
        <v/>
      </c>
      <c r="Y43" s="127" t="n"/>
      <c r="Z43" s="1715">
        <f>Y43*Z35</f>
        <v/>
      </c>
      <c r="AA43" s="116">
        <f>D43+F43+H43+J43+L43+N43</f>
        <v/>
      </c>
      <c r="AB43" s="1718">
        <f>E43+G43+I43+K43+M43+O43+Z43+X43+V43+T43</f>
        <v/>
      </c>
    </row>
    <row r="44">
      <c r="A44" s="1318" t="inlineStr">
        <is>
          <t>POLUAN, Kevin</t>
        </is>
      </c>
      <c r="B44" s="588" t="n"/>
      <c r="C44" s="1732" t="n">
        <v>27.17</v>
      </c>
      <c r="D44" s="138" t="n"/>
      <c r="E44" s="1715">
        <f>C44*D44</f>
        <v/>
      </c>
      <c r="F44" s="843" t="n"/>
      <c r="G44" s="1715">
        <f>C44*1.25*F44</f>
        <v/>
      </c>
      <c r="H44" s="114" t="n"/>
      <c r="I44" s="1715">
        <f>C44*1.5*H44</f>
        <v/>
      </c>
      <c r="J44" s="113" t="n"/>
      <c r="K44" s="1715">
        <f>C44*1.5*J44</f>
        <v/>
      </c>
      <c r="L44" s="114" t="n"/>
      <c r="M44" s="1715">
        <f>C44*1.75*L44</f>
        <v/>
      </c>
      <c r="N44" s="116" t="n"/>
      <c r="O44" s="1715">
        <f>C44*2*N44</f>
        <v/>
      </c>
      <c r="P44" s="1717" t="n"/>
      <c r="Q44" s="1731" t="n"/>
      <c r="R44" s="1717" t="n"/>
      <c r="S44" s="1717" t="n"/>
      <c r="T44" s="1717" t="n"/>
      <c r="U44" s="1717" t="n"/>
      <c r="V44" s="1717" t="n"/>
      <c r="W44" s="1264" t="n"/>
      <c r="X44" s="1717">
        <f>W44*X35</f>
        <v/>
      </c>
      <c r="Y44" s="127" t="n"/>
      <c r="Z44" s="1715">
        <f>Y44*Z35</f>
        <v/>
      </c>
      <c r="AA44" s="116">
        <f>D44+F44+H44+J44+L44+N44</f>
        <v/>
      </c>
      <c r="AB44" s="1718">
        <f>E44+G44+I44+K44+M44+O44+Z44+X44+V44+T44</f>
        <v/>
      </c>
    </row>
    <row r="45">
      <c r="A45" s="1318" t="inlineStr">
        <is>
          <t>VONGSALY, Phimmasone (Apple)</t>
        </is>
      </c>
      <c r="C45" s="1732" t="n">
        <v>27.17</v>
      </c>
      <c r="D45" s="138" t="n"/>
      <c r="E45" s="1715">
        <f>C45*D45</f>
        <v/>
      </c>
      <c r="F45" s="1722" t="n"/>
      <c r="G45" s="1715">
        <f>C45*1.25*F45</f>
        <v/>
      </c>
      <c r="H45" s="114" t="n"/>
      <c r="I45" s="1715">
        <f>C45*1.5*H45</f>
        <v/>
      </c>
      <c r="J45" s="113" t="n"/>
      <c r="K45" s="1715">
        <f>C45*1.5*J45</f>
        <v/>
      </c>
      <c r="L45" s="114" t="n"/>
      <c r="M45" s="1715">
        <f>C45*1.75*L45</f>
        <v/>
      </c>
      <c r="N45" s="116" t="n"/>
      <c r="O45" s="1715">
        <f>C45*2*N45</f>
        <v/>
      </c>
      <c r="P45" s="1717" t="n"/>
      <c r="Q45" s="1731" t="n"/>
      <c r="R45" s="1717" t="n"/>
      <c r="S45" s="1717" t="n"/>
      <c r="T45" s="1717" t="n"/>
      <c r="U45" s="1717" t="n"/>
      <c r="V45" s="1717" t="n"/>
      <c r="W45" s="1264" t="n"/>
      <c r="X45" s="1717">
        <f>W45*X39</f>
        <v/>
      </c>
      <c r="Y45" s="127" t="n"/>
      <c r="Z45" s="1715">
        <f>Y45*Z39</f>
        <v/>
      </c>
      <c r="AA45" s="116">
        <f>D45+F45+H45+J45+L45+N45</f>
        <v/>
      </c>
      <c r="AB45" s="1718">
        <f>E45+G45+I45+K45+M45+O45+Z45+X45+V45+T45</f>
        <v/>
      </c>
    </row>
    <row r="46">
      <c r="A46" s="1318" t="inlineStr">
        <is>
          <t>YONGBANTHOM, Siriprapa (Poppy)</t>
        </is>
      </c>
      <c r="C46" s="1732" t="n">
        <v>27.17</v>
      </c>
      <c r="D46" s="138" t="n"/>
      <c r="E46" s="1715">
        <f>C46*D46</f>
        <v/>
      </c>
      <c r="F46" s="1722" t="n"/>
      <c r="G46" s="1715">
        <f>C46*1.25*F46</f>
        <v/>
      </c>
      <c r="H46" s="114" t="n"/>
      <c r="I46" s="1715">
        <f>C46*1.5*H46</f>
        <v/>
      </c>
      <c r="J46" s="113" t="n"/>
      <c r="K46" s="1715">
        <f>C46*1.5*J46</f>
        <v/>
      </c>
      <c r="L46" s="114" t="n"/>
      <c r="M46" s="1715">
        <f>C46*1.75*L46</f>
        <v/>
      </c>
      <c r="N46" s="116" t="n"/>
      <c r="O46" s="1715">
        <f>C46*2*N46</f>
        <v/>
      </c>
      <c r="P46" s="1717" t="n"/>
      <c r="Q46" s="1731" t="n"/>
      <c r="R46" s="1717" t="n"/>
      <c r="S46" s="1717" t="n"/>
      <c r="T46" s="1717" t="n"/>
      <c r="U46" s="1717" t="n"/>
      <c r="V46" s="1717" t="n"/>
      <c r="W46" s="1264" t="n"/>
      <c r="X46" s="1717">
        <f>W46*X40</f>
        <v/>
      </c>
      <c r="Y46" s="127" t="n"/>
      <c r="Z46" s="1715">
        <f>Y46*Z40</f>
        <v/>
      </c>
      <c r="AA46" s="116">
        <f>D46+F46+H46+J46+L46+N46</f>
        <v/>
      </c>
      <c r="AB46" s="1718">
        <f>E46+G46+I46+K46+M46+O46+Z46+X46+V46+T46</f>
        <v/>
      </c>
    </row>
    <row r="47">
      <c r="A47" s="1361" t="inlineStr">
        <is>
          <t>BEPPU, Yuji</t>
        </is>
      </c>
      <c r="B47" s="588" t="n"/>
      <c r="C47" s="1719" t="n">
        <v>24.98</v>
      </c>
      <c r="D47" s="138" t="n"/>
      <c r="E47" s="1715">
        <f>C47*D47</f>
        <v/>
      </c>
      <c r="F47" s="1722" t="n"/>
      <c r="G47" s="1715">
        <f>C47*1.25*F47</f>
        <v/>
      </c>
      <c r="H47" s="114" t="n"/>
      <c r="I47" s="1715">
        <f>C47*1.5*H47</f>
        <v/>
      </c>
      <c r="J47" s="113" t="n"/>
      <c r="K47" s="1715">
        <f>C47*1.5*J47</f>
        <v/>
      </c>
      <c r="L47" s="114" t="n"/>
      <c r="M47" s="1715">
        <f>C47*1.75*L47</f>
        <v/>
      </c>
      <c r="N47" s="116" t="n"/>
      <c r="O47" s="1715">
        <f>C47*2*N47</f>
        <v/>
      </c>
      <c r="P47" s="1717" t="n"/>
      <c r="Q47" s="1731" t="n"/>
      <c r="R47" s="1717" t="n"/>
      <c r="S47" s="1717" t="n"/>
      <c r="T47" s="1717" t="n"/>
      <c r="U47" s="1717" t="n"/>
      <c r="V47" s="1717" t="n"/>
      <c r="W47" s="1264" t="n"/>
      <c r="X47" s="1717">
        <f>W47*X35</f>
        <v/>
      </c>
      <c r="Y47" s="127" t="n"/>
      <c r="Z47" s="1715">
        <f>Y47*Z33</f>
        <v/>
      </c>
      <c r="AA47" s="116">
        <f>D47+F47+H47+J47+L47+N47</f>
        <v/>
      </c>
      <c r="AB47" s="1718">
        <f>E47+G47+I47+K47+M47+O47+Z47+X47+V47+T47</f>
        <v/>
      </c>
    </row>
    <row r="48">
      <c r="A48" s="1318" t="inlineStr">
        <is>
          <t>ANANTAPATTANAPONG, Jaruayporn (Jessie)</t>
        </is>
      </c>
      <c r="B48" s="588" t="n"/>
      <c r="C48" s="1719" t="n">
        <v>24.98</v>
      </c>
      <c r="D48" s="138" t="n"/>
      <c r="E48" s="1715">
        <f>C48*D48</f>
        <v/>
      </c>
      <c r="F48" s="1722" t="n"/>
      <c r="G48" s="1715">
        <f>C48*1.25*F48</f>
        <v/>
      </c>
      <c r="H48" s="114" t="n"/>
      <c r="I48" s="1715">
        <f>C48*1.5*H48</f>
        <v/>
      </c>
      <c r="J48" s="113" t="n"/>
      <c r="K48" s="1715">
        <f>C48*1.5*J48</f>
        <v/>
      </c>
      <c r="L48" s="114" t="n"/>
      <c r="M48" s="1715">
        <f>C48*1.75*L48</f>
        <v/>
      </c>
      <c r="N48" s="116" t="n"/>
      <c r="O48" s="1715">
        <f>C48*2*N48</f>
        <v/>
      </c>
      <c r="P48" s="1717" t="n"/>
      <c r="Q48" s="1731" t="n"/>
      <c r="R48" s="1717" t="n"/>
      <c r="S48" s="1717" t="n"/>
      <c r="T48" s="1717" t="n"/>
      <c r="U48" s="1717" t="n"/>
      <c r="V48" s="1717" t="n"/>
      <c r="W48" s="1264" t="n"/>
      <c r="X48" s="1717">
        <f>W48*X35</f>
        <v/>
      </c>
      <c r="Y48" s="127" t="n"/>
      <c r="Z48" s="1715">
        <f>Y48*Z34</f>
        <v/>
      </c>
      <c r="AA48" s="116">
        <f>D48+F48+H48+J48+L48+N48</f>
        <v/>
      </c>
      <c r="AB48" s="1718">
        <f>E48+G48+I48+K48+M48+O48+Z48+X48+V48+T48</f>
        <v/>
      </c>
    </row>
    <row r="49">
      <c r="A49" s="1318" t="inlineStr">
        <is>
          <t>PHONNARK, Chanakan (Pookpik)</t>
        </is>
      </c>
      <c r="B49" s="588" t="n"/>
      <c r="C49" s="1732" t="n">
        <v>25.8</v>
      </c>
      <c r="D49" s="138" t="n"/>
      <c r="E49" s="1715">
        <f>C49*D49</f>
        <v/>
      </c>
      <c r="F49" s="843" t="n"/>
      <c r="G49" s="1715">
        <f>C49*1.25*F49</f>
        <v/>
      </c>
      <c r="H49" s="114" t="n"/>
      <c r="I49" s="1715">
        <f>C49*1.5*H49</f>
        <v/>
      </c>
      <c r="J49" s="113" t="n"/>
      <c r="K49" s="1715">
        <f>C49*1.5*J49</f>
        <v/>
      </c>
      <c r="L49" s="114" t="n"/>
      <c r="M49" s="1715">
        <f>C49*1.75*L49</f>
        <v/>
      </c>
      <c r="N49" s="116" t="n"/>
      <c r="O49" s="1715">
        <f>C49*2*N49</f>
        <v/>
      </c>
      <c r="P49" s="1717" t="n"/>
      <c r="Q49" s="1731" t="n"/>
      <c r="R49" s="1717" t="n"/>
      <c r="S49" s="1717" t="n"/>
      <c r="T49" s="1717" t="n"/>
      <c r="U49" s="1717" t="n"/>
      <c r="V49" s="1717" t="n"/>
      <c r="W49" s="1264" t="n"/>
      <c r="X49" s="1717">
        <f>W49*X35</f>
        <v/>
      </c>
      <c r="Y49" s="127" t="n"/>
      <c r="Z49" s="1715">
        <f>Y49*Z35</f>
        <v/>
      </c>
      <c r="AA49" s="116">
        <f>D49+F49+H49+J49+L49+N49</f>
        <v/>
      </c>
      <c r="AB49" s="1718">
        <f>E49+G49+I49+K49+M49+O49+Z49+X49+V49+T49</f>
        <v/>
      </c>
    </row>
    <row r="50">
      <c r="A50" s="132" t="n"/>
      <c r="B50" s="588" t="n"/>
      <c r="C50" s="1719" t="n">
        <v>0</v>
      </c>
      <c r="D50" s="138" t="n"/>
      <c r="E50" s="1715">
        <f>C50*D50</f>
        <v/>
      </c>
      <c r="F50" s="1722" t="n"/>
      <c r="G50" s="1715">
        <f>C50*1.25*F50</f>
        <v/>
      </c>
      <c r="H50" s="114" t="n"/>
      <c r="I50" s="1715">
        <f>C50*1.5*H50</f>
        <v/>
      </c>
      <c r="J50" s="113" t="n"/>
      <c r="K50" s="1715">
        <f>C50*1.5*J50</f>
        <v/>
      </c>
      <c r="L50" s="114" t="n"/>
      <c r="M50" s="1715">
        <f>C50*1.75*L50</f>
        <v/>
      </c>
      <c r="N50" s="116" t="n"/>
      <c r="O50" s="1715">
        <f>C50*2*N50</f>
        <v/>
      </c>
      <c r="P50" s="1717" t="n"/>
      <c r="Q50" s="1731" t="n"/>
      <c r="R50" s="1717" t="n"/>
      <c r="S50" s="1717" t="n"/>
      <c r="T50" s="1717" t="n"/>
      <c r="U50" s="1717" t="n"/>
      <c r="V50" s="1717" t="n"/>
      <c r="W50" s="1264" t="n"/>
      <c r="X50" s="1717">
        <f>W50*X35</f>
        <v/>
      </c>
      <c r="Y50" s="127" t="n"/>
      <c r="Z50" s="1715">
        <f>Y50*Z35</f>
        <v/>
      </c>
      <c r="AA50" s="116">
        <f>D50+F50+H50+J50+L50+N50</f>
        <v/>
      </c>
      <c r="AB50" s="1718">
        <f>E50+G50+I50+K50+M50+O50+Z50+X50+V50+T50</f>
        <v/>
      </c>
    </row>
    <row r="51" ht="18.75" customHeight="1" s="2">
      <c r="C51" s="90" t="n"/>
      <c r="AA51" s="454">
        <f>SUM(AA37:AA50)</f>
        <v/>
      </c>
      <c r="AB51" s="1721">
        <f>SUM(AB37:AB50)</f>
        <v/>
      </c>
    </row>
    <row r="52" ht="13.5" customHeight="1" s="2" thickBot="1">
      <c r="A52" t="inlineStr">
        <is>
          <t>Transfer IN from NM</t>
        </is>
      </c>
      <c r="C52" s="90" t="n"/>
    </row>
    <row r="53" ht="13.5" customHeight="1" s="2" thickBot="1">
      <c r="A53" s="577" t="inlineStr">
        <is>
          <t>EMPLOYEE</t>
        </is>
      </c>
      <c r="B53" s="578" t="n"/>
      <c r="C53" s="579" t="inlineStr">
        <is>
          <t>RATE</t>
        </is>
      </c>
      <c r="D53" s="580" t="n">
        <v>1</v>
      </c>
      <c r="E53" s="581" t="inlineStr">
        <is>
          <t>$</t>
        </is>
      </c>
      <c r="F53" s="582" t="n">
        <v>1.25</v>
      </c>
      <c r="G53" s="581" t="inlineStr">
        <is>
          <t>$</t>
        </is>
      </c>
      <c r="H53" s="582" t="n">
        <v>1.5</v>
      </c>
      <c r="I53" s="581" t="inlineStr">
        <is>
          <t>$</t>
        </is>
      </c>
      <c r="J53" s="583" t="n">
        <v>1.5</v>
      </c>
      <c r="K53" s="581" t="inlineStr">
        <is>
          <t>$</t>
        </is>
      </c>
      <c r="L53" s="583" t="n">
        <v>1.75</v>
      </c>
      <c r="M53" s="581" t="inlineStr">
        <is>
          <t>$</t>
        </is>
      </c>
      <c r="N53" s="583" t="n">
        <v>2</v>
      </c>
      <c r="O53" s="581" t="inlineStr">
        <is>
          <t>$</t>
        </is>
      </c>
      <c r="P53" s="718" t="inlineStr">
        <is>
          <t>2.25</t>
        </is>
      </c>
      <c r="Q53" s="718" t="n"/>
      <c r="R53" s="718" t="inlineStr">
        <is>
          <t>2.5</t>
        </is>
      </c>
      <c r="S53" s="718" t="inlineStr">
        <is>
          <t>$</t>
        </is>
      </c>
      <c r="T53" s="718" t="inlineStr">
        <is>
          <t>split</t>
        </is>
      </c>
      <c r="U53" s="718" t="inlineStr">
        <is>
          <t>sup</t>
        </is>
      </c>
      <c r="V53" s="718" t="inlineStr">
        <is>
          <t>laundry</t>
        </is>
      </c>
      <c r="W53" s="585" t="n"/>
      <c r="X53" s="718" t="inlineStr">
        <is>
          <t>2.48</t>
        </is>
      </c>
      <c r="Y53" s="581" t="n"/>
      <c r="Z53" s="581" t="inlineStr">
        <is>
          <t>3.71</t>
        </is>
      </c>
      <c r="AA53" s="581" t="inlineStr">
        <is>
          <t>TOTAL</t>
        </is>
      </c>
      <c r="AB53" s="586" t="inlineStr">
        <is>
          <t xml:space="preserve">TOTAL </t>
        </is>
      </c>
    </row>
    <row r="54">
      <c r="A54" s="131" t="n"/>
      <c r="B54" s="587" t="n"/>
      <c r="C54" s="1506" t="n"/>
      <c r="D54" s="137" t="n"/>
      <c r="E54" s="120" t="n"/>
      <c r="F54" s="1708" t="inlineStr">
        <is>
          <t>SAT/cas ord</t>
        </is>
      </c>
      <c r="G54" s="119" t="n"/>
      <c r="H54" s="122" t="inlineStr">
        <is>
          <t>SUN /Sat cas</t>
        </is>
      </c>
      <c r="I54" s="1709" t="n"/>
      <c r="J54" s="124" t="inlineStr">
        <is>
          <t>O/T</t>
        </is>
      </c>
      <c r="K54" s="1710" t="n"/>
      <c r="L54" s="120" t="inlineStr">
        <is>
          <t>SUN cas</t>
        </is>
      </c>
      <c r="M54" s="1710" t="n"/>
      <c r="N54" s="127" t="inlineStr">
        <is>
          <t>O/T</t>
        </is>
      </c>
      <c r="O54" s="1710" t="n"/>
      <c r="P54" s="1711" t="n"/>
      <c r="Q54" s="1717">
        <f>C54*2.25*P54</f>
        <v/>
      </c>
      <c r="R54" s="1711" t="inlineStr">
        <is>
          <t>ph casual</t>
        </is>
      </c>
      <c r="S54" s="1711" t="n"/>
      <c r="T54" s="1711" t="n"/>
      <c r="U54" s="1711" t="n"/>
      <c r="V54" s="1711" t="n"/>
      <c r="W54" s="1712" t="n"/>
      <c r="X54" s="1711" t="n"/>
      <c r="Y54" s="1710" t="n"/>
      <c r="Z54" s="1710" t="n"/>
      <c r="AA54" s="127" t="n"/>
      <c r="AB54" s="1713" t="n"/>
    </row>
    <row r="55">
      <c r="A55" s="131" t="inlineStr">
        <is>
          <t xml:space="preserve">Caleb </t>
        </is>
      </c>
      <c r="B55" s="587" t="inlineStr">
        <is>
          <t>Cas</t>
        </is>
      </c>
      <c r="C55" s="1506" t="n">
        <v>15.51</v>
      </c>
      <c r="D55" s="1060" t="n"/>
      <c r="E55" s="1726">
        <f>C55*D55</f>
        <v/>
      </c>
      <c r="F55" s="1708" t="n"/>
      <c r="G55" s="1715">
        <f>C55*1.25*F55</f>
        <v/>
      </c>
      <c r="H55" s="122" t="n"/>
      <c r="I55" s="1715">
        <f>C55*1.5*H55</f>
        <v/>
      </c>
      <c r="J55" s="124" t="n"/>
      <c r="K55" s="1715">
        <f>C55*1.5*J55</f>
        <v/>
      </c>
      <c r="L55" s="120" t="n"/>
      <c r="M55" s="1715">
        <f>C55*1.75*L55</f>
        <v/>
      </c>
      <c r="N55" s="127" t="n"/>
      <c r="O55" s="1715">
        <f>C55*2*N55</f>
        <v/>
      </c>
      <c r="P55" s="1733" t="n"/>
      <c r="Q55" s="1723">
        <f>C55*2.25*P55</f>
        <v/>
      </c>
      <c r="R55" s="1711" t="n"/>
      <c r="S55" s="1711">
        <f>C55*2.5*R55</f>
        <v/>
      </c>
      <c r="T55" s="1711" t="n"/>
      <c r="U55" s="1711" t="n"/>
      <c r="V55" s="1711" t="n"/>
      <c r="W55" s="1062" t="n"/>
      <c r="X55" s="1717">
        <f>W55*X53</f>
        <v/>
      </c>
      <c r="Y55" s="1710" t="n"/>
      <c r="Z55" s="1715">
        <f>Z50*Y55</f>
        <v/>
      </c>
      <c r="AA55" s="116">
        <f>D55+F55+H55+J55+L55+N55+R55</f>
        <v/>
      </c>
      <c r="AB55" s="1718">
        <f>E55+G55+I55+K55+M55+O55+Z55+X55+V55+T55+S55</f>
        <v/>
      </c>
    </row>
    <row r="56" customFormat="1" s="90">
      <c r="A56" s="133" t="inlineStr">
        <is>
          <t>SAPKOTA, Sanam</t>
        </is>
      </c>
      <c r="B56" s="588" t="n"/>
      <c r="C56" s="1714" t="n">
        <v>28.12</v>
      </c>
      <c r="D56" s="128" t="n"/>
      <c r="E56" s="1715">
        <f>C56*D56</f>
        <v/>
      </c>
      <c r="F56" s="116" t="n"/>
      <c r="G56" s="1715">
        <f>C56*1.25*F56</f>
        <v/>
      </c>
      <c r="H56" s="116" t="n"/>
      <c r="I56" s="1715">
        <f>C56*1.5*H56</f>
        <v/>
      </c>
      <c r="J56" s="116" t="n"/>
      <c r="K56" s="1715">
        <f>C56*1.5*J56</f>
        <v/>
      </c>
      <c r="L56" s="116" t="n"/>
      <c r="M56" s="1715">
        <f>C56*1.75*L56</f>
        <v/>
      </c>
      <c r="N56" s="116" t="n"/>
      <c r="O56" s="1715">
        <f>C56*2*N56</f>
        <v/>
      </c>
      <c r="P56" s="1717" t="n"/>
      <c r="Q56" s="1717">
        <f>C56*2.25*P56</f>
        <v/>
      </c>
      <c r="R56" s="1717" t="n"/>
      <c r="S56" s="1711">
        <f>C56*2.5*R56</f>
        <v/>
      </c>
      <c r="T56" s="1717" t="n"/>
      <c r="U56" s="1717" t="n"/>
      <c r="V56" s="1717" t="n"/>
      <c r="W56" s="721" t="n"/>
      <c r="X56" s="1717">
        <f>W56*X52</f>
        <v/>
      </c>
      <c r="Y56" s="722" t="n"/>
      <c r="Z56" s="1715">
        <f>Z51*Y56</f>
        <v/>
      </c>
      <c r="AA56" s="116">
        <f>D56+F56+H56+J56+L56+N56</f>
        <v/>
      </c>
      <c r="AB56" s="1718">
        <f>E56+G56+I56+K56+M56+O56+Z56+X56+V56+T56</f>
        <v/>
      </c>
    </row>
    <row r="57" customFormat="1" s="90">
      <c r="A57" s="133" t="inlineStr">
        <is>
          <t>SHAIN</t>
        </is>
      </c>
      <c r="B57" s="588" t="inlineStr">
        <is>
          <t>Sal</t>
        </is>
      </c>
      <c r="C57" s="1714" t="n">
        <v>32.73</v>
      </c>
      <c r="D57" s="128" t="n"/>
      <c r="E57" s="1715">
        <f>C57*D57</f>
        <v/>
      </c>
      <c r="F57" s="116" t="n"/>
      <c r="G57" s="1715">
        <f>C57*1.25*F57</f>
        <v/>
      </c>
      <c r="H57" s="116" t="n"/>
      <c r="I57" s="1715">
        <f>C57*1.5*H57</f>
        <v/>
      </c>
      <c r="J57" s="116" t="n"/>
      <c r="K57" s="1715">
        <f>C57*1.5*J57</f>
        <v/>
      </c>
      <c r="L57" s="116" t="n"/>
      <c r="M57" s="1715">
        <f>C57*1.75*L57</f>
        <v/>
      </c>
      <c r="N57" s="116" t="n"/>
      <c r="O57" s="1715">
        <f>C57*2*N57</f>
        <v/>
      </c>
      <c r="P57" s="1717" t="n"/>
      <c r="Q57" s="1717">
        <f>C57*2.25*P57</f>
        <v/>
      </c>
      <c r="R57" s="1717" t="n"/>
      <c r="S57" s="1711">
        <f>C57*2.5*R57</f>
        <v/>
      </c>
      <c r="T57" s="1717" t="n"/>
      <c r="U57" s="1717" t="n"/>
      <c r="V57" s="1717" t="n"/>
      <c r="W57" s="721" t="n"/>
      <c r="X57" s="1717">
        <f>W57*X53</f>
        <v/>
      </c>
      <c r="Y57" s="722" t="n"/>
      <c r="Z57" s="1715">
        <f>Z52*Y57</f>
        <v/>
      </c>
      <c r="AA57" s="116">
        <f>D57+F57+H57+J57+L57+N57</f>
        <v/>
      </c>
      <c r="AB57" s="1718">
        <f>E57+G57+I57+K57+M57+O57+Z57+X57+V57+T57</f>
        <v/>
      </c>
    </row>
    <row r="58" customFormat="1" s="90">
      <c r="A58" s="133" t="inlineStr">
        <is>
          <t>Feige, Oliver</t>
        </is>
      </c>
      <c r="B58" s="588" t="inlineStr">
        <is>
          <t>cas</t>
        </is>
      </c>
      <c r="C58" s="1714" t="n">
        <v>15.51</v>
      </c>
      <c r="D58" s="1211" t="n"/>
      <c r="E58" s="1726">
        <f>C58*D58</f>
        <v/>
      </c>
      <c r="F58" s="116" t="n"/>
      <c r="G58" s="1715">
        <f>C58*1.25*F58</f>
        <v/>
      </c>
      <c r="H58" s="116" t="n"/>
      <c r="I58" s="1715">
        <f>C58*1.5*H58</f>
        <v/>
      </c>
      <c r="J58" s="116" t="n"/>
      <c r="K58" s="1715">
        <f>C58*1.5*J58</f>
        <v/>
      </c>
      <c r="L58" s="116" t="n"/>
      <c r="M58" s="1715">
        <f>C58*1.75*L58</f>
        <v/>
      </c>
      <c r="N58" s="116" t="n"/>
      <c r="O58" s="1715">
        <f>C58*2*N58</f>
        <v/>
      </c>
      <c r="P58" s="1174" t="n"/>
      <c r="Q58" s="1723">
        <f>C58*2.25*P58</f>
        <v/>
      </c>
      <c r="R58" s="1717" t="n"/>
      <c r="S58" s="1711">
        <f>C58*2.5*R58</f>
        <v/>
      </c>
      <c r="T58" s="1717" t="n"/>
      <c r="U58" s="1717" t="n"/>
      <c r="V58" s="1717" t="n"/>
      <c r="W58" s="721" t="n"/>
      <c r="X58" s="1717">
        <f>W58*X53</f>
        <v/>
      </c>
      <c r="Y58" s="722" t="n"/>
      <c r="Z58" s="1715">
        <f>Z52*Y58</f>
        <v/>
      </c>
      <c r="AA58" s="116">
        <f>D58+F58+H58+J58+L58+N58+P58</f>
        <v/>
      </c>
      <c r="AB58" s="1718">
        <f>S58+E58+G58+I58+K58+M58+O58+Z58+X58+V58+T58</f>
        <v/>
      </c>
    </row>
    <row r="59" customFormat="1" s="90">
      <c r="A59" s="133" t="inlineStr">
        <is>
          <t>FERNANDES,  Delisha</t>
        </is>
      </c>
      <c r="B59" s="588" t="inlineStr">
        <is>
          <t>SAL</t>
        </is>
      </c>
      <c r="C59" s="1714" t="n">
        <v>39.48</v>
      </c>
      <c r="D59" s="128" t="n"/>
      <c r="E59" s="1715">
        <f>C59*D59</f>
        <v/>
      </c>
      <c r="F59" s="1058" t="n"/>
      <c r="G59" s="1726">
        <f>C59*1.25*F59</f>
        <v/>
      </c>
      <c r="H59" s="1058" t="n"/>
      <c r="I59" s="1726">
        <f>C59*1.5*H59</f>
        <v/>
      </c>
      <c r="J59" s="1058" t="n"/>
      <c r="K59" s="1726">
        <f>C59*1.5*J59</f>
        <v/>
      </c>
      <c r="L59" s="1058" t="n"/>
      <c r="M59" s="1726">
        <f>C59*1.75*L59</f>
        <v/>
      </c>
      <c r="N59" s="1058" t="n"/>
      <c r="O59" s="1726">
        <f>C59*2*N59</f>
        <v/>
      </c>
      <c r="P59" s="1303" t="n"/>
      <c r="Q59" s="1734">
        <f>C59*2.25*P59</f>
        <v/>
      </c>
      <c r="R59" s="1723" t="n"/>
      <c r="S59" s="1723" t="n"/>
      <c r="T59" s="1717" t="n"/>
      <c r="U59" s="1717" t="n"/>
      <c r="V59" s="1717" t="n"/>
      <c r="W59" s="721" t="n"/>
      <c r="X59" s="1717">
        <f>W59*X53</f>
        <v/>
      </c>
      <c r="Y59" s="722" t="n"/>
      <c r="Z59" s="1715">
        <f>Z53*Y59</f>
        <v/>
      </c>
      <c r="AA59" s="116">
        <f>D59+F59+H59+J59+L59+N59+P59</f>
        <v/>
      </c>
      <c r="AB59" s="1718">
        <f>Q59+E59+G59+I59+K59+M59+O59+Z59+X59+V59+T59</f>
        <v/>
      </c>
    </row>
    <row r="60" hidden="1" s="2">
      <c r="A60" s="132" t="n"/>
      <c r="B60" s="589" t="n"/>
      <c r="C60" s="1719" t="n"/>
      <c r="D60" s="128" t="n"/>
      <c r="E60" s="1715">
        <f>C60*D60</f>
        <v/>
      </c>
      <c r="F60" s="116" t="n"/>
      <c r="G60" s="1715">
        <f>C60*1.25*F60</f>
        <v/>
      </c>
      <c r="H60" s="116" t="n"/>
      <c r="I60" s="1715">
        <f>C60*1.5*H60</f>
        <v/>
      </c>
      <c r="J60" s="116" t="n"/>
      <c r="K60" s="1715">
        <f>C60*1.5*J60</f>
        <v/>
      </c>
      <c r="L60" s="116" t="n"/>
      <c r="M60" s="1715">
        <f>C60*1.75*L60</f>
        <v/>
      </c>
      <c r="N60" s="116" t="n"/>
      <c r="O60" s="1715">
        <f>C60*2*N60</f>
        <v/>
      </c>
      <c r="P60" s="1717" t="n"/>
      <c r="Q60" s="1717" t="n"/>
      <c r="R60" s="1717" t="n"/>
      <c r="S60" s="1717" t="n"/>
      <c r="T60" s="1717" t="n"/>
      <c r="U60" s="1717" t="n"/>
      <c r="V60" s="1717" t="n"/>
      <c r="W60" s="721" t="n"/>
      <c r="X60" s="1717">
        <f>W60*X53</f>
        <v/>
      </c>
      <c r="Y60" s="722" t="n"/>
      <c r="Z60" s="1715">
        <f>Z52*Y60</f>
        <v/>
      </c>
      <c r="AA60" s="116">
        <f>D60+F60+H60+J60+L60+N60</f>
        <v/>
      </c>
      <c r="AB60" s="1718">
        <f>E60+G60+I60+K60+M60+O60+Z60+X60+V60+T60</f>
        <v/>
      </c>
    </row>
    <row r="61" hidden="1" s="2">
      <c r="C61" s="90" t="n"/>
      <c r="Z61" s="1715">
        <f>Z52*Y61</f>
        <v/>
      </c>
      <c r="AA61" s="116">
        <f>D61+F61+H61+J61+L61+N61</f>
        <v/>
      </c>
      <c r="AB61" s="1718">
        <f>E61+G61+I61+K61+M61+O61+Z61+X61+V61+T61</f>
        <v/>
      </c>
    </row>
    <row r="62" hidden="1" s="2">
      <c r="A62" s="133" t="inlineStr">
        <is>
          <t>Skye</t>
        </is>
      </c>
      <c r="B62" s="853" t="inlineStr">
        <is>
          <t>CASUAL</t>
        </is>
      </c>
      <c r="C62" s="1719" t="n">
        <v>20.82</v>
      </c>
      <c r="D62" s="793" t="n"/>
      <c r="E62" s="1726" t="n"/>
      <c r="F62" s="116" t="n"/>
      <c r="G62" s="1715">
        <f>C62*F62*1.25</f>
        <v/>
      </c>
      <c r="H62" s="116" t="n"/>
      <c r="I62" s="1715">
        <f>C62*1.5*H62</f>
        <v/>
      </c>
      <c r="J62" s="116" t="n"/>
      <c r="K62" s="1715">
        <f>C62*1.5*J62</f>
        <v/>
      </c>
      <c r="L62" s="116" t="n"/>
      <c r="M62" s="1715">
        <f>C62*1.75*L62</f>
        <v/>
      </c>
      <c r="N62" s="576" t="n"/>
      <c r="O62" s="1715">
        <f>C62*2*N62</f>
        <v/>
      </c>
      <c r="P62" s="1717" t="n"/>
      <c r="Q62" s="1717" t="n"/>
      <c r="R62" s="1717" t="n"/>
      <c r="S62" s="1717" t="n"/>
      <c r="T62" s="1717" t="n"/>
      <c r="U62" s="1717" t="n"/>
      <c r="V62" s="1717" t="n"/>
      <c r="W62" s="721" t="n"/>
      <c r="X62" s="1717">
        <f>X53*W62</f>
        <v/>
      </c>
      <c r="Y62" s="722" t="n"/>
      <c r="Z62" s="1715">
        <f>Z53*Y62</f>
        <v/>
      </c>
      <c r="AA62" s="116">
        <f>D62+F62+H62+J62+L62+N62</f>
        <v/>
      </c>
      <c r="AB62" s="1718">
        <f>E62+G62+I62+K62+M62+O62+Z62+X62+V62+T62</f>
        <v/>
      </c>
    </row>
    <row r="63" hidden="1" s="2">
      <c r="A63" s="132" t="inlineStr">
        <is>
          <t>Fico</t>
        </is>
      </c>
      <c r="B63" s="589" t="inlineStr">
        <is>
          <t>ROX</t>
        </is>
      </c>
      <c r="C63" s="1719" t="n">
        <v>20.82</v>
      </c>
      <c r="D63" s="128" t="n"/>
      <c r="E63" s="1715">
        <f>C63*D63</f>
        <v/>
      </c>
      <c r="F63" s="116" t="n"/>
      <c r="G63" s="1715">
        <f>C63*1.25*F63</f>
        <v/>
      </c>
      <c r="H63" s="116" t="n"/>
      <c r="I63" s="1715">
        <f>C63*1.5*H63</f>
        <v/>
      </c>
      <c r="J63" s="116" t="n"/>
      <c r="K63" s="1715">
        <f>C63*1.5*J63</f>
        <v/>
      </c>
      <c r="L63" s="116" t="n"/>
      <c r="M63" s="1715">
        <f>C63*1.75*L63</f>
        <v/>
      </c>
      <c r="N63" s="116" t="n"/>
      <c r="O63" s="1715">
        <f>C63*2*N63</f>
        <v/>
      </c>
      <c r="P63" s="1717" t="n"/>
      <c r="Q63" s="1717" t="n"/>
      <c r="R63" s="1717" t="n"/>
      <c r="S63" s="1717" t="n"/>
      <c r="T63" s="1717" t="n"/>
      <c r="U63" s="1717" t="n"/>
      <c r="V63" s="1717" t="n"/>
      <c r="W63" s="721" t="n"/>
      <c r="X63" s="1717">
        <f>X53*W63</f>
        <v/>
      </c>
      <c r="Y63" s="722" t="n"/>
      <c r="Z63" s="1715">
        <f>Z53*Y63</f>
        <v/>
      </c>
      <c r="AA63" s="116">
        <f>D63+F63+H63+J63+L63+N63</f>
        <v/>
      </c>
      <c r="AB63" s="1718">
        <f>E63+G63+I63+K63+M63+O63+Z63+X63+V63+T63</f>
        <v/>
      </c>
    </row>
    <row r="64">
      <c r="C64" s="90" t="n"/>
      <c r="AA64" s="454">
        <f>SUM(AA55:AA63)</f>
        <v/>
      </c>
      <c r="AB64" s="1721">
        <f>SUM(AB55:AB63)</f>
        <v/>
      </c>
    </row>
    <row r="65" ht="14.25" customHeight="1" s="2" thickBot="1">
      <c r="A65" t="inlineStr">
        <is>
          <t>Transfer IN from BH</t>
        </is>
      </c>
      <c r="C65" s="90" t="n"/>
    </row>
    <row r="66" ht="13.5" customFormat="1" customHeight="1" s="90" thickBot="1">
      <c r="A66" s="577" t="inlineStr">
        <is>
          <t>EMPLOYEE</t>
        </is>
      </c>
      <c r="B66" s="578" t="n"/>
      <c r="C66" s="579" t="inlineStr">
        <is>
          <t>RATE</t>
        </is>
      </c>
      <c r="D66" s="580" t="n">
        <v>1</v>
      </c>
      <c r="E66" s="581" t="inlineStr">
        <is>
          <t>$</t>
        </is>
      </c>
      <c r="F66" s="582" t="n">
        <v>1.25</v>
      </c>
      <c r="G66" s="581" t="inlineStr">
        <is>
          <t>$</t>
        </is>
      </c>
      <c r="H66" s="582" t="n">
        <v>1.5</v>
      </c>
      <c r="I66" s="581" t="inlineStr">
        <is>
          <t>$</t>
        </is>
      </c>
      <c r="J66" s="583" t="n">
        <v>1.5</v>
      </c>
      <c r="K66" s="581" t="inlineStr">
        <is>
          <t>$</t>
        </is>
      </c>
      <c r="L66" s="583" t="n">
        <v>1.75</v>
      </c>
      <c r="M66" s="581" t="inlineStr">
        <is>
          <t>$</t>
        </is>
      </c>
      <c r="N66" s="583" t="n">
        <v>2</v>
      </c>
      <c r="O66" s="581" t="inlineStr">
        <is>
          <t>$</t>
        </is>
      </c>
      <c r="P66" s="718" t="inlineStr">
        <is>
          <t>2.25</t>
        </is>
      </c>
      <c r="Q66" s="718" t="n"/>
      <c r="R66" s="930" t="inlineStr">
        <is>
          <t>2.5</t>
        </is>
      </c>
      <c r="S66" s="1735" t="n"/>
      <c r="T66" s="718" t="inlineStr">
        <is>
          <t>split</t>
        </is>
      </c>
      <c r="U66" s="718" t="inlineStr">
        <is>
          <t>sup</t>
        </is>
      </c>
      <c r="V66" s="718" t="inlineStr">
        <is>
          <t>laundry</t>
        </is>
      </c>
      <c r="W66" s="585" t="inlineStr">
        <is>
          <t>10-12am</t>
        </is>
      </c>
      <c r="X66" s="718" t="inlineStr">
        <is>
          <t>2.81</t>
        </is>
      </c>
      <c r="Y66" s="581" t="n"/>
      <c r="Z66" s="581" t="inlineStr">
        <is>
          <t>4.22</t>
        </is>
      </c>
      <c r="AA66" s="581" t="inlineStr">
        <is>
          <t>TOTAL</t>
        </is>
      </c>
      <c r="AB66" s="586" t="inlineStr">
        <is>
          <t xml:space="preserve">TOTAL </t>
        </is>
      </c>
    </row>
    <row r="67" customFormat="1" s="90">
      <c r="A67" s="131" t="n"/>
      <c r="B67" s="587" t="n"/>
      <c r="C67" s="1506" t="n"/>
      <c r="D67" s="906" t="n"/>
      <c r="E67" s="122" t="n"/>
      <c r="F67" s="1708" t="inlineStr">
        <is>
          <t>SAT</t>
        </is>
      </c>
      <c r="G67" s="124" t="n"/>
      <c r="H67" s="122" t="inlineStr">
        <is>
          <t>SUN</t>
        </is>
      </c>
      <c r="I67" s="1736" t="n"/>
      <c r="J67" s="124" t="inlineStr">
        <is>
          <t>O/T</t>
        </is>
      </c>
      <c r="K67" s="1737" t="n"/>
      <c r="L67" s="122" t="inlineStr">
        <is>
          <t>O/T</t>
        </is>
      </c>
      <c r="M67" s="1737" t="n"/>
      <c r="N67" s="909" t="inlineStr">
        <is>
          <t>O/T</t>
        </is>
      </c>
      <c r="O67" s="1738" t="n"/>
      <c r="P67" s="1739" t="n"/>
      <c r="Q67" s="1740" t="n"/>
      <c r="R67" s="1739" t="n"/>
      <c r="S67" s="1739" t="n"/>
      <c r="T67" s="1739" t="n"/>
      <c r="U67" s="1739" t="n"/>
      <c r="V67" s="1739" t="n"/>
      <c r="W67" s="914" t="n"/>
      <c r="X67" s="1717" t="n"/>
      <c r="Y67" s="126" t="n"/>
      <c r="Z67" s="1715" t="n"/>
      <c r="AA67" s="127" t="n"/>
      <c r="AB67" s="1718" t="n"/>
    </row>
    <row r="68" ht="15" customFormat="1" customHeight="1" s="90">
      <c r="A68" s="1440" t="inlineStr">
        <is>
          <t>LAMA,  Bishal</t>
        </is>
      </c>
      <c r="B68" s="588" t="n"/>
      <c r="C68" s="1719" t="n">
        <v>28.12</v>
      </c>
      <c r="D68" s="138" t="n"/>
      <c r="E68" s="1738">
        <f>C68*D68</f>
        <v/>
      </c>
      <c r="F68" s="917" t="n"/>
      <c r="G68" s="1738">
        <f>C68*1.25*F68</f>
        <v/>
      </c>
      <c r="H68" s="917" t="n"/>
      <c r="I68" s="1738">
        <f>C68*1.5*H68</f>
        <v/>
      </c>
      <c r="J68" s="917" t="n"/>
      <c r="K68" s="1738">
        <f>C68*1.5*J68</f>
        <v/>
      </c>
      <c r="L68" s="917" t="n"/>
      <c r="M68" s="1738">
        <f>C68*1.75*L68</f>
        <v/>
      </c>
      <c r="N68" s="917" t="n"/>
      <c r="O68" s="1738">
        <f>C68*2*N68</f>
        <v/>
      </c>
      <c r="P68" s="1740" t="n"/>
      <c r="Q68" s="1740">
        <f>C68*2.25*P68</f>
        <v/>
      </c>
      <c r="R68" s="1740" t="n"/>
      <c r="S68" s="1740" t="n">
        <v>0</v>
      </c>
      <c r="T68" s="1740" t="n"/>
      <c r="U68" s="1740" t="n"/>
      <c r="V68" s="1740" t="n"/>
      <c r="W68" s="915" t="n"/>
      <c r="X68" s="1717">
        <f>W68*X66</f>
        <v/>
      </c>
      <c r="Y68" s="576" t="n"/>
      <c r="Z68" s="1715">
        <f>Z66*Y68</f>
        <v/>
      </c>
      <c r="AA68" s="116">
        <f>D68+P68+R68+F68+H68+J68+L68+N68</f>
        <v/>
      </c>
      <c r="AB68" s="1718">
        <f>E68+G68+I68+K68+M68+O68+Z68+X68+V68+T68+Q68+S68</f>
        <v/>
      </c>
    </row>
    <row r="69" customFormat="1" s="90">
      <c r="A69" s="1439" t="inlineStr">
        <is>
          <t>PAKWAL, Ashim</t>
        </is>
      </c>
      <c r="B69" s="587" t="inlineStr">
        <is>
          <t>SAL</t>
        </is>
      </c>
      <c r="C69" s="1506" t="n">
        <v>37.45</v>
      </c>
      <c r="D69" s="1043" t="n"/>
      <c r="E69" s="1738">
        <f>C69*D69</f>
        <v/>
      </c>
      <c r="F69" s="916" t="n"/>
      <c r="G69" s="1738">
        <f>C69*1.25*F69</f>
        <v/>
      </c>
      <c r="H69" s="918" t="n"/>
      <c r="I69" s="1738">
        <f>C69*1.5*H69</f>
        <v/>
      </c>
      <c r="J69" s="919" t="n"/>
      <c r="K69" s="1738">
        <f>C69*1.5*J69</f>
        <v/>
      </c>
      <c r="L69" s="918" t="n"/>
      <c r="M69" s="1738">
        <f>C69*1.75*L69</f>
        <v/>
      </c>
      <c r="N69" s="920" t="n"/>
      <c r="O69" s="1738">
        <f>C69*2*N69</f>
        <v/>
      </c>
      <c r="P69" s="1739" t="n"/>
      <c r="Q69" s="1740">
        <f>C69*2.25*P69</f>
        <v/>
      </c>
      <c r="R69" s="1739" t="n"/>
      <c r="S69" s="1740">
        <f>C69*2.5*R69</f>
        <v/>
      </c>
      <c r="T69" s="1739" t="n"/>
      <c r="U69" s="1739" t="n"/>
      <c r="V69" s="1739" t="n"/>
      <c r="W69" s="914" t="n"/>
      <c r="X69" s="1717">
        <f>W69*X66</f>
        <v/>
      </c>
      <c r="Y69" s="126" t="n"/>
      <c r="Z69" s="1715">
        <f>Z66*Y69</f>
        <v/>
      </c>
      <c r="AA69" s="116">
        <f>D69+F69+H69+J69+L69+N69</f>
        <v/>
      </c>
      <c r="AB69" s="1718">
        <f>E69+G69+I69+K69+M69+O69+Z69+X69+V69+Q69+S69+T69+U69</f>
        <v/>
      </c>
    </row>
    <row r="70" customFormat="1" s="90">
      <c r="A70" s="1397" t="inlineStr">
        <is>
          <t>SEDHAI, Aayush</t>
        </is>
      </c>
      <c r="B70" s="587" t="inlineStr">
        <is>
          <t>SAL</t>
        </is>
      </c>
      <c r="C70" s="1506" t="n">
        <v>35.45</v>
      </c>
      <c r="D70" s="1043" t="n"/>
      <c r="E70" s="1738">
        <f>C70*D70</f>
        <v/>
      </c>
      <c r="F70" s="916" t="n"/>
      <c r="G70" s="1738">
        <f>C70*1.25*F70</f>
        <v/>
      </c>
      <c r="H70" s="918" t="n"/>
      <c r="I70" s="1738">
        <f>C70*1.5*H70</f>
        <v/>
      </c>
      <c r="J70" s="919" t="n"/>
      <c r="K70" s="1738">
        <f>C70*1.5*J70</f>
        <v/>
      </c>
      <c r="L70" s="918" t="n"/>
      <c r="M70" s="1738">
        <f>C70*1.75*L70</f>
        <v/>
      </c>
      <c r="N70" s="920" t="n"/>
      <c r="O70" s="1738">
        <f>C70*2*N70</f>
        <v/>
      </c>
      <c r="P70" s="1739" t="n"/>
      <c r="Q70" s="1740">
        <f>C70*2.25*P70</f>
        <v/>
      </c>
      <c r="R70" s="1739" t="n"/>
      <c r="S70" s="1740">
        <f>C70*2.5*R70</f>
        <v/>
      </c>
      <c r="T70" s="1739" t="n"/>
      <c r="U70" s="1739" t="n"/>
      <c r="V70" s="1739" t="n"/>
      <c r="W70" s="914" t="n"/>
      <c r="Y70" s="126" t="n"/>
      <c r="Z70" s="1715">
        <f>Z66*Y70</f>
        <v/>
      </c>
      <c r="AA70" s="116">
        <f>D70+F70+H70+J70+L70+N70+P70</f>
        <v/>
      </c>
      <c r="AB70" s="1718">
        <f>E70+G70+I70+K70+M70+O70+Z70+X73+V70+Q70+S70+T70+U70</f>
        <v/>
      </c>
    </row>
    <row r="71" customFormat="1" s="90">
      <c r="A71" s="1397" t="inlineStr">
        <is>
          <t>THAPA, Sonam</t>
        </is>
      </c>
      <c r="B71" s="587" t="n"/>
      <c r="C71" s="1506" t="n">
        <v>28.12</v>
      </c>
      <c r="D71" s="904" t="n"/>
      <c r="E71" s="1738">
        <f>C71*D71</f>
        <v/>
      </c>
      <c r="F71" s="916" t="n"/>
      <c r="G71" s="1738">
        <f>C71*1.25*F71</f>
        <v/>
      </c>
      <c r="H71" s="918" t="n"/>
      <c r="I71" s="1738">
        <f>C71*1.5*H71</f>
        <v/>
      </c>
      <c r="J71" s="919" t="n"/>
      <c r="K71" s="1738">
        <f>C71*1.5*J71</f>
        <v/>
      </c>
      <c r="L71" s="918" t="n"/>
      <c r="M71" s="1738">
        <f>C71*1.75*L71</f>
        <v/>
      </c>
      <c r="N71" s="920" t="n"/>
      <c r="O71" s="1738">
        <f>C71*2*N71</f>
        <v/>
      </c>
      <c r="P71" s="1739" t="n"/>
      <c r="Q71" s="1740">
        <f>C71*2.25*P71</f>
        <v/>
      </c>
      <c r="R71" s="1739" t="n"/>
      <c r="S71" s="1740">
        <f>C71*2.5*R71</f>
        <v/>
      </c>
      <c r="T71" s="1739" t="n"/>
      <c r="U71" s="1739" t="n"/>
      <c r="V71" s="1739" t="n"/>
      <c r="W71" s="914" t="n"/>
      <c r="X71" s="1717">
        <f>W71*X66</f>
        <v/>
      </c>
      <c r="Y71" s="126" t="n"/>
      <c r="Z71" s="1715">
        <f>Y71*Z66</f>
        <v/>
      </c>
      <c r="AA71" s="116">
        <f>D71+F71+H71+J72+L72+N72+P72</f>
        <v/>
      </c>
      <c r="AB71" s="1718">
        <f>E71+G71+I71+K72+M72+O72+Z71+X71+V71+Q72+T71+U71</f>
        <v/>
      </c>
    </row>
    <row r="72" customFormat="1" s="90">
      <c r="A72" s="1366" t="inlineStr">
        <is>
          <t>LAMA,  Bishal</t>
        </is>
      </c>
      <c r="B72" s="587" t="n"/>
      <c r="C72" s="1506" t="n">
        <v>24.76</v>
      </c>
      <c r="D72" s="1060" t="n"/>
      <c r="E72" s="1060" t="n"/>
      <c r="F72" s="1060" t="n"/>
      <c r="G72" s="1060" t="n"/>
      <c r="H72" s="1060" t="n"/>
      <c r="I72" s="1060" t="n"/>
      <c r="J72" s="919" t="n"/>
      <c r="K72" s="1738">
        <f>C72*1.5*J72</f>
        <v/>
      </c>
      <c r="L72" s="918" t="n"/>
      <c r="M72" s="1738">
        <f>C72*1.75*L72</f>
        <v/>
      </c>
      <c r="N72" s="920" t="n"/>
      <c r="O72" s="1738">
        <f>C72*2*N72</f>
        <v/>
      </c>
      <c r="P72" s="1739" t="n"/>
      <c r="Q72" s="1740">
        <f>C72*2.25*P72</f>
        <v/>
      </c>
      <c r="R72" s="1741" t="n"/>
      <c r="S72" s="1742">
        <f>C72*2.5*R72</f>
        <v/>
      </c>
      <c r="T72" s="1741" t="n"/>
      <c r="U72" s="1741" t="n"/>
      <c r="V72" s="1741" t="n"/>
      <c r="W72" s="1055" t="n"/>
      <c r="X72" s="1717">
        <f>W72*X67</f>
        <v/>
      </c>
      <c r="Y72" s="1057" t="n"/>
      <c r="Z72" s="1726" t="n"/>
      <c r="AA72" s="1058" t="n"/>
      <c r="AB72" s="1743" t="n"/>
    </row>
    <row r="73" customFormat="1" s="90">
      <c r="A73" s="133" t="inlineStr">
        <is>
          <t>Harsh</t>
        </is>
      </c>
      <c r="B73" s="588" t="n"/>
      <c r="C73" s="1719" t="n">
        <v>27.17</v>
      </c>
      <c r="D73" s="138" t="n"/>
      <c r="E73" s="1738">
        <f>C73*D73</f>
        <v/>
      </c>
      <c r="F73" s="917" t="n"/>
      <c r="G73" s="1738">
        <f>C73*1.25*F73</f>
        <v/>
      </c>
      <c r="H73" s="917" t="n"/>
      <c r="I73" s="1738">
        <f>C73*1.5*H73</f>
        <v/>
      </c>
      <c r="J73" s="917" t="n"/>
      <c r="K73" s="1738">
        <f>C73*1.5*J73</f>
        <v/>
      </c>
      <c r="L73" s="917" t="n"/>
      <c r="M73" s="1738">
        <f>C73*1.75*L73</f>
        <v/>
      </c>
      <c r="N73" s="917" t="n"/>
      <c r="O73" s="1738">
        <f>C73*2*N73</f>
        <v/>
      </c>
      <c r="P73" s="913" t="n"/>
      <c r="Q73" s="1740">
        <f>C73*2.25*P73</f>
        <v/>
      </c>
      <c r="R73" s="1740" t="n"/>
      <c r="S73" s="1740">
        <f>C73*2.5*R73</f>
        <v/>
      </c>
      <c r="T73" s="1740" t="n"/>
      <c r="U73" s="1740" t="n"/>
      <c r="V73" s="1740" t="n"/>
      <c r="W73" s="915" t="n"/>
      <c r="X73" s="1717">
        <f>W73*X66</f>
        <v/>
      </c>
      <c r="Y73" s="576" t="n"/>
      <c r="Z73" s="1715">
        <f>Y73*Z66</f>
        <v/>
      </c>
      <c r="AA73" s="116">
        <f>D73+P73+R73+F73+H73+J73+L73+N73</f>
        <v/>
      </c>
      <c r="AB73" s="1718">
        <f>E73+G73+I73+K73+M73+O73+Z73+X73+V73+Q73+S73+T73+U73</f>
        <v/>
      </c>
    </row>
    <row r="74" customFormat="1" s="90">
      <c r="A74" s="1366" t="inlineStr">
        <is>
          <t xml:space="preserve">Tuerah Caleb (Jr)  </t>
        </is>
      </c>
      <c r="B74" s="588" t="n"/>
      <c r="C74" s="1719" t="n">
        <v>12.97</v>
      </c>
      <c r="D74" s="138" t="n"/>
      <c r="E74" s="1738">
        <f>C74*D74</f>
        <v/>
      </c>
      <c r="F74" s="917" t="n"/>
      <c r="G74" s="1738">
        <f>C74*1.25*F74</f>
        <v/>
      </c>
      <c r="H74" s="917" t="n"/>
      <c r="I74" s="1738">
        <f>C74*1.5*H74</f>
        <v/>
      </c>
      <c r="J74" s="917" t="n"/>
      <c r="K74" s="1738">
        <f>C74*1.5*J74</f>
        <v/>
      </c>
      <c r="L74" s="917" t="n"/>
      <c r="M74" s="1738">
        <f>C74*1.75*L74</f>
        <v/>
      </c>
      <c r="N74" s="917" t="n"/>
      <c r="O74" s="1738">
        <f>C74*2*N74</f>
        <v/>
      </c>
      <c r="P74" s="913" t="n"/>
      <c r="Q74" s="1740">
        <f>C74*2.25*P74</f>
        <v/>
      </c>
      <c r="R74" s="1740" t="n"/>
      <c r="S74" s="1740">
        <f>C74*2.5*R74</f>
        <v/>
      </c>
      <c r="T74" s="1740" t="n"/>
      <c r="U74" s="1740" t="n"/>
      <c r="V74" s="1740" t="n"/>
      <c r="W74" s="915" t="n"/>
      <c r="X74" s="1717">
        <f>W74*X69</f>
        <v/>
      </c>
      <c r="Y74" s="576" t="n"/>
      <c r="Z74" s="1715">
        <f>Y74*Z66</f>
        <v/>
      </c>
      <c r="AA74" s="116">
        <f>D74+P74+R74+F74+H74+J74+L74+N74</f>
        <v/>
      </c>
      <c r="AB74" s="1718">
        <f>E74+G74+I74+K74+M74+O74+Z74+X74+V74+Q74+S74+T74+U74</f>
        <v/>
      </c>
    </row>
    <row r="75" customFormat="1" s="90">
      <c r="A75" s="133" t="inlineStr">
        <is>
          <t>KAUSHIK, Saloni</t>
        </is>
      </c>
      <c r="B75" s="588" t="n"/>
      <c r="C75" s="1719" t="n">
        <v>24.98</v>
      </c>
      <c r="D75" s="138" t="n"/>
      <c r="E75" s="1738">
        <f>C75*D75</f>
        <v/>
      </c>
      <c r="F75" s="917" t="n"/>
      <c r="G75" s="1738">
        <f>C75*1.25*F75</f>
        <v/>
      </c>
      <c r="H75" s="917" t="n"/>
      <c r="I75" s="1738">
        <f>C75*1.5*H75</f>
        <v/>
      </c>
      <c r="J75" s="917" t="n"/>
      <c r="K75" s="1738">
        <f>C75*1.5*J75</f>
        <v/>
      </c>
      <c r="L75" s="917" t="n"/>
      <c r="M75" s="1738">
        <f>C75*1.75*L75</f>
        <v/>
      </c>
      <c r="N75" s="917" t="n"/>
      <c r="O75" s="1738">
        <f>C75*2*N75</f>
        <v/>
      </c>
      <c r="P75" s="913" t="n"/>
      <c r="Q75" s="1740">
        <f>C75*2.25*P75</f>
        <v/>
      </c>
      <c r="R75" s="1740" t="n"/>
      <c r="S75" s="1740">
        <f>C75*2.5*R75</f>
        <v/>
      </c>
      <c r="T75" s="1740" t="n"/>
      <c r="U75" s="1740" t="n"/>
      <c r="V75" s="1740" t="n"/>
      <c r="W75" s="915" t="n"/>
      <c r="X75" s="1717">
        <f>W75*X66</f>
        <v/>
      </c>
      <c r="Y75" s="576" t="n"/>
      <c r="Z75" s="1715">
        <f>Y75*Z66</f>
        <v/>
      </c>
      <c r="AA75" s="116">
        <f>D75+P75+R75+F75+H75+J75+L75+N75</f>
        <v/>
      </c>
      <c r="AB75" s="1718">
        <f>E75+G75+I75+K75+M75+O75+Z75+X75+V75+Q75+S75+T75+U75</f>
        <v/>
      </c>
    </row>
    <row r="76" customFormat="1" s="90">
      <c r="A76" s="133" t="inlineStr">
        <is>
          <t xml:space="preserve">SHERPA, Sonam </t>
        </is>
      </c>
      <c r="B76" s="588" t="n"/>
      <c r="C76" s="1719" t="n">
        <v>25.8</v>
      </c>
      <c r="D76" s="138" t="n"/>
      <c r="E76" s="1738">
        <f>C76*D76</f>
        <v/>
      </c>
      <c r="F76" s="917" t="n"/>
      <c r="G76" s="1738">
        <f>C76*1.25*F76</f>
        <v/>
      </c>
      <c r="H76" s="917" t="n"/>
      <c r="I76" s="1738">
        <f>C76*1.5*H76</f>
        <v/>
      </c>
      <c r="J76" s="917" t="n"/>
      <c r="K76" s="1738">
        <f>C76*1.5*J76</f>
        <v/>
      </c>
      <c r="L76" s="917" t="n"/>
      <c r="M76" s="1738">
        <f>C76*1.75*L76</f>
        <v/>
      </c>
      <c r="N76" s="917" t="n"/>
      <c r="O76" s="1738">
        <f>C76*2*N76</f>
        <v/>
      </c>
      <c r="P76" s="913" t="n"/>
      <c r="Q76" s="1740">
        <f>C76*2.25*P76</f>
        <v/>
      </c>
      <c r="R76" s="1740" t="n"/>
      <c r="S76" s="1740" t="n">
        <v>0</v>
      </c>
      <c r="T76" s="1740" t="n"/>
      <c r="U76" s="1740" t="n"/>
      <c r="V76" s="1740" t="n"/>
      <c r="W76" s="915" t="n"/>
      <c r="X76" s="1717">
        <f>W76*X66</f>
        <v/>
      </c>
      <c r="Y76" s="576" t="n"/>
      <c r="Z76" s="1715">
        <f>Y76*Z66</f>
        <v/>
      </c>
      <c r="AA76" s="116">
        <f>D76+P76+R76+F76+H76+J76+L76+N76</f>
        <v/>
      </c>
      <c r="AB76" s="1718">
        <f>E76+G76+I76+K76+M76+O76+Z76+X76+V76+T76+Q76+S76</f>
        <v/>
      </c>
    </row>
    <row r="77">
      <c r="F77" t="inlineStr">
        <is>
          <t xml:space="preserve"> </t>
        </is>
      </c>
      <c r="N77" s="90" t="n"/>
      <c r="T77" s="1744" t="n"/>
      <c r="U77" s="1744" t="n"/>
      <c r="V77" s="1744" t="n"/>
      <c r="X77" s="1717">
        <f>W77*X68</f>
        <v/>
      </c>
      <c r="AA77" s="454">
        <f>SUM(AA67:AA76)</f>
        <v/>
      </c>
      <c r="AB77" s="1721">
        <f>SUM(AB67:AB76)</f>
        <v/>
      </c>
    </row>
    <row r="78">
      <c r="O78" s="878" t="n"/>
      <c r="P78" s="878" t="n"/>
      <c r="Q78" s="878" t="n"/>
      <c r="R78" s="878" t="n"/>
      <c r="S78" s="878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2019-04-15T22:03:42Z</dcterms:created>
  <dcterms:modified xmlns:dcterms="http://purl.org/dc/terms/" xmlns:xsi="http://www.w3.org/2001/XMLSchema-instance" xsi:type="dcterms:W3CDTF">2026-09-15T23:59:08Z</dcterms:modified>
  <cp:lastModifiedBy>Arno Pancakes</cp:lastModifiedBy>
  <cp:lastPrinted>2026-09-07T11:25:34Z</cp:lastPrinted>
</cp:coreProperties>
</file>