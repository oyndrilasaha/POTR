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TR-6\Box\The Rocks\CASH UP FOLDER\"/>
    </mc:Choice>
  </mc:AlternateContent>
  <xr:revisionPtr revIDLastSave="0" documentId="13_ncr:1_{29B84A24-7D71-4820-B2EE-48154ACAFA62}" xr6:coauthVersionLast="47" xr6:coauthVersionMax="47" xr10:uidLastSave="{00000000-0000-0000-0000-000000000000}"/>
  <bookViews>
    <workbookView xWindow="-120" yWindow="-120" windowWidth="29040" windowHeight="15720" xr2:uid="{DB606218-305C-40EC-8845-6D1F83784CF6}"/>
  </bookViews>
  <sheets>
    <sheet name="Sheet1" sheetId="1" r:id="rId1"/>
  </sheets>
  <definedNames>
    <definedName name="_xlnm.Print_Area" localSheetId="0">Sheet1!$A$1:$AA$46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36" i="1" l="1"/>
  <c r="P35" i="1"/>
  <c r="O36" i="1"/>
  <c r="O35" i="1"/>
  <c r="M36" i="1"/>
  <c r="L36" i="1"/>
  <c r="M35" i="1"/>
  <c r="L35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N27" i="1"/>
  <c r="N26" i="1"/>
  <c r="D35" i="1"/>
  <c r="D36" i="1"/>
  <c r="C35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9" i="1"/>
  <c r="U36" i="1"/>
  <c r="S36" i="1"/>
  <c r="U35" i="1"/>
  <c r="R36" i="1"/>
  <c r="R35" i="1"/>
  <c r="I35" i="1"/>
  <c r="S35" i="1"/>
  <c r="X27" i="1"/>
  <c r="F35" i="1"/>
  <c r="I36" i="1"/>
  <c r="F36" i="1"/>
  <c r="C36" i="1"/>
  <c r="V36" i="1"/>
  <c r="J36" i="1"/>
  <c r="G36" i="1"/>
  <c r="V35" i="1"/>
  <c r="J35" i="1"/>
  <c r="G35" i="1"/>
  <c r="X32" i="1"/>
  <c r="X31" i="1"/>
  <c r="X30" i="1"/>
  <c r="X29" i="1"/>
  <c r="X28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K36" i="1" l="1"/>
  <c r="O38" i="1"/>
  <c r="R38" i="1"/>
  <c r="Q35" i="1"/>
  <c r="T36" i="1"/>
  <c r="L38" i="1"/>
  <c r="N35" i="1"/>
  <c r="X36" i="1"/>
  <c r="C38" i="1"/>
  <c r="S38" i="1"/>
  <c r="T35" i="1"/>
  <c r="P38" i="1"/>
  <c r="J38" i="1"/>
  <c r="K35" i="1"/>
  <c r="G38" i="1"/>
  <c r="H36" i="1"/>
  <c r="H35" i="1"/>
  <c r="Y35" i="1"/>
  <c r="U38" i="1"/>
  <c r="N36" i="1"/>
  <c r="C2" i="1"/>
  <c r="F38" i="1"/>
  <c r="W35" i="1"/>
  <c r="X35" i="1"/>
  <c r="I38" i="1"/>
  <c r="D38" i="1"/>
  <c r="M38" i="1"/>
  <c r="C3" i="1"/>
  <c r="E35" i="1"/>
  <c r="Q36" i="1"/>
  <c r="E36" i="1"/>
  <c r="W36" i="1"/>
  <c r="V38" i="1"/>
  <c r="Y36" i="1"/>
  <c r="K38" i="1" l="1"/>
  <c r="X37" i="1"/>
  <c r="Q38" i="1"/>
  <c r="T38" i="1"/>
  <c r="N38" i="1"/>
  <c r="H38" i="1"/>
  <c r="E38" i="1"/>
  <c r="D3" i="1"/>
  <c r="W38" i="1"/>
  <c r="Z35" i="1"/>
  <c r="Y37" i="1"/>
  <c r="Z36" i="1"/>
  <c r="Z37" i="1" l="1"/>
</calcChain>
</file>

<file path=xl/sharedStrings.xml><?xml version="1.0" encoding="utf-8"?>
<sst xmlns="http://schemas.openxmlformats.org/spreadsheetml/2006/main" count="88" uniqueCount="49">
  <si>
    <t>WEDNESDAY</t>
  </si>
  <si>
    <t>THURSDAY</t>
  </si>
  <si>
    <t>FRIDAY</t>
  </si>
  <si>
    <t>SATURDAY</t>
  </si>
  <si>
    <t>SUNDAY</t>
  </si>
  <si>
    <t>8.00am - 9.00am</t>
  </si>
  <si>
    <t>9.00am - 10.00am</t>
  </si>
  <si>
    <t>10.00am - 11.00am</t>
  </si>
  <si>
    <t>11.00am - 12.00pm</t>
  </si>
  <si>
    <t>12.00pm - 1.00pm</t>
  </si>
  <si>
    <t>1.00pm - 2.00pm</t>
  </si>
  <si>
    <t>4.00pm - 5.00pm</t>
  </si>
  <si>
    <t>5.00pm - 6.00pm</t>
  </si>
  <si>
    <t>6.00pm - 7.00pm</t>
  </si>
  <si>
    <t>7.00pm - 8.00pm</t>
  </si>
  <si>
    <t>8.00pm - 9.00pm</t>
  </si>
  <si>
    <t>9.00pm - 10.00pm</t>
  </si>
  <si>
    <t>10.00pm - 11.00pm</t>
  </si>
  <si>
    <t>12.00am - 1.00pm</t>
  </si>
  <si>
    <t>1.00am - 2.00am</t>
  </si>
  <si>
    <t>2.00am - 3.00am</t>
  </si>
  <si>
    <t>3.00am - 4.00am</t>
  </si>
  <si>
    <t>4.00am - 5.00am</t>
  </si>
  <si>
    <t>5.00am - 6.00am</t>
  </si>
  <si>
    <t>6.00am - 7.00am</t>
  </si>
  <si>
    <t>Total</t>
  </si>
  <si>
    <t>Day</t>
  </si>
  <si>
    <t>Night</t>
  </si>
  <si>
    <t xml:space="preserve">Projected </t>
  </si>
  <si>
    <t xml:space="preserve">Actual </t>
  </si>
  <si>
    <t xml:space="preserve">Projected vs Actual </t>
  </si>
  <si>
    <t>Projected CC Total</t>
  </si>
  <si>
    <t>Actual CC Total</t>
  </si>
  <si>
    <t>11.00pm- 12.00am</t>
  </si>
  <si>
    <t>3.00pm -4.00pm</t>
  </si>
  <si>
    <t>2.00pm-3.00pm</t>
  </si>
  <si>
    <t>variance</t>
  </si>
  <si>
    <t>vraiance</t>
  </si>
  <si>
    <t>adjusted</t>
  </si>
  <si>
    <t>Monday</t>
  </si>
  <si>
    <t>projected</t>
  </si>
  <si>
    <t xml:space="preserve"> </t>
  </si>
  <si>
    <t xml:space="preserve">    </t>
  </si>
  <si>
    <t>|Bookings</t>
  </si>
  <si>
    <t>7.00am - 8.00am</t>
  </si>
  <si>
    <t>TL/HR</t>
  </si>
  <si>
    <t>TUESDAY</t>
  </si>
  <si>
    <t>NO of Titanic In</t>
  </si>
  <si>
    <t>CC 14.09.2026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</si>
</sst>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7"/>
      <name val="Arial"/>
      <family val="2"/>
    </font>
    <font>
      <b/>
      <sz val="10"/>
      <color indexed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color theme="1"/>
      <name val="Arial"/>
      <family val="2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u/>
      <sz val="11"/>
      <color theme="1"/>
      <name val="Calibri"/>
      <family val="2"/>
      <scheme val="minor"/>
    </font>
    <font>
      <sz val="7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12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2" borderId="0" xfId="0" applyFill="1"/>
    <xf numFmtId="0" fontId="0" fillId="4" borderId="0" xfId="0" applyFill="1"/>
    <xf numFmtId="0" fontId="3" fillId="4" borderId="0" xfId="0" applyFont="1" applyFill="1"/>
    <xf numFmtId="0" fontId="1" fillId="4" borderId="0" xfId="0" applyFont="1" applyFill="1"/>
    <xf numFmtId="0" fontId="8" fillId="0" borderId="0" xfId="0" applyFont="1"/>
    <xf numFmtId="0" fontId="5" fillId="4" borderId="0" xfId="0" applyFont="1" applyFill="1"/>
    <xf numFmtId="0" fontId="4" fillId="4" borderId="0" xfId="0" applyFont="1" applyFill="1"/>
    <xf numFmtId="0" fontId="6" fillId="4" borderId="0" xfId="0" applyFont="1" applyFill="1"/>
    <xf numFmtId="0" fontId="10" fillId="0" borderId="0" xfId="0" applyFont="1"/>
    <xf numFmtId="0" fontId="11" fillId="0" borderId="0" xfId="0" applyFont="1"/>
    <xf numFmtId="1" fontId="10" fillId="0" borderId="0" xfId="0" applyNumberFormat="1" applyFont="1"/>
    <xf numFmtId="0" fontId="0" fillId="4" borderId="6" xfId="0" applyFill="1" applyBorder="1"/>
    <xf numFmtId="0" fontId="0" fillId="4" borderId="8" xfId="0" applyFill="1" applyBorder="1"/>
    <xf numFmtId="1" fontId="1" fillId="0" borderId="0" xfId="0" applyNumberFormat="1" applyFont="1"/>
    <xf numFmtId="0" fontId="0" fillId="4" borderId="7" xfId="0" applyFill="1" applyBorder="1"/>
    <xf numFmtId="0" fontId="0" fillId="4" borderId="3" xfId="0" applyFill="1" applyBorder="1"/>
    <xf numFmtId="1" fontId="0" fillId="4" borderId="3" xfId="0" applyNumberFormat="1" applyFill="1" applyBorder="1"/>
    <xf numFmtId="0" fontId="3" fillId="4" borderId="4" xfId="0" applyFont="1" applyFill="1" applyBorder="1"/>
    <xf numFmtId="0" fontId="5" fillId="4" borderId="11" xfId="0" applyFont="1" applyFill="1" applyBorder="1"/>
    <xf numFmtId="0" fontId="5" fillId="4" borderId="12" xfId="0" applyFont="1" applyFill="1" applyBorder="1"/>
    <xf numFmtId="0" fontId="0" fillId="4" borderId="13" xfId="0" applyFill="1" applyBorder="1"/>
    <xf numFmtId="0" fontId="5" fillId="4" borderId="13" xfId="0" applyFont="1" applyFill="1" applyBorder="1"/>
    <xf numFmtId="1" fontId="5" fillId="4" borderId="11" xfId="0" applyNumberFormat="1" applyFont="1" applyFill="1" applyBorder="1"/>
    <xf numFmtId="1" fontId="0" fillId="5" borderId="2" xfId="0" applyNumberFormat="1" applyFill="1" applyBorder="1"/>
    <xf numFmtId="1" fontId="0" fillId="5" borderId="5" xfId="0" applyNumberFormat="1" applyFill="1" applyBorder="1"/>
    <xf numFmtId="0" fontId="1" fillId="4" borderId="1" xfId="0" applyFont="1" applyFill="1" applyBorder="1" applyProtection="1">
      <protection locked="0"/>
    </xf>
    <xf numFmtId="0" fontId="1" fillId="4" borderId="14" xfId="0" applyFont="1" applyFill="1" applyBorder="1" applyProtection="1">
      <protection locked="0"/>
    </xf>
    <xf numFmtId="0" fontId="12" fillId="4" borderId="0" xfId="0" applyFont="1" applyFill="1"/>
    <xf numFmtId="1" fontId="0" fillId="5" borderId="7" xfId="0" applyNumberFormat="1" applyFill="1" applyBorder="1"/>
    <xf numFmtId="0" fontId="16" fillId="0" borderId="0" xfId="1"/>
    <xf numFmtId="0" fontId="5" fillId="6" borderId="0" xfId="0" applyFont="1" applyFill="1"/>
    <xf numFmtId="0" fontId="7" fillId="6" borderId="0" xfId="0" applyFont="1" applyFill="1"/>
    <xf numFmtId="0" fontId="2" fillId="4" borderId="12" xfId="0" applyFont="1" applyFill="1" applyBorder="1" applyAlignment="1">
      <alignment horizontal="center"/>
    </xf>
    <xf numFmtId="0" fontId="0" fillId="0" borderId="19" xfId="0" applyBorder="1"/>
    <xf numFmtId="0" fontId="0" fillId="0" borderId="18" xfId="0" applyBorder="1"/>
    <xf numFmtId="1" fontId="0" fillId="0" borderId="20" xfId="0" applyNumberFormat="1" applyBorder="1"/>
    <xf numFmtId="0" fontId="0" fillId="0" borderId="15" xfId="0" applyBorder="1"/>
    <xf numFmtId="1" fontId="0" fillId="0" borderId="17" xfId="0" applyNumberFormat="1" applyBorder="1"/>
    <xf numFmtId="0" fontId="2" fillId="4" borderId="11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17" fillId="4" borderId="0" xfId="0" applyFont="1" applyFill="1"/>
    <xf numFmtId="0" fontId="15" fillId="4" borderId="0" xfId="0" applyFont="1" applyFill="1"/>
    <xf numFmtId="0" fontId="18" fillId="4" borderId="0" xfId="0" applyFont="1" applyFill="1"/>
    <xf numFmtId="0" fontId="0" fillId="0" borderId="8" xfId="0" applyBorder="1"/>
    <xf numFmtId="0" fontId="1" fillId="9" borderId="1" xfId="0" applyFont="1" applyFill="1" applyBorder="1" applyProtection="1">
      <protection locked="0"/>
    </xf>
    <xf numFmtId="0" fontId="1" fillId="9" borderId="14" xfId="0" applyFont="1" applyFill="1" applyBorder="1" applyProtection="1">
      <protection locked="0"/>
    </xf>
    <xf numFmtId="1" fontId="14" fillId="6" borderId="17" xfId="0" applyNumberFormat="1" applyFont="1" applyFill="1" applyBorder="1" applyProtection="1">
      <protection locked="0"/>
    </xf>
    <xf numFmtId="1" fontId="14" fillId="9" borderId="9" xfId="0" applyNumberFormat="1" applyFont="1" applyFill="1" applyBorder="1" applyProtection="1">
      <protection locked="0"/>
    </xf>
    <xf numFmtId="1" fontId="14" fillId="9" borderId="18" xfId="0" applyNumberFormat="1" applyFont="1" applyFill="1" applyBorder="1" applyProtection="1">
      <protection locked="0"/>
    </xf>
    <xf numFmtId="1" fontId="0" fillId="5" borderId="8" xfId="0" applyNumberFormat="1" applyFill="1" applyBorder="1"/>
    <xf numFmtId="0" fontId="0" fillId="8" borderId="30" xfId="0" applyFill="1" applyBorder="1"/>
    <xf numFmtId="0" fontId="0" fillId="8" borderId="31" xfId="0" applyFill="1" applyBorder="1"/>
    <xf numFmtId="0" fontId="0" fillId="8" borderId="32" xfId="0" applyFill="1" applyBorder="1"/>
    <xf numFmtId="0" fontId="0" fillId="8" borderId="33" xfId="0" applyFill="1" applyBorder="1"/>
    <xf numFmtId="0" fontId="0" fillId="8" borderId="34" xfId="0" applyFill="1" applyBorder="1"/>
    <xf numFmtId="0" fontId="0" fillId="8" borderId="3" xfId="0" applyFill="1" applyBorder="1"/>
    <xf numFmtId="1" fontId="1" fillId="9" borderId="10" xfId="0" applyNumberFormat="1" applyFont="1" applyFill="1" applyBorder="1" applyProtection="1">
      <protection locked="0"/>
    </xf>
    <xf numFmtId="1" fontId="1" fillId="9" borderId="19" xfId="0" applyNumberFormat="1" applyFont="1" applyFill="1" applyBorder="1" applyProtection="1">
      <protection locked="0"/>
    </xf>
    <xf numFmtId="0" fontId="9" fillId="4" borderId="8" xfId="0" applyFont="1" applyFill="1" applyBorder="1"/>
    <xf numFmtId="0" fontId="9" fillId="4" borderId="0" xfId="0" applyFont="1" applyFill="1" applyAlignment="1">
      <alignment horizontal="center"/>
    </xf>
    <xf numFmtId="0" fontId="11" fillId="10" borderId="0" xfId="0" applyFont="1" applyFill="1"/>
    <xf numFmtId="0" fontId="1" fillId="10" borderId="0" xfId="0" applyFont="1" applyFill="1"/>
    <xf numFmtId="1" fontId="0" fillId="4" borderId="8" xfId="0" applyNumberFormat="1" applyFill="1" applyBorder="1"/>
    <xf numFmtId="0" fontId="0" fillId="0" borderId="14" xfId="0" applyBorder="1"/>
    <xf numFmtId="1" fontId="0" fillId="0" borderId="35" xfId="0" applyNumberFormat="1" applyBorder="1"/>
    <xf numFmtId="0" fontId="0" fillId="0" borderId="36" xfId="0" applyBorder="1"/>
    <xf numFmtId="0" fontId="0" fillId="0" borderId="37" xfId="0" applyBorder="1"/>
    <xf numFmtId="1" fontId="1" fillId="9" borderId="20" xfId="0" applyNumberFormat="1" applyFont="1" applyFill="1" applyBorder="1" applyProtection="1">
      <protection locked="0"/>
    </xf>
    <xf numFmtId="0" fontId="1" fillId="9" borderId="15" xfId="0" applyFont="1" applyFill="1" applyBorder="1" applyProtection="1">
      <protection locked="0"/>
    </xf>
    <xf numFmtId="1" fontId="14" fillId="9" borderId="17" xfId="0" applyNumberFormat="1" applyFont="1" applyFill="1" applyBorder="1" applyProtection="1">
      <protection locked="0"/>
    </xf>
    <xf numFmtId="1" fontId="1" fillId="9" borderId="38" xfId="0" applyNumberFormat="1" applyFont="1" applyFill="1" applyBorder="1" applyProtection="1">
      <protection locked="0"/>
    </xf>
    <xf numFmtId="1" fontId="14" fillId="9" borderId="1" xfId="0" applyNumberFormat="1" applyFont="1" applyFill="1" applyBorder="1" applyProtection="1">
      <protection locked="0"/>
    </xf>
    <xf numFmtId="0" fontId="9" fillId="4" borderId="0" xfId="0" applyFont="1" applyFill="1"/>
    <xf numFmtId="1" fontId="1" fillId="9" borderId="1" xfId="0" applyNumberFormat="1" applyFont="1" applyFill="1" applyBorder="1" applyProtection="1">
      <protection locked="0"/>
    </xf>
    <xf numFmtId="1" fontId="1" fillId="9" borderId="15" xfId="0" applyNumberFormat="1" applyFont="1" applyFill="1" applyBorder="1" applyProtection="1">
      <protection locked="0"/>
    </xf>
    <xf numFmtId="1" fontId="14" fillId="9" borderId="15" xfId="0" applyNumberFormat="1" applyFont="1" applyFill="1" applyBorder="1" applyProtection="1">
      <protection locked="0"/>
    </xf>
    <xf numFmtId="1" fontId="14" fillId="6" borderId="9" xfId="0" applyNumberFormat="1" applyFont="1" applyFill="1" applyBorder="1" applyProtection="1">
      <protection locked="0"/>
    </xf>
    <xf numFmtId="1" fontId="14" fillId="6" borderId="18" xfId="0" applyNumberFormat="1" applyFont="1" applyFill="1" applyBorder="1" applyProtection="1">
      <protection locked="0"/>
    </xf>
    <xf numFmtId="0" fontId="1" fillId="4" borderId="15" xfId="0" applyFont="1" applyFill="1" applyBorder="1" applyProtection="1">
      <protection locked="0"/>
    </xf>
    <xf numFmtId="1" fontId="14" fillId="9" borderId="40" xfId="0" applyNumberFormat="1" applyFont="1" applyFill="1" applyBorder="1" applyProtection="1">
      <protection locked="0"/>
    </xf>
    <xf numFmtId="1" fontId="14" fillId="9" borderId="41" xfId="0" applyNumberFormat="1" applyFont="1" applyFill="1" applyBorder="1" applyProtection="1">
      <protection locked="0"/>
    </xf>
    <xf numFmtId="1" fontId="1" fillId="9" borderId="42" xfId="0" applyNumberFormat="1" applyFont="1" applyFill="1" applyBorder="1" applyProtection="1">
      <protection locked="0"/>
    </xf>
    <xf numFmtId="0" fontId="2" fillId="4" borderId="1" xfId="0" applyFont="1" applyFill="1" applyBorder="1" applyAlignment="1">
      <alignment horizontal="center"/>
    </xf>
    <xf numFmtId="0" fontId="13" fillId="6" borderId="10" xfId="0" applyFont="1" applyFill="1" applyBorder="1" applyAlignment="1">
      <alignment horizontal="center"/>
    </xf>
    <xf numFmtId="0" fontId="13" fillId="6" borderId="9" xfId="0" applyFont="1" applyFill="1" applyBorder="1" applyAlignment="1">
      <alignment horizontal="center"/>
    </xf>
    <xf numFmtId="0" fontId="13" fillId="6" borderId="38" xfId="0" applyFont="1" applyFill="1" applyBorder="1" applyAlignment="1">
      <alignment horizontal="center"/>
    </xf>
    <xf numFmtId="0" fontId="15" fillId="4" borderId="0" xfId="0" applyFont="1" applyFill="1" applyAlignment="1">
      <alignment horizontal="center"/>
    </xf>
    <xf numFmtId="0" fontId="1" fillId="12" borderId="1" xfId="0" applyFont="1" applyFill="1" applyBorder="1" applyProtection="1">
      <protection locked="0"/>
    </xf>
    <xf numFmtId="0" fontId="1" fillId="11" borderId="1" xfId="0" applyFont="1" applyFill="1" applyBorder="1" applyProtection="1">
      <protection locked="0"/>
    </xf>
    <xf numFmtId="0" fontId="0" fillId="4" borderId="24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10" fillId="0" borderId="0" xfId="0" applyFont="1" applyAlignment="1">
      <alignment horizontal="center"/>
    </xf>
    <xf numFmtId="0" fontId="9" fillId="10" borderId="8" xfId="0" applyFont="1" applyFill="1" applyBorder="1" applyAlignment="1">
      <alignment horizontal="center"/>
    </xf>
    <xf numFmtId="0" fontId="15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5" fillId="4" borderId="0" xfId="0" applyFont="1" applyFill="1" applyAlignment="1">
      <alignment horizontal="right"/>
    </xf>
    <xf numFmtId="0" fontId="20" fillId="0" borderId="0" xfId="0" applyFont="1"/>
    <xf numFmtId="0" fontId="0" fillId="4" borderId="21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19" fillId="4" borderId="5" xfId="0" applyFont="1" applyFill="1" applyBorder="1" applyAlignment="1">
      <alignment horizontal="left"/>
    </xf>
    <xf numFmtId="0" fontId="19" fillId="4" borderId="8" xfId="0" applyFont="1" applyFill="1" applyBorder="1" applyAlignment="1">
      <alignment horizontal="left"/>
    </xf>
    <xf numFmtId="0" fontId="19" fillId="4" borderId="6" xfId="0" applyFont="1" applyFill="1" applyBorder="1" applyAlignment="1">
      <alignment horizontal="left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0" xfId="0" applyAlignment="1">
      <alignment horizontal="center"/>
    </xf>
    <xf numFmtId="0" fontId="9" fillId="7" borderId="43" xfId="0" applyFont="1" applyFill="1" applyBorder="1" applyAlignment="1">
      <alignment horizontal="center"/>
    </xf>
    <xf numFmtId="0" fontId="9" fillId="7" borderId="44" xfId="0" applyFont="1" applyFill="1" applyBorder="1" applyAlignment="1">
      <alignment horizontal="center"/>
    </xf>
    <xf numFmtId="0" fontId="9" fillId="7" borderId="30" xfId="0" applyFont="1" applyFill="1" applyBorder="1" applyAlignment="1">
      <alignment horizontal="center"/>
    </xf>
    <xf numFmtId="0" fontId="1" fillId="7" borderId="21" xfId="0" applyFont="1" applyFill="1" applyBorder="1" applyAlignment="1">
      <alignment horizontal="center"/>
    </xf>
    <xf numFmtId="0" fontId="1" fillId="7" borderId="22" xfId="0" applyFont="1" applyFill="1" applyBorder="1" applyAlignment="1">
      <alignment horizontal="center"/>
    </xf>
    <xf numFmtId="0" fontId="1" fillId="7" borderId="23" xfId="0" applyFont="1" applyFill="1" applyBorder="1" applyAlignment="1">
      <alignment horizontal="center"/>
    </xf>
    <xf numFmtId="0" fontId="1" fillId="7" borderId="3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C00CC"/>
      <color rgb="FFFA9888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3A0B1-D4D1-4FC9-B8B7-7D42BD7DA11F}">
  <sheetPr>
    <pageSetUpPr fitToPage="1"/>
  </sheetPr>
  <dimension ref="A1:AK48"/>
  <sheetViews>
    <sheetView tabSelected="1" view="pageBreakPreview" zoomScale="90" zoomScaleNormal="90" zoomScaleSheetLayoutView="90" workbookViewId="0">
      <selection activeCell="V26" sqref="V26"/>
    </sheetView>
  </sheetViews>
  <sheetFormatPr defaultRowHeight="15" x14ac:dyDescent="0.25"/>
  <cols>
    <col min="1" max="1" width="6.140625" customWidth="1"/>
    <col min="2" max="2" width="13.85546875" customWidth="1"/>
    <col min="3" max="14" width="6.7109375" customWidth="1"/>
    <col min="15" max="15" width="6.5703125" customWidth="1"/>
    <col min="16" max="19" width="6.7109375" customWidth="1"/>
    <col min="20" max="20" width="7.7109375" bestFit="1" customWidth="1"/>
    <col min="21" max="22" width="6.7109375" customWidth="1"/>
    <col min="23" max="23" width="7.85546875" customWidth="1"/>
    <col min="24" max="25" width="6.7109375" customWidth="1"/>
    <col min="26" max="26" width="9.85546875" customWidth="1"/>
    <col min="27" max="27" width="6.7109375" customWidth="1"/>
    <col min="28" max="28" width="7.85546875" customWidth="1"/>
    <col min="29" max="29" width="9.85546875" customWidth="1"/>
  </cols>
  <sheetData>
    <row r="1" spans="1:24" x14ac:dyDescent="0.25">
      <c r="A1" s="100" t="s">
        <v>48</v>
      </c>
      <c r="B1" s="100"/>
      <c r="C1" s="100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4" ht="15" customHeight="1" x14ac:dyDescent="0.25">
      <c r="A2" s="15" t="s">
        <v>31</v>
      </c>
      <c r="C2" s="17">
        <f>SUM(C35+C36+F35+F36+I35+I36+L35+L36+O35+O36+R35+R36+U35+U36)</f>
        <v>4680</v>
      </c>
      <c r="F2" s="10"/>
      <c r="G2" s="8"/>
      <c r="H2" s="48"/>
      <c r="I2" s="49"/>
      <c r="J2" s="48"/>
      <c r="K2" s="48"/>
      <c r="L2" s="48"/>
      <c r="M2" s="48"/>
      <c r="N2" s="48"/>
      <c r="O2" s="50"/>
      <c r="P2" s="34"/>
      <c r="Q2" s="34"/>
      <c r="R2" s="34"/>
      <c r="S2" s="34"/>
      <c r="T2" s="34"/>
      <c r="U2" s="8"/>
      <c r="V2" s="8"/>
      <c r="W2" s="8"/>
    </row>
    <row r="3" spans="1:24" ht="15" customHeight="1" x14ac:dyDescent="0.25">
      <c r="A3" s="16" t="s">
        <v>32</v>
      </c>
      <c r="B3" s="1"/>
      <c r="C3" s="1">
        <f>SUM(D35+D36+G35+G36+J35+J36+M35+M36+P36+P35+S35+S36+V36+V35)</f>
        <v>4266</v>
      </c>
      <c r="D3" s="20">
        <f>C3-C2</f>
        <v>-414</v>
      </c>
      <c r="E3" s="1"/>
      <c r="F3" s="103"/>
      <c r="G3" s="103"/>
      <c r="H3" s="103"/>
      <c r="I3" s="102"/>
      <c r="J3" s="102"/>
      <c r="K3" s="102"/>
      <c r="L3" s="49"/>
      <c r="M3" s="49"/>
      <c r="N3" s="49"/>
      <c r="O3" s="49"/>
      <c r="P3" s="49"/>
      <c r="Q3" s="49"/>
      <c r="R3" s="49"/>
      <c r="S3" s="102"/>
      <c r="T3" s="102"/>
      <c r="U3" s="102"/>
      <c r="V3" s="102"/>
      <c r="W3" s="102"/>
      <c r="X3" s="80"/>
    </row>
    <row r="4" spans="1:24" ht="15" customHeight="1" x14ac:dyDescent="0.25">
      <c r="A4" s="16"/>
      <c r="B4" s="1"/>
      <c r="C4" s="103"/>
      <c r="D4" s="103"/>
      <c r="E4" s="103"/>
      <c r="F4" s="103"/>
      <c r="G4" s="103"/>
      <c r="H4" s="103"/>
      <c r="I4" s="103"/>
      <c r="J4" s="103"/>
      <c r="K4" s="103"/>
      <c r="L4" s="49"/>
      <c r="M4" s="49"/>
      <c r="N4" s="49"/>
      <c r="O4" s="49"/>
      <c r="P4" s="49"/>
      <c r="Q4" s="49"/>
      <c r="R4" s="49"/>
      <c r="S4" s="94"/>
      <c r="T4" s="94"/>
      <c r="U4" s="94"/>
      <c r="V4" s="94"/>
      <c r="W4" s="94"/>
      <c r="X4" s="80"/>
    </row>
    <row r="5" spans="1:24" ht="15" customHeight="1" x14ac:dyDescent="0.25">
      <c r="A5" s="16"/>
      <c r="B5" s="1"/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49"/>
      <c r="V5" s="49"/>
      <c r="W5" s="49"/>
      <c r="X5" s="67"/>
    </row>
    <row r="6" spans="1:24" ht="15.75" customHeight="1" thickBot="1" x14ac:dyDescent="0.3">
      <c r="A6" s="68" t="s">
        <v>47</v>
      </c>
      <c r="B6" s="69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66"/>
    </row>
    <row r="7" spans="1:24" ht="15" customHeight="1" thickBot="1" x14ac:dyDescent="0.3">
      <c r="A7" s="1"/>
      <c r="B7" s="1"/>
      <c r="C7" s="119" t="s">
        <v>46</v>
      </c>
      <c r="D7" s="120"/>
      <c r="E7" s="121"/>
      <c r="F7" s="122" t="s">
        <v>0</v>
      </c>
      <c r="G7" s="123"/>
      <c r="H7" s="124"/>
      <c r="I7" s="122" t="s">
        <v>1</v>
      </c>
      <c r="J7" s="123"/>
      <c r="K7" s="124"/>
      <c r="L7" s="122" t="s">
        <v>2</v>
      </c>
      <c r="M7" s="123"/>
      <c r="N7" s="124"/>
      <c r="O7" s="122" t="s">
        <v>3</v>
      </c>
      <c r="P7" s="123"/>
      <c r="Q7" s="124"/>
      <c r="R7" s="125" t="s">
        <v>4</v>
      </c>
      <c r="S7" s="123"/>
      <c r="T7" s="124"/>
      <c r="U7" s="122" t="s">
        <v>39</v>
      </c>
      <c r="V7" s="123"/>
      <c r="W7" s="124"/>
      <c r="X7" s="63" t="s">
        <v>45</v>
      </c>
    </row>
    <row r="8" spans="1:24" ht="15" customHeight="1" thickBot="1" x14ac:dyDescent="0.3">
      <c r="A8" s="2"/>
      <c r="B8" s="2"/>
      <c r="C8" s="91" t="s">
        <v>40</v>
      </c>
      <c r="D8" s="90" t="s">
        <v>29</v>
      </c>
      <c r="E8" s="92" t="s">
        <v>36</v>
      </c>
      <c r="F8" s="91" t="s">
        <v>40</v>
      </c>
      <c r="G8" s="90" t="s">
        <v>29</v>
      </c>
      <c r="H8" s="92" t="s">
        <v>36</v>
      </c>
      <c r="I8" s="91" t="s">
        <v>40</v>
      </c>
      <c r="J8" s="90" t="s">
        <v>29</v>
      </c>
      <c r="K8" s="92" t="s">
        <v>36</v>
      </c>
      <c r="L8" s="91" t="s">
        <v>40</v>
      </c>
      <c r="M8" s="90" t="s">
        <v>29</v>
      </c>
      <c r="N8" s="92" t="s">
        <v>36</v>
      </c>
      <c r="O8" s="91" t="s">
        <v>40</v>
      </c>
      <c r="P8" s="90" t="s">
        <v>29</v>
      </c>
      <c r="Q8" s="92" t="s">
        <v>36</v>
      </c>
      <c r="R8" s="93" t="s">
        <v>40</v>
      </c>
      <c r="S8" s="90" t="s">
        <v>29</v>
      </c>
      <c r="T8" s="92" t="s">
        <v>36</v>
      </c>
      <c r="U8" s="91" t="s">
        <v>40</v>
      </c>
      <c r="V8" s="90" t="s">
        <v>29</v>
      </c>
      <c r="W8" s="92" t="s">
        <v>36</v>
      </c>
      <c r="X8" s="63"/>
    </row>
    <row r="9" spans="1:24" ht="15" customHeight="1" x14ac:dyDescent="0.25">
      <c r="A9" s="3" t="s">
        <v>44</v>
      </c>
      <c r="B9" s="3"/>
      <c r="C9" s="95">
        <v>10</v>
      </c>
      <c r="D9" s="32">
        <v>15</v>
      </c>
      <c r="E9" s="84">
        <f>D9-C9</f>
        <v>5</v>
      </c>
      <c r="F9" s="95">
        <v>10</v>
      </c>
      <c r="G9" s="32">
        <v>8</v>
      </c>
      <c r="H9" s="84">
        <f>G9-F9</f>
        <v>-2</v>
      </c>
      <c r="I9" s="96">
        <v>5</v>
      </c>
      <c r="J9" s="32">
        <v>4</v>
      </c>
      <c r="K9" s="84">
        <f>J9-I9</f>
        <v>-1</v>
      </c>
      <c r="L9" s="96">
        <v>10</v>
      </c>
      <c r="M9" s="32">
        <v>6</v>
      </c>
      <c r="N9" s="84">
        <f>M9-L9</f>
        <v>-4</v>
      </c>
      <c r="O9" s="96">
        <v>20</v>
      </c>
      <c r="P9" s="32">
        <v>5</v>
      </c>
      <c r="Q9" s="84">
        <f t="shared" ref="Q9:Q27" si="0">P9-O9</f>
        <v>-15</v>
      </c>
      <c r="R9" s="96">
        <v>20</v>
      </c>
      <c r="S9" s="32">
        <v>15</v>
      </c>
      <c r="T9" s="84">
        <f>S9-R9</f>
        <v>-5</v>
      </c>
      <c r="U9" s="96">
        <v>5</v>
      </c>
      <c r="V9" s="32">
        <v>2</v>
      </c>
      <c r="W9" s="84">
        <f>V9-U9</f>
        <v>-3</v>
      </c>
      <c r="X9" s="58">
        <f t="shared" ref="X9:X26" si="1">D9+G9+J9+M9+P9+S9+V9</f>
        <v>55</v>
      </c>
    </row>
    <row r="10" spans="1:24" ht="15" customHeight="1" x14ac:dyDescent="0.25">
      <c r="A10" s="4" t="s">
        <v>5</v>
      </c>
      <c r="B10" s="4"/>
      <c r="C10" s="95">
        <v>15</v>
      </c>
      <c r="D10" s="32">
        <v>18</v>
      </c>
      <c r="E10" s="84">
        <f t="shared" ref="E10:E25" si="2">D10-C10</f>
        <v>3</v>
      </c>
      <c r="F10" s="95">
        <v>30</v>
      </c>
      <c r="G10" s="32">
        <v>10</v>
      </c>
      <c r="H10" s="84">
        <f t="shared" ref="H10:H25" si="3">G10-F10</f>
        <v>-20</v>
      </c>
      <c r="I10" s="96">
        <v>15</v>
      </c>
      <c r="J10" s="32">
        <v>11</v>
      </c>
      <c r="K10" s="84">
        <f t="shared" ref="K10:K25" si="4">J10-I10</f>
        <v>-4</v>
      </c>
      <c r="L10" s="96">
        <v>25</v>
      </c>
      <c r="M10" s="32">
        <v>29</v>
      </c>
      <c r="N10" s="84">
        <f t="shared" ref="N10:N27" si="5">M10-L10</f>
        <v>4</v>
      </c>
      <c r="O10" s="96">
        <v>60</v>
      </c>
      <c r="P10" s="32">
        <v>22</v>
      </c>
      <c r="Q10" s="84">
        <f t="shared" si="0"/>
        <v>-38</v>
      </c>
      <c r="R10" s="96">
        <v>70</v>
      </c>
      <c r="S10" s="32">
        <v>43</v>
      </c>
      <c r="T10" s="84">
        <f t="shared" ref="T10:T25" si="6">S10-R10</f>
        <v>-27</v>
      </c>
      <c r="U10" s="96">
        <v>15</v>
      </c>
      <c r="V10" s="32">
        <v>21</v>
      </c>
      <c r="W10" s="84">
        <f t="shared" ref="W10:W25" si="7">V10-U10</f>
        <v>6</v>
      </c>
      <c r="X10" s="59">
        <f t="shared" si="1"/>
        <v>154</v>
      </c>
    </row>
    <row r="11" spans="1:24" ht="15" customHeight="1" x14ac:dyDescent="0.25">
      <c r="A11" s="3" t="s">
        <v>6</v>
      </c>
      <c r="B11" s="3"/>
      <c r="C11" s="95">
        <v>25</v>
      </c>
      <c r="D11" s="32">
        <v>36</v>
      </c>
      <c r="E11" s="84">
        <f t="shared" si="2"/>
        <v>11</v>
      </c>
      <c r="F11" s="95">
        <v>25</v>
      </c>
      <c r="G11" s="32">
        <v>23</v>
      </c>
      <c r="H11" s="84">
        <f t="shared" si="3"/>
        <v>-2</v>
      </c>
      <c r="I11" s="96">
        <v>20</v>
      </c>
      <c r="J11" s="32">
        <v>15</v>
      </c>
      <c r="K11" s="84">
        <f t="shared" si="4"/>
        <v>-5</v>
      </c>
      <c r="L11" s="96">
        <v>30</v>
      </c>
      <c r="M11" s="32">
        <v>26</v>
      </c>
      <c r="N11" s="84">
        <f t="shared" si="5"/>
        <v>-4</v>
      </c>
      <c r="O11" s="96">
        <v>80</v>
      </c>
      <c r="P11" s="32">
        <v>69</v>
      </c>
      <c r="Q11" s="84">
        <f t="shared" si="0"/>
        <v>-11</v>
      </c>
      <c r="R11" s="96">
        <v>105</v>
      </c>
      <c r="S11" s="32">
        <v>110</v>
      </c>
      <c r="T11" s="84">
        <f t="shared" si="6"/>
        <v>5</v>
      </c>
      <c r="U11" s="96">
        <v>30</v>
      </c>
      <c r="V11" s="32">
        <v>15</v>
      </c>
      <c r="W11" s="84">
        <f t="shared" si="7"/>
        <v>-15</v>
      </c>
      <c r="X11" s="59">
        <f t="shared" si="1"/>
        <v>294</v>
      </c>
    </row>
    <row r="12" spans="1:24" ht="15" customHeight="1" x14ac:dyDescent="0.25">
      <c r="A12" s="4" t="s">
        <v>7</v>
      </c>
      <c r="B12" s="4"/>
      <c r="C12" s="95">
        <v>25</v>
      </c>
      <c r="D12" s="32">
        <v>20</v>
      </c>
      <c r="E12" s="84">
        <f t="shared" si="2"/>
        <v>-5</v>
      </c>
      <c r="F12" s="95">
        <v>20</v>
      </c>
      <c r="G12" s="32">
        <v>31</v>
      </c>
      <c r="H12" s="84">
        <f t="shared" si="3"/>
        <v>11</v>
      </c>
      <c r="I12" s="96">
        <v>25</v>
      </c>
      <c r="J12" s="32">
        <v>10</v>
      </c>
      <c r="K12" s="84">
        <f t="shared" si="4"/>
        <v>-15</v>
      </c>
      <c r="L12" s="96">
        <v>35</v>
      </c>
      <c r="M12" s="32">
        <v>28</v>
      </c>
      <c r="N12" s="84">
        <f t="shared" si="5"/>
        <v>-7</v>
      </c>
      <c r="O12" s="96">
        <v>110</v>
      </c>
      <c r="P12" s="32">
        <v>54</v>
      </c>
      <c r="Q12" s="84">
        <f t="shared" si="0"/>
        <v>-56</v>
      </c>
      <c r="R12" s="96">
        <v>110</v>
      </c>
      <c r="S12" s="32">
        <v>149</v>
      </c>
      <c r="T12" s="84">
        <f t="shared" si="6"/>
        <v>39</v>
      </c>
      <c r="U12" s="96">
        <v>40</v>
      </c>
      <c r="V12" s="32">
        <v>25</v>
      </c>
      <c r="W12" s="84">
        <f t="shared" si="7"/>
        <v>-15</v>
      </c>
      <c r="X12" s="59">
        <f t="shared" si="1"/>
        <v>317</v>
      </c>
    </row>
    <row r="13" spans="1:24" ht="15" customHeight="1" x14ac:dyDescent="0.25">
      <c r="A13" s="3" t="s">
        <v>8</v>
      </c>
      <c r="B13" s="3"/>
      <c r="C13" s="95">
        <v>30</v>
      </c>
      <c r="D13" s="32">
        <v>37</v>
      </c>
      <c r="E13" s="84">
        <f t="shared" si="2"/>
        <v>7</v>
      </c>
      <c r="F13" s="95">
        <v>45</v>
      </c>
      <c r="G13" s="32">
        <v>17</v>
      </c>
      <c r="H13" s="84">
        <f t="shared" si="3"/>
        <v>-28</v>
      </c>
      <c r="I13" s="96">
        <v>30</v>
      </c>
      <c r="J13" s="32">
        <v>16</v>
      </c>
      <c r="K13" s="84">
        <f t="shared" si="4"/>
        <v>-14</v>
      </c>
      <c r="L13" s="96">
        <v>40</v>
      </c>
      <c r="M13" s="32">
        <v>65</v>
      </c>
      <c r="N13" s="84">
        <f t="shared" si="5"/>
        <v>25</v>
      </c>
      <c r="O13" s="96">
        <v>110</v>
      </c>
      <c r="P13" s="32">
        <v>125</v>
      </c>
      <c r="Q13" s="84">
        <f t="shared" si="0"/>
        <v>15</v>
      </c>
      <c r="R13" s="96">
        <v>110</v>
      </c>
      <c r="S13" s="32">
        <v>101</v>
      </c>
      <c r="T13" s="84">
        <f t="shared" si="6"/>
        <v>-9</v>
      </c>
      <c r="U13" s="96">
        <v>35</v>
      </c>
      <c r="V13" s="32">
        <v>21</v>
      </c>
      <c r="W13" s="84">
        <f t="shared" si="7"/>
        <v>-14</v>
      </c>
      <c r="X13" s="59">
        <f t="shared" si="1"/>
        <v>382</v>
      </c>
    </row>
    <row r="14" spans="1:24" ht="15" customHeight="1" x14ac:dyDescent="0.25">
      <c r="A14" s="4" t="s">
        <v>9</v>
      </c>
      <c r="B14" s="4"/>
      <c r="C14" s="95">
        <v>30</v>
      </c>
      <c r="D14" s="32">
        <v>47</v>
      </c>
      <c r="E14" s="84">
        <f t="shared" si="2"/>
        <v>17</v>
      </c>
      <c r="F14" s="95">
        <v>35</v>
      </c>
      <c r="G14" s="32">
        <v>17</v>
      </c>
      <c r="H14" s="84">
        <f t="shared" si="3"/>
        <v>-18</v>
      </c>
      <c r="I14" s="96">
        <v>45</v>
      </c>
      <c r="J14" s="32">
        <v>20</v>
      </c>
      <c r="K14" s="84">
        <f t="shared" si="4"/>
        <v>-25</v>
      </c>
      <c r="L14" s="96">
        <v>40</v>
      </c>
      <c r="M14" s="32">
        <v>36</v>
      </c>
      <c r="N14" s="84">
        <f t="shared" si="5"/>
        <v>-4</v>
      </c>
      <c r="O14" s="96">
        <v>110</v>
      </c>
      <c r="P14" s="32">
        <v>96</v>
      </c>
      <c r="Q14" s="84">
        <f t="shared" si="0"/>
        <v>-14</v>
      </c>
      <c r="R14" s="96">
        <v>110</v>
      </c>
      <c r="S14" s="32">
        <v>101</v>
      </c>
      <c r="T14" s="84">
        <f t="shared" si="6"/>
        <v>-9</v>
      </c>
      <c r="U14" s="96">
        <v>50</v>
      </c>
      <c r="V14" s="32">
        <v>34</v>
      </c>
      <c r="W14" s="84">
        <f t="shared" si="7"/>
        <v>-16</v>
      </c>
      <c r="X14" s="59">
        <f t="shared" si="1"/>
        <v>351</v>
      </c>
    </row>
    <row r="15" spans="1:24" ht="15" customHeight="1" x14ac:dyDescent="0.25">
      <c r="A15" s="3" t="s">
        <v>10</v>
      </c>
      <c r="B15" s="3"/>
      <c r="C15" s="95">
        <v>35</v>
      </c>
      <c r="D15" s="32">
        <v>12</v>
      </c>
      <c r="E15" s="84">
        <f t="shared" si="2"/>
        <v>-23</v>
      </c>
      <c r="F15" s="95">
        <v>20</v>
      </c>
      <c r="G15" s="32">
        <v>34</v>
      </c>
      <c r="H15" s="84">
        <f t="shared" si="3"/>
        <v>14</v>
      </c>
      <c r="I15" s="96">
        <v>30</v>
      </c>
      <c r="J15" s="32">
        <v>48</v>
      </c>
      <c r="K15" s="84">
        <f t="shared" si="4"/>
        <v>18</v>
      </c>
      <c r="L15" s="96">
        <v>30</v>
      </c>
      <c r="M15" s="32">
        <v>27</v>
      </c>
      <c r="N15" s="84">
        <f t="shared" si="5"/>
        <v>-3</v>
      </c>
      <c r="O15" s="96">
        <v>100</v>
      </c>
      <c r="P15" s="32">
        <v>112</v>
      </c>
      <c r="Q15" s="84">
        <f t="shared" si="0"/>
        <v>12</v>
      </c>
      <c r="R15" s="96">
        <v>110</v>
      </c>
      <c r="S15" s="32">
        <v>74</v>
      </c>
      <c r="T15" s="84">
        <f t="shared" si="6"/>
        <v>-36</v>
      </c>
      <c r="U15" s="96">
        <v>35</v>
      </c>
      <c r="V15" s="32">
        <v>24</v>
      </c>
      <c r="W15" s="84">
        <f t="shared" si="7"/>
        <v>-11</v>
      </c>
      <c r="X15" s="59">
        <f t="shared" si="1"/>
        <v>331</v>
      </c>
    </row>
    <row r="16" spans="1:24" ht="15.75" customHeight="1" x14ac:dyDescent="0.25">
      <c r="A16" s="4" t="s">
        <v>35</v>
      </c>
      <c r="B16" s="4"/>
      <c r="C16" s="95">
        <v>20</v>
      </c>
      <c r="D16" s="32">
        <v>37</v>
      </c>
      <c r="E16" s="84">
        <f t="shared" si="2"/>
        <v>17</v>
      </c>
      <c r="F16" s="95">
        <v>15</v>
      </c>
      <c r="G16" s="32">
        <v>19</v>
      </c>
      <c r="H16" s="84">
        <f t="shared" si="3"/>
        <v>4</v>
      </c>
      <c r="I16" s="96">
        <v>25</v>
      </c>
      <c r="J16" s="32">
        <v>35</v>
      </c>
      <c r="K16" s="84">
        <f t="shared" si="4"/>
        <v>10</v>
      </c>
      <c r="L16" s="96">
        <v>25</v>
      </c>
      <c r="M16" s="32">
        <v>7</v>
      </c>
      <c r="N16" s="84">
        <f t="shared" si="5"/>
        <v>-18</v>
      </c>
      <c r="O16" s="96">
        <v>75</v>
      </c>
      <c r="P16" s="32">
        <v>48</v>
      </c>
      <c r="Q16" s="84">
        <f t="shared" si="0"/>
        <v>-27</v>
      </c>
      <c r="R16" s="96">
        <v>85</v>
      </c>
      <c r="S16" s="32">
        <v>65</v>
      </c>
      <c r="T16" s="84">
        <f t="shared" si="6"/>
        <v>-20</v>
      </c>
      <c r="U16" s="96">
        <v>20</v>
      </c>
      <c r="V16" s="32">
        <v>7</v>
      </c>
      <c r="W16" s="84">
        <f t="shared" si="7"/>
        <v>-13</v>
      </c>
      <c r="X16" s="60">
        <f t="shared" si="1"/>
        <v>218</v>
      </c>
    </row>
    <row r="17" spans="1:37" ht="15" customHeight="1" thickBot="1" x14ac:dyDescent="0.3">
      <c r="A17" s="3" t="s">
        <v>34</v>
      </c>
      <c r="B17" s="3"/>
      <c r="C17" s="95">
        <v>15</v>
      </c>
      <c r="D17" s="33">
        <v>21</v>
      </c>
      <c r="E17" s="85">
        <f t="shared" si="2"/>
        <v>6</v>
      </c>
      <c r="F17" s="95">
        <v>10</v>
      </c>
      <c r="G17" s="33">
        <v>23</v>
      </c>
      <c r="H17" s="85">
        <f t="shared" si="3"/>
        <v>13</v>
      </c>
      <c r="I17" s="96">
        <v>20</v>
      </c>
      <c r="J17" s="33">
        <v>9</v>
      </c>
      <c r="K17" s="85">
        <f t="shared" si="4"/>
        <v>-11</v>
      </c>
      <c r="L17" s="96">
        <v>25</v>
      </c>
      <c r="M17" s="33">
        <v>30</v>
      </c>
      <c r="N17" s="85">
        <f t="shared" si="5"/>
        <v>5</v>
      </c>
      <c r="O17" s="96">
        <v>65</v>
      </c>
      <c r="P17" s="33">
        <v>48</v>
      </c>
      <c r="Q17" s="85">
        <f t="shared" si="0"/>
        <v>-17</v>
      </c>
      <c r="R17" s="96">
        <v>65</v>
      </c>
      <c r="S17" s="33">
        <v>65</v>
      </c>
      <c r="T17" s="85">
        <f t="shared" si="6"/>
        <v>0</v>
      </c>
      <c r="U17" s="96">
        <v>15</v>
      </c>
      <c r="V17" s="33">
        <v>11</v>
      </c>
      <c r="W17" s="85">
        <f t="shared" si="7"/>
        <v>-4</v>
      </c>
      <c r="X17" s="62">
        <f t="shared" si="1"/>
        <v>207</v>
      </c>
    </row>
    <row r="18" spans="1:37" ht="15" customHeight="1" x14ac:dyDescent="0.25">
      <c r="A18" s="4" t="s">
        <v>11</v>
      </c>
      <c r="B18" s="4"/>
      <c r="C18" s="95">
        <v>30</v>
      </c>
      <c r="D18" s="86">
        <v>6</v>
      </c>
      <c r="E18" s="54">
        <f t="shared" si="2"/>
        <v>-24</v>
      </c>
      <c r="F18" s="95">
        <v>10</v>
      </c>
      <c r="G18" s="86">
        <v>11</v>
      </c>
      <c r="H18" s="54">
        <f t="shared" si="3"/>
        <v>1</v>
      </c>
      <c r="I18" s="96">
        <v>15</v>
      </c>
      <c r="J18" s="86">
        <v>12</v>
      </c>
      <c r="K18" s="54">
        <f t="shared" si="4"/>
        <v>-3</v>
      </c>
      <c r="L18" s="96">
        <v>25</v>
      </c>
      <c r="M18" s="86">
        <v>17</v>
      </c>
      <c r="N18" s="54">
        <f t="shared" si="5"/>
        <v>-8</v>
      </c>
      <c r="O18" s="96">
        <v>65</v>
      </c>
      <c r="P18" s="86">
        <v>36</v>
      </c>
      <c r="Q18" s="54">
        <f t="shared" si="0"/>
        <v>-29</v>
      </c>
      <c r="R18" s="96">
        <v>55</v>
      </c>
      <c r="S18" s="86">
        <v>71</v>
      </c>
      <c r="T18" s="54">
        <f t="shared" si="6"/>
        <v>16</v>
      </c>
      <c r="U18" s="96">
        <v>25</v>
      </c>
      <c r="V18" s="86">
        <v>11</v>
      </c>
      <c r="W18" s="54">
        <f t="shared" si="7"/>
        <v>-14</v>
      </c>
      <c r="X18" s="61">
        <f t="shared" si="1"/>
        <v>164</v>
      </c>
    </row>
    <row r="19" spans="1:37" ht="15" customHeight="1" x14ac:dyDescent="0.25">
      <c r="A19" s="3" t="s">
        <v>12</v>
      </c>
      <c r="B19" s="3"/>
      <c r="C19" s="95">
        <v>25</v>
      </c>
      <c r="D19" s="32">
        <v>37</v>
      </c>
      <c r="E19" s="84">
        <f t="shared" si="2"/>
        <v>12</v>
      </c>
      <c r="F19" s="95">
        <v>20</v>
      </c>
      <c r="G19" s="32">
        <v>36</v>
      </c>
      <c r="H19" s="84">
        <f t="shared" si="3"/>
        <v>16</v>
      </c>
      <c r="I19" s="96">
        <v>25</v>
      </c>
      <c r="J19" s="32">
        <v>61</v>
      </c>
      <c r="K19" s="84">
        <f t="shared" si="4"/>
        <v>36</v>
      </c>
      <c r="L19" s="96">
        <v>35</v>
      </c>
      <c r="M19" s="32">
        <v>34</v>
      </c>
      <c r="N19" s="84">
        <f t="shared" si="5"/>
        <v>-1</v>
      </c>
      <c r="O19" s="96">
        <v>95</v>
      </c>
      <c r="P19" s="32">
        <v>104</v>
      </c>
      <c r="Q19" s="84">
        <f t="shared" si="0"/>
        <v>9</v>
      </c>
      <c r="R19" s="96">
        <v>65</v>
      </c>
      <c r="S19" s="32">
        <v>91</v>
      </c>
      <c r="T19" s="84">
        <f t="shared" si="6"/>
        <v>26</v>
      </c>
      <c r="U19" s="96">
        <v>50</v>
      </c>
      <c r="V19" s="32">
        <v>41</v>
      </c>
      <c r="W19" s="84">
        <f t="shared" si="7"/>
        <v>-9</v>
      </c>
      <c r="X19" s="59">
        <f t="shared" si="1"/>
        <v>404</v>
      </c>
    </row>
    <row r="20" spans="1:37" ht="15" customHeight="1" x14ac:dyDescent="0.25">
      <c r="A20" s="4" t="s">
        <v>13</v>
      </c>
      <c r="B20" s="4"/>
      <c r="C20" s="95">
        <v>50</v>
      </c>
      <c r="D20" s="32">
        <v>27</v>
      </c>
      <c r="E20" s="84">
        <f t="shared" si="2"/>
        <v>-23</v>
      </c>
      <c r="F20" s="95">
        <v>40</v>
      </c>
      <c r="G20" s="32">
        <v>16</v>
      </c>
      <c r="H20" s="84">
        <f t="shared" si="3"/>
        <v>-24</v>
      </c>
      <c r="I20" s="96">
        <v>30</v>
      </c>
      <c r="J20" s="32">
        <v>21</v>
      </c>
      <c r="K20" s="84">
        <f t="shared" si="4"/>
        <v>-9</v>
      </c>
      <c r="L20" s="96">
        <v>80</v>
      </c>
      <c r="M20" s="32">
        <v>44</v>
      </c>
      <c r="N20" s="84">
        <f t="shared" si="5"/>
        <v>-36</v>
      </c>
      <c r="O20" s="96">
        <v>105</v>
      </c>
      <c r="P20" s="32">
        <v>100</v>
      </c>
      <c r="Q20" s="84">
        <f t="shared" si="0"/>
        <v>-5</v>
      </c>
      <c r="R20" s="96">
        <v>70</v>
      </c>
      <c r="S20" s="32">
        <v>67</v>
      </c>
      <c r="T20" s="84">
        <f t="shared" si="6"/>
        <v>-3</v>
      </c>
      <c r="U20" s="96">
        <v>50</v>
      </c>
      <c r="V20" s="32">
        <v>53</v>
      </c>
      <c r="W20" s="84">
        <f t="shared" si="7"/>
        <v>3</v>
      </c>
      <c r="X20" s="59">
        <f t="shared" si="1"/>
        <v>328</v>
      </c>
    </row>
    <row r="21" spans="1:37" ht="15" customHeight="1" x14ac:dyDescent="0.25">
      <c r="A21" s="3" t="s">
        <v>14</v>
      </c>
      <c r="B21" s="3"/>
      <c r="C21" s="95">
        <v>25</v>
      </c>
      <c r="D21" s="32">
        <v>27</v>
      </c>
      <c r="E21" s="84">
        <f t="shared" si="2"/>
        <v>2</v>
      </c>
      <c r="F21" s="95">
        <v>25</v>
      </c>
      <c r="G21" s="32">
        <v>10</v>
      </c>
      <c r="H21" s="84">
        <f t="shared" si="3"/>
        <v>-15</v>
      </c>
      <c r="I21" s="96">
        <v>40</v>
      </c>
      <c r="J21" s="32">
        <v>22</v>
      </c>
      <c r="K21" s="84">
        <f t="shared" si="4"/>
        <v>-18</v>
      </c>
      <c r="L21" s="96">
        <v>60</v>
      </c>
      <c r="M21" s="32">
        <v>34</v>
      </c>
      <c r="N21" s="84">
        <f t="shared" si="5"/>
        <v>-26</v>
      </c>
      <c r="O21" s="96">
        <v>60</v>
      </c>
      <c r="P21" s="32">
        <v>112</v>
      </c>
      <c r="Q21" s="84">
        <f t="shared" si="0"/>
        <v>52</v>
      </c>
      <c r="R21" s="96">
        <v>50</v>
      </c>
      <c r="S21" s="32">
        <v>52</v>
      </c>
      <c r="T21" s="84">
        <f t="shared" si="6"/>
        <v>2</v>
      </c>
      <c r="U21" s="96">
        <v>35</v>
      </c>
      <c r="V21" s="32">
        <v>16</v>
      </c>
      <c r="W21" s="84">
        <f t="shared" si="7"/>
        <v>-19</v>
      </c>
      <c r="X21" s="59">
        <f t="shared" si="1"/>
        <v>273</v>
      </c>
    </row>
    <row r="22" spans="1:37" ht="15" customHeight="1" x14ac:dyDescent="0.25">
      <c r="A22" s="4" t="s">
        <v>15</v>
      </c>
      <c r="B22" s="4"/>
      <c r="C22" s="95">
        <v>20</v>
      </c>
      <c r="D22" s="32">
        <v>26</v>
      </c>
      <c r="E22" s="84">
        <f t="shared" si="2"/>
        <v>6</v>
      </c>
      <c r="F22" s="95">
        <v>20</v>
      </c>
      <c r="G22" s="32">
        <v>15</v>
      </c>
      <c r="H22" s="84">
        <f t="shared" si="3"/>
        <v>-5</v>
      </c>
      <c r="I22" s="96">
        <v>15</v>
      </c>
      <c r="J22" s="32">
        <v>13</v>
      </c>
      <c r="K22" s="84">
        <f t="shared" si="4"/>
        <v>-2</v>
      </c>
      <c r="L22" s="96">
        <v>40</v>
      </c>
      <c r="M22" s="32">
        <v>30</v>
      </c>
      <c r="N22" s="84">
        <f t="shared" si="5"/>
        <v>-10</v>
      </c>
      <c r="O22" s="96">
        <v>55</v>
      </c>
      <c r="P22" s="32">
        <v>101</v>
      </c>
      <c r="Q22" s="84">
        <f t="shared" si="0"/>
        <v>46</v>
      </c>
      <c r="R22" s="96">
        <v>30</v>
      </c>
      <c r="S22" s="32">
        <v>38</v>
      </c>
      <c r="T22" s="84">
        <f t="shared" si="6"/>
        <v>8</v>
      </c>
      <c r="U22" s="96">
        <v>25</v>
      </c>
      <c r="V22" s="32">
        <v>7</v>
      </c>
      <c r="W22" s="84">
        <f t="shared" si="7"/>
        <v>-18</v>
      </c>
      <c r="X22" s="59">
        <f t="shared" si="1"/>
        <v>230</v>
      </c>
      <c r="AB22" s="118"/>
      <c r="AC22" s="118"/>
    </row>
    <row r="23" spans="1:37" ht="15" customHeight="1" x14ac:dyDescent="0.25">
      <c r="A23" s="3" t="s">
        <v>16</v>
      </c>
      <c r="B23" s="3"/>
      <c r="C23" s="95">
        <v>15</v>
      </c>
      <c r="D23" s="32">
        <v>6</v>
      </c>
      <c r="E23" s="84">
        <f t="shared" si="2"/>
        <v>-9</v>
      </c>
      <c r="F23" s="95">
        <v>15</v>
      </c>
      <c r="G23" s="32">
        <v>22</v>
      </c>
      <c r="H23" s="84">
        <f t="shared" si="3"/>
        <v>7</v>
      </c>
      <c r="I23" s="96">
        <v>35</v>
      </c>
      <c r="J23" s="32">
        <v>10</v>
      </c>
      <c r="K23" s="84">
        <f t="shared" si="4"/>
        <v>-25</v>
      </c>
      <c r="L23" s="96">
        <v>35</v>
      </c>
      <c r="M23" s="32">
        <v>34</v>
      </c>
      <c r="N23" s="84">
        <f t="shared" si="5"/>
        <v>-1</v>
      </c>
      <c r="O23" s="96">
        <v>60</v>
      </c>
      <c r="P23" s="32">
        <v>50</v>
      </c>
      <c r="Q23" s="84">
        <f t="shared" si="0"/>
        <v>-10</v>
      </c>
      <c r="R23" s="96">
        <v>25</v>
      </c>
      <c r="S23" s="32">
        <v>37</v>
      </c>
      <c r="T23" s="84">
        <f t="shared" si="6"/>
        <v>12</v>
      </c>
      <c r="U23" s="96">
        <v>15</v>
      </c>
      <c r="V23" s="32">
        <v>14</v>
      </c>
      <c r="W23" s="84">
        <f t="shared" si="7"/>
        <v>-1</v>
      </c>
      <c r="X23" s="59">
        <f t="shared" si="1"/>
        <v>173</v>
      </c>
    </row>
    <row r="24" spans="1:37" ht="15.75" customHeight="1" x14ac:dyDescent="0.25">
      <c r="A24" s="4" t="s">
        <v>17</v>
      </c>
      <c r="B24" s="4"/>
      <c r="C24" s="95">
        <v>15</v>
      </c>
      <c r="D24" s="32">
        <v>10</v>
      </c>
      <c r="E24" s="84">
        <f t="shared" si="2"/>
        <v>-5</v>
      </c>
      <c r="F24" s="95">
        <v>20</v>
      </c>
      <c r="G24" s="32">
        <v>17</v>
      </c>
      <c r="H24" s="84">
        <f t="shared" si="3"/>
        <v>-3</v>
      </c>
      <c r="I24" s="96">
        <v>20</v>
      </c>
      <c r="J24" s="32">
        <v>6</v>
      </c>
      <c r="K24" s="84">
        <f t="shared" si="4"/>
        <v>-14</v>
      </c>
      <c r="L24" s="96">
        <v>45</v>
      </c>
      <c r="M24" s="32">
        <v>52</v>
      </c>
      <c r="N24" s="84">
        <f t="shared" si="5"/>
        <v>7</v>
      </c>
      <c r="O24" s="96">
        <v>50</v>
      </c>
      <c r="P24" s="32">
        <v>55</v>
      </c>
      <c r="Q24" s="84">
        <f t="shared" si="0"/>
        <v>5</v>
      </c>
      <c r="R24" s="96">
        <v>20</v>
      </c>
      <c r="S24" s="32">
        <v>18</v>
      </c>
      <c r="T24" s="84">
        <f t="shared" si="6"/>
        <v>-2</v>
      </c>
      <c r="U24" s="96">
        <v>10</v>
      </c>
      <c r="V24" s="32">
        <v>12</v>
      </c>
      <c r="W24" s="84">
        <f t="shared" si="7"/>
        <v>2</v>
      </c>
      <c r="X24" s="59">
        <f t="shared" si="1"/>
        <v>170</v>
      </c>
      <c r="Z24" s="8"/>
    </row>
    <row r="25" spans="1:37" ht="15" customHeight="1" thickBot="1" x14ac:dyDescent="0.3">
      <c r="A25" s="4" t="s">
        <v>33</v>
      </c>
      <c r="B25" s="3"/>
      <c r="C25" s="95">
        <v>5</v>
      </c>
      <c r="D25" s="33">
        <v>4</v>
      </c>
      <c r="E25" s="85">
        <f t="shared" si="2"/>
        <v>-1</v>
      </c>
      <c r="F25" s="95">
        <v>5</v>
      </c>
      <c r="G25" s="33">
        <v>6</v>
      </c>
      <c r="H25" s="85">
        <f t="shared" si="3"/>
        <v>1</v>
      </c>
      <c r="I25" s="96">
        <v>10</v>
      </c>
      <c r="J25" s="33">
        <v>5</v>
      </c>
      <c r="K25" s="85">
        <f t="shared" si="4"/>
        <v>-5</v>
      </c>
      <c r="L25" s="96">
        <v>40</v>
      </c>
      <c r="M25" s="32">
        <v>36</v>
      </c>
      <c r="N25" s="84">
        <f t="shared" si="5"/>
        <v>-4</v>
      </c>
      <c r="O25" s="96">
        <v>45</v>
      </c>
      <c r="P25" s="32">
        <v>57</v>
      </c>
      <c r="Q25" s="84">
        <f t="shared" si="0"/>
        <v>12</v>
      </c>
      <c r="R25" s="96">
        <v>10</v>
      </c>
      <c r="S25" s="33">
        <v>8</v>
      </c>
      <c r="T25" s="85">
        <f t="shared" si="6"/>
        <v>-2</v>
      </c>
      <c r="U25" s="96">
        <v>5</v>
      </c>
      <c r="V25" s="33">
        <v>3</v>
      </c>
      <c r="W25" s="85">
        <f t="shared" si="7"/>
        <v>-2</v>
      </c>
      <c r="X25" s="61">
        <f t="shared" si="1"/>
        <v>119</v>
      </c>
    </row>
    <row r="26" spans="1:37" ht="15" customHeight="1" x14ac:dyDescent="0.25">
      <c r="A26" s="4" t="s">
        <v>18</v>
      </c>
      <c r="B26" s="5"/>
      <c r="C26" s="82"/>
      <c r="D26" s="76"/>
      <c r="E26" s="83"/>
      <c r="F26" s="82"/>
      <c r="G26" s="76"/>
      <c r="H26" s="83"/>
      <c r="I26" s="82"/>
      <c r="J26" s="76"/>
      <c r="K26" s="88"/>
      <c r="L26" s="96">
        <v>20</v>
      </c>
      <c r="M26" s="86">
        <v>12</v>
      </c>
      <c r="N26" s="54">
        <f t="shared" si="5"/>
        <v>-8</v>
      </c>
      <c r="O26" s="96">
        <v>20</v>
      </c>
      <c r="P26" s="86">
        <v>44</v>
      </c>
      <c r="Q26" s="54">
        <f t="shared" si="0"/>
        <v>24</v>
      </c>
      <c r="R26" s="89"/>
      <c r="S26" s="76"/>
      <c r="T26" s="83"/>
      <c r="U26" s="82"/>
      <c r="V26" s="76"/>
      <c r="W26" s="83"/>
      <c r="X26" s="59">
        <f t="shared" si="1"/>
        <v>56</v>
      </c>
    </row>
    <row r="27" spans="1:37" ht="15" customHeight="1" thickBot="1" x14ac:dyDescent="0.3">
      <c r="A27" s="3" t="s">
        <v>19</v>
      </c>
      <c r="B27" s="6"/>
      <c r="C27" s="81"/>
      <c r="D27" s="52"/>
      <c r="E27" s="79"/>
      <c r="F27" s="81"/>
      <c r="G27" s="52"/>
      <c r="H27" s="79"/>
      <c r="I27" s="81"/>
      <c r="J27" s="52"/>
      <c r="K27" s="87"/>
      <c r="L27" s="96">
        <v>15</v>
      </c>
      <c r="M27" s="33">
        <v>2</v>
      </c>
      <c r="N27" s="85">
        <f t="shared" si="5"/>
        <v>-13</v>
      </c>
      <c r="O27" s="96">
        <v>10</v>
      </c>
      <c r="P27" s="33">
        <v>38</v>
      </c>
      <c r="Q27" s="85">
        <f t="shared" si="0"/>
        <v>28</v>
      </c>
      <c r="R27" s="78"/>
      <c r="S27" s="52"/>
      <c r="T27" s="79"/>
      <c r="U27" s="81"/>
      <c r="V27" s="52"/>
      <c r="W27" s="79"/>
      <c r="X27" s="59">
        <f>M27+P27</f>
        <v>40</v>
      </c>
    </row>
    <row r="28" spans="1:37" x14ac:dyDescent="0.25">
      <c r="A28" s="4" t="s">
        <v>20</v>
      </c>
      <c r="B28" s="5"/>
      <c r="C28" s="75"/>
      <c r="D28" s="76"/>
      <c r="E28" s="77"/>
      <c r="F28" s="75"/>
      <c r="G28" s="76"/>
      <c r="H28" s="77"/>
      <c r="I28" s="75"/>
      <c r="J28" s="76"/>
      <c r="K28" s="77"/>
      <c r="L28" s="75"/>
      <c r="M28" s="76"/>
      <c r="N28" s="77"/>
      <c r="O28" s="75"/>
      <c r="P28" s="76"/>
      <c r="Q28" s="77"/>
      <c r="R28" s="75"/>
      <c r="S28" s="76"/>
      <c r="T28" s="77"/>
      <c r="U28" s="75"/>
      <c r="V28" s="76"/>
      <c r="W28" s="77"/>
      <c r="X28" s="59">
        <f t="shared" ref="X28:X32" si="8">D28+G28+J28+M28+P28+S28+V28</f>
        <v>0</v>
      </c>
    </row>
    <row r="29" spans="1:37" x14ac:dyDescent="0.25">
      <c r="A29" s="3" t="s">
        <v>21</v>
      </c>
      <c r="B29" s="6"/>
      <c r="C29" s="64"/>
      <c r="D29" s="52"/>
      <c r="E29" s="55"/>
      <c r="F29" s="64"/>
      <c r="G29" s="52"/>
      <c r="H29" s="55"/>
      <c r="I29" s="64"/>
      <c r="J29" s="52"/>
      <c r="K29" s="55"/>
      <c r="L29" s="64"/>
      <c r="M29" s="52"/>
      <c r="N29" s="55"/>
      <c r="O29" s="64"/>
      <c r="P29" s="52"/>
      <c r="Q29" s="55"/>
      <c r="R29" s="64"/>
      <c r="S29" s="52"/>
      <c r="T29" s="55"/>
      <c r="U29" s="64"/>
      <c r="V29" s="52"/>
      <c r="W29" s="55"/>
      <c r="X29" s="59">
        <f t="shared" si="8"/>
        <v>0</v>
      </c>
    </row>
    <row r="30" spans="1:37" x14ac:dyDescent="0.25">
      <c r="A30" s="4" t="s">
        <v>22</v>
      </c>
      <c r="B30" s="5"/>
      <c r="C30" s="64"/>
      <c r="D30" s="52"/>
      <c r="E30" s="79"/>
      <c r="F30" s="78"/>
      <c r="G30" s="52"/>
      <c r="H30" s="55"/>
      <c r="I30" s="64"/>
      <c r="J30" s="52"/>
      <c r="K30" s="55"/>
      <c r="L30" s="64"/>
      <c r="M30" s="52"/>
      <c r="N30" s="55"/>
      <c r="O30" s="64"/>
      <c r="P30" s="52"/>
      <c r="Q30" s="55"/>
      <c r="R30" s="64"/>
      <c r="S30" s="52"/>
      <c r="T30" s="55"/>
      <c r="U30" s="64"/>
      <c r="V30" s="52"/>
      <c r="W30" s="55"/>
      <c r="X30" s="59">
        <f t="shared" si="8"/>
        <v>0</v>
      </c>
    </row>
    <row r="31" spans="1:37" x14ac:dyDescent="0.25">
      <c r="A31" s="3" t="s">
        <v>23</v>
      </c>
      <c r="B31" s="6"/>
      <c r="C31" s="64"/>
      <c r="D31" s="52"/>
      <c r="E31" s="55"/>
      <c r="F31" s="64"/>
      <c r="G31" s="52"/>
      <c r="H31" s="55"/>
      <c r="I31" s="64"/>
      <c r="J31" s="52"/>
      <c r="K31" s="55"/>
      <c r="L31" s="64"/>
      <c r="M31" s="52"/>
      <c r="N31" s="55"/>
      <c r="O31" s="64"/>
      <c r="P31" s="52"/>
      <c r="Q31" s="55"/>
      <c r="R31" s="64"/>
      <c r="S31" s="52"/>
      <c r="T31" s="55"/>
      <c r="U31" s="64"/>
      <c r="V31" s="52"/>
      <c r="W31" s="55"/>
      <c r="X31" s="59">
        <f t="shared" si="8"/>
        <v>0</v>
      </c>
    </row>
    <row r="32" spans="1:37" ht="15.75" thickBot="1" x14ac:dyDescent="0.3">
      <c r="A32" s="4" t="s">
        <v>24</v>
      </c>
      <c r="B32" s="5"/>
      <c r="C32" s="65"/>
      <c r="D32" s="53"/>
      <c r="E32" s="56"/>
      <c r="F32" s="65"/>
      <c r="G32" s="53"/>
      <c r="H32" s="56"/>
      <c r="I32" s="65"/>
      <c r="J32" s="53"/>
      <c r="K32" s="56"/>
      <c r="L32" s="65"/>
      <c r="M32" s="53"/>
      <c r="N32" s="56"/>
      <c r="O32" s="65"/>
      <c r="P32" s="53"/>
      <c r="Q32" s="56"/>
      <c r="R32" s="65"/>
      <c r="S32" s="53"/>
      <c r="T32" s="56"/>
      <c r="U32" s="65"/>
      <c r="V32" s="53"/>
      <c r="W32" s="56"/>
      <c r="X32" s="62">
        <f t="shared" si="8"/>
        <v>0</v>
      </c>
      <c r="AK32" s="51"/>
    </row>
    <row r="33" spans="1:26" ht="15.75" thickBot="1" x14ac:dyDescent="0.3">
      <c r="A33" s="2" t="s">
        <v>25</v>
      </c>
      <c r="B33" s="7"/>
      <c r="C33" s="24">
        <v>30</v>
      </c>
      <c r="D33" s="9"/>
      <c r="E33" s="9"/>
      <c r="F33" s="105"/>
      <c r="G33" s="105"/>
      <c r="H33" s="105"/>
      <c r="I33" s="105"/>
      <c r="J33" s="105"/>
      <c r="K33" s="105"/>
      <c r="L33" s="109"/>
      <c r="M33" s="110"/>
      <c r="N33" s="111"/>
      <c r="O33" s="9"/>
      <c r="P33" s="9"/>
      <c r="Q33" s="9"/>
      <c r="R33" s="105"/>
      <c r="S33" s="105"/>
      <c r="T33" s="105"/>
      <c r="U33" s="105"/>
      <c r="V33" s="105"/>
      <c r="W33" s="105"/>
    </row>
    <row r="34" spans="1:26" ht="15.75" thickBot="1" x14ac:dyDescent="0.3">
      <c r="C34" s="45" t="s">
        <v>38</v>
      </c>
      <c r="D34" s="39" t="s">
        <v>29</v>
      </c>
      <c r="E34" s="46" t="s">
        <v>36</v>
      </c>
      <c r="F34" s="39" t="s">
        <v>38</v>
      </c>
      <c r="G34" s="39" t="s">
        <v>29</v>
      </c>
      <c r="H34" s="46" t="s">
        <v>36</v>
      </c>
      <c r="I34" s="39" t="s">
        <v>38</v>
      </c>
      <c r="J34" s="39" t="s">
        <v>29</v>
      </c>
      <c r="K34" s="46" t="s">
        <v>36</v>
      </c>
      <c r="L34" s="39" t="s">
        <v>28</v>
      </c>
      <c r="M34" s="39" t="s">
        <v>29</v>
      </c>
      <c r="N34" s="46" t="s">
        <v>36</v>
      </c>
      <c r="O34" s="39" t="s">
        <v>28</v>
      </c>
      <c r="P34" s="39" t="s">
        <v>29</v>
      </c>
      <c r="Q34" s="47" t="s">
        <v>36</v>
      </c>
      <c r="R34" s="45" t="s">
        <v>28</v>
      </c>
      <c r="S34" s="39" t="s">
        <v>29</v>
      </c>
      <c r="T34" s="46" t="s">
        <v>37</v>
      </c>
      <c r="U34" s="45" t="s">
        <v>38</v>
      </c>
      <c r="V34" s="39" t="s">
        <v>29</v>
      </c>
      <c r="W34" s="46" t="s">
        <v>36</v>
      </c>
      <c r="X34" s="45" t="s">
        <v>38</v>
      </c>
      <c r="Y34" s="39" t="s">
        <v>29</v>
      </c>
      <c r="Z34" s="46" t="s">
        <v>36</v>
      </c>
    </row>
    <row r="35" spans="1:26" x14ac:dyDescent="0.25">
      <c r="B35" t="s">
        <v>26</v>
      </c>
      <c r="C35" s="30">
        <f>SUM(C9:C17)</f>
        <v>205</v>
      </c>
      <c r="D35" s="21">
        <f>SUM(D9:D17)</f>
        <v>243</v>
      </c>
      <c r="E35" s="23">
        <f>D35-C35</f>
        <v>38</v>
      </c>
      <c r="F35" s="35">
        <f>SUM(F9:F17)</f>
        <v>210</v>
      </c>
      <c r="G35" s="21">
        <f>SUM(G9:G17)</f>
        <v>182</v>
      </c>
      <c r="H35" s="22">
        <f>G35-F35</f>
        <v>-28</v>
      </c>
      <c r="I35" s="35">
        <f>SUM(I9:I17)</f>
        <v>215</v>
      </c>
      <c r="J35" s="21">
        <f>SUM(J9:J17)</f>
        <v>168</v>
      </c>
      <c r="K35" s="22">
        <f>J35-I35</f>
        <v>-47</v>
      </c>
      <c r="L35" s="35">
        <f>SUM(L9:L16)</f>
        <v>235</v>
      </c>
      <c r="M35" s="21">
        <f>SUM(M9:M16)</f>
        <v>224</v>
      </c>
      <c r="N35" s="22">
        <f>M35-L35</f>
        <v>-11</v>
      </c>
      <c r="O35" s="35">
        <f>SUM(O9:O16)</f>
        <v>665</v>
      </c>
      <c r="P35" s="21">
        <f>SUM(P9:P16)</f>
        <v>531</v>
      </c>
      <c r="Q35" s="21">
        <f>P35-O35</f>
        <v>-134</v>
      </c>
      <c r="R35" s="30">
        <f>SUM(R9:R17)</f>
        <v>785</v>
      </c>
      <c r="S35" s="21">
        <f>SUM(S9:S17)</f>
        <v>723</v>
      </c>
      <c r="T35" s="23">
        <f>S35-R35</f>
        <v>-62</v>
      </c>
      <c r="U35" s="30">
        <f>SUM(U9:U17)</f>
        <v>245</v>
      </c>
      <c r="V35" s="21">
        <f>SUM(V9:V17)</f>
        <v>160</v>
      </c>
      <c r="W35" s="22">
        <f>V35-U35</f>
        <v>-85</v>
      </c>
      <c r="X35" s="42">
        <f>C35+F35+I35+L35+O35+R35+U35</f>
        <v>2560</v>
      </c>
      <c r="Y35" s="43">
        <f>D35+J35+M35+P35+S35+V35+G35</f>
        <v>2231</v>
      </c>
      <c r="Z35" s="44">
        <f>Y35-X35</f>
        <v>-329</v>
      </c>
    </row>
    <row r="36" spans="1:26" ht="15.75" thickBot="1" x14ac:dyDescent="0.3">
      <c r="B36" t="s">
        <v>27</v>
      </c>
      <c r="C36" s="31">
        <f>SUM(C18:C26)</f>
        <v>185</v>
      </c>
      <c r="D36" s="19">
        <f>SUM(D18:D26)</f>
        <v>143</v>
      </c>
      <c r="E36" s="18">
        <f>D36-C36</f>
        <v>-42</v>
      </c>
      <c r="F36" s="57">
        <f>SUM(F18:F26)</f>
        <v>155</v>
      </c>
      <c r="G36" s="19">
        <f>SUM(G18:G26)</f>
        <v>133</v>
      </c>
      <c r="H36" s="18">
        <f>G36-F36</f>
        <v>-22</v>
      </c>
      <c r="I36" s="57">
        <f>SUM(I18:I26)</f>
        <v>190</v>
      </c>
      <c r="J36" s="19">
        <f>SUM(J18:J26)</f>
        <v>150</v>
      </c>
      <c r="K36" s="18">
        <f>J36-I36</f>
        <v>-40</v>
      </c>
      <c r="L36" s="57">
        <f>SUM(L17:L27)</f>
        <v>420</v>
      </c>
      <c r="M36" s="19">
        <f>SUM(M17:M27)</f>
        <v>325</v>
      </c>
      <c r="N36" s="18">
        <f>M36-L36</f>
        <v>-95</v>
      </c>
      <c r="O36" s="57">
        <f>SUM(O17:O27)</f>
        <v>630</v>
      </c>
      <c r="P36" s="19">
        <f>SUM(P17:P27)</f>
        <v>745</v>
      </c>
      <c r="Q36" s="70">
        <f>P36-O36</f>
        <v>115</v>
      </c>
      <c r="R36" s="31">
        <f>SUM(R18:R25)</f>
        <v>325</v>
      </c>
      <c r="S36" s="19">
        <f>SUM(S18:S26)</f>
        <v>382</v>
      </c>
      <c r="T36" s="18">
        <f>S36-R36</f>
        <v>57</v>
      </c>
      <c r="U36" s="31">
        <f>SUM(U18:U25)</f>
        <v>215</v>
      </c>
      <c r="V36" s="19">
        <f>SUM(V18:V26)</f>
        <v>157</v>
      </c>
      <c r="W36" s="18">
        <f>V36-U36</f>
        <v>-58</v>
      </c>
      <c r="X36" s="40">
        <f>C36+F36+I36+L36+O36+R36+U36</f>
        <v>2120</v>
      </c>
      <c r="Y36" s="71">
        <f>D36+G36+J36+M36+P36+S36+V36</f>
        <v>2035</v>
      </c>
      <c r="Z36" s="41">
        <f>Y36-X36</f>
        <v>-85</v>
      </c>
    </row>
    <row r="37" spans="1:26" ht="15.75" thickBot="1" x14ac:dyDescent="0.3">
      <c r="A37" s="1"/>
      <c r="B37" s="1"/>
      <c r="C37" s="10"/>
      <c r="D37" s="10"/>
      <c r="E37" s="10"/>
      <c r="F37" s="10"/>
      <c r="G37" s="10" t="s">
        <v>41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8"/>
      <c r="X37" s="72">
        <f>SUM(X35:X36)</f>
        <v>4680</v>
      </c>
      <c r="Y37" s="73">
        <f>SUM(Y35:Y36)</f>
        <v>4266</v>
      </c>
      <c r="Z37" s="74">
        <f>SUM(Z35:Z36)</f>
        <v>-414</v>
      </c>
    </row>
    <row r="38" spans="1:26" ht="15.75" thickBot="1" x14ac:dyDescent="0.3">
      <c r="A38" s="37" t="s">
        <v>30</v>
      </c>
      <c r="B38" s="38"/>
      <c r="C38" s="29">
        <f t="shared" ref="C38:W38" si="9">SUM(C35:C36)</f>
        <v>390</v>
      </c>
      <c r="D38" s="26">
        <f t="shared" si="9"/>
        <v>386</v>
      </c>
      <c r="E38" s="28">
        <f t="shared" si="9"/>
        <v>-4</v>
      </c>
      <c r="F38" s="25">
        <f t="shared" si="9"/>
        <v>365</v>
      </c>
      <c r="G38" s="26">
        <f t="shared" si="9"/>
        <v>315</v>
      </c>
      <c r="H38" s="28">
        <f t="shared" si="9"/>
        <v>-50</v>
      </c>
      <c r="I38" s="25">
        <f t="shared" si="9"/>
        <v>405</v>
      </c>
      <c r="J38" s="26">
        <f t="shared" si="9"/>
        <v>318</v>
      </c>
      <c r="K38" s="28">
        <f t="shared" si="9"/>
        <v>-87</v>
      </c>
      <c r="L38" s="25">
        <f t="shared" si="9"/>
        <v>655</v>
      </c>
      <c r="M38" s="26">
        <f t="shared" si="9"/>
        <v>549</v>
      </c>
      <c r="N38" s="28">
        <f t="shared" si="9"/>
        <v>-106</v>
      </c>
      <c r="O38" s="25">
        <f t="shared" si="9"/>
        <v>1295</v>
      </c>
      <c r="P38" s="26">
        <f t="shared" si="9"/>
        <v>1276</v>
      </c>
      <c r="Q38" s="28">
        <f t="shared" si="9"/>
        <v>-19</v>
      </c>
      <c r="R38" s="25">
        <f t="shared" si="9"/>
        <v>1110</v>
      </c>
      <c r="S38" s="26">
        <f t="shared" si="9"/>
        <v>1105</v>
      </c>
      <c r="T38" s="28">
        <f t="shared" si="9"/>
        <v>-5</v>
      </c>
      <c r="U38" s="25">
        <f t="shared" si="9"/>
        <v>460</v>
      </c>
      <c r="V38" s="26">
        <f t="shared" si="9"/>
        <v>317</v>
      </c>
      <c r="W38" s="27">
        <f t="shared" si="9"/>
        <v>-143</v>
      </c>
      <c r="Y38" s="11"/>
    </row>
    <row r="39" spans="1:26" ht="15.75" thickBot="1" x14ac:dyDescent="0.3">
      <c r="A39" s="1"/>
      <c r="C39" s="12"/>
      <c r="D39" s="9">
        <v>45</v>
      </c>
      <c r="E39" s="9"/>
      <c r="F39" s="13"/>
      <c r="G39" s="9"/>
      <c r="H39" s="9"/>
      <c r="I39" s="9"/>
      <c r="J39" s="12"/>
      <c r="K39" s="12"/>
      <c r="L39" s="13"/>
      <c r="M39" s="12"/>
      <c r="N39" s="12"/>
      <c r="O39" s="13"/>
      <c r="P39" s="9"/>
      <c r="Q39" s="9"/>
      <c r="R39" s="14"/>
      <c r="S39" s="9"/>
      <c r="T39" s="9"/>
      <c r="U39" s="9"/>
      <c r="V39" s="9"/>
    </row>
    <row r="40" spans="1:26" x14ac:dyDescent="0.25">
      <c r="B40" t="s">
        <v>43</v>
      </c>
      <c r="C40" s="106"/>
      <c r="D40" s="107"/>
      <c r="E40" s="108"/>
      <c r="F40" s="106"/>
      <c r="G40" s="107"/>
      <c r="H40" s="108"/>
      <c r="I40" s="106"/>
      <c r="J40" s="107"/>
      <c r="K40" s="108"/>
      <c r="L40" s="106"/>
      <c r="M40" s="107"/>
      <c r="N40" s="108"/>
      <c r="O40" s="106"/>
      <c r="P40" s="107"/>
      <c r="Q40" s="108"/>
      <c r="R40" s="106"/>
      <c r="S40" s="107"/>
      <c r="T40" s="108"/>
      <c r="U40" s="106"/>
      <c r="V40" s="107"/>
      <c r="W40" s="108"/>
    </row>
    <row r="41" spans="1:26" x14ac:dyDescent="0.25">
      <c r="C41" s="97"/>
      <c r="D41" s="98"/>
      <c r="E41" s="99"/>
      <c r="F41" s="97"/>
      <c r="G41" s="98"/>
      <c r="H41" s="99"/>
      <c r="I41" s="97"/>
      <c r="J41" s="98"/>
      <c r="K41" s="99"/>
      <c r="L41" s="97"/>
      <c r="M41" s="98"/>
      <c r="N41" s="99"/>
      <c r="O41" s="97"/>
      <c r="P41" s="98"/>
      <c r="Q41" s="99"/>
      <c r="R41" s="97"/>
      <c r="S41" s="98"/>
      <c r="T41" s="99"/>
      <c r="U41" s="97"/>
      <c r="V41" s="98"/>
      <c r="W41" s="99"/>
    </row>
    <row r="42" spans="1:26" x14ac:dyDescent="0.25">
      <c r="C42" s="97"/>
      <c r="D42" s="98"/>
      <c r="E42" s="99"/>
      <c r="F42" s="97"/>
      <c r="G42" s="98"/>
      <c r="H42" s="99"/>
      <c r="I42" s="97"/>
      <c r="J42" s="98"/>
      <c r="K42" s="99"/>
      <c r="L42" s="97"/>
      <c r="M42" s="98"/>
      <c r="N42" s="99"/>
      <c r="O42" s="97"/>
      <c r="P42" s="98"/>
      <c r="Q42" s="99"/>
      <c r="R42" s="97"/>
      <c r="S42" s="98"/>
      <c r="T42" s="99"/>
      <c r="U42" s="97"/>
      <c r="V42" s="98"/>
      <c r="W42" s="99"/>
    </row>
    <row r="43" spans="1:26" x14ac:dyDescent="0.25">
      <c r="C43" s="97"/>
      <c r="D43" s="98"/>
      <c r="E43" s="99"/>
      <c r="F43" s="97"/>
      <c r="G43" s="98"/>
      <c r="H43" s="99"/>
      <c r="I43" s="97"/>
      <c r="J43" s="98"/>
      <c r="K43" s="99"/>
      <c r="L43" s="97"/>
      <c r="M43" s="98"/>
      <c r="N43" s="99"/>
      <c r="O43" s="97"/>
      <c r="P43" s="98"/>
      <c r="Q43" s="99"/>
      <c r="R43" s="97"/>
      <c r="S43" s="98"/>
      <c r="T43" s="99"/>
      <c r="U43" s="97"/>
      <c r="V43" s="98"/>
      <c r="W43" s="99"/>
    </row>
    <row r="44" spans="1:26" x14ac:dyDescent="0.25">
      <c r="C44" s="112"/>
      <c r="D44" s="113"/>
      <c r="E44" s="114"/>
      <c r="F44" s="112"/>
      <c r="G44" s="113"/>
      <c r="H44" s="114"/>
      <c r="I44" s="112"/>
      <c r="J44" s="113"/>
      <c r="K44" s="114"/>
      <c r="L44" s="112"/>
      <c r="M44" s="113"/>
      <c r="N44" s="114"/>
      <c r="O44" s="112"/>
      <c r="P44" s="113"/>
      <c r="Q44" s="114"/>
      <c r="R44" s="112"/>
      <c r="S44" s="113"/>
      <c r="T44" s="114"/>
      <c r="U44" s="112"/>
      <c r="V44" s="113"/>
      <c r="W44" s="114"/>
    </row>
    <row r="45" spans="1:26" ht="15.75" thickBot="1" x14ac:dyDescent="0.3">
      <c r="C45" s="115"/>
      <c r="D45" s="116"/>
      <c r="E45" s="117"/>
      <c r="F45" s="115"/>
      <c r="G45" s="116"/>
      <c r="H45" s="117"/>
      <c r="I45" s="115"/>
      <c r="J45" s="116"/>
      <c r="K45" s="117"/>
      <c r="L45" s="115"/>
      <c r="M45" s="116"/>
      <c r="N45" s="117"/>
      <c r="O45" s="115"/>
      <c r="P45" s="116"/>
      <c r="Q45" s="117"/>
      <c r="R45" s="115"/>
      <c r="S45" s="116"/>
      <c r="T45" s="117"/>
      <c r="U45" s="115"/>
      <c r="V45" s="116"/>
      <c r="W45" s="117"/>
    </row>
    <row r="46" spans="1:26" x14ac:dyDescent="0.25">
      <c r="K46" t="s">
        <v>42</v>
      </c>
    </row>
    <row r="48" spans="1:26" x14ac:dyDescent="0.25">
      <c r="K48" s="36"/>
    </row>
  </sheetData>
  <mergeCells count="68">
    <mergeCell ref="AB22:AC22"/>
    <mergeCell ref="C7:E7"/>
    <mergeCell ref="F7:H7"/>
    <mergeCell ref="I7:K7"/>
    <mergeCell ref="L7:N7"/>
    <mergeCell ref="O7:Q7"/>
    <mergeCell ref="R7:T7"/>
    <mergeCell ref="U7:W7"/>
    <mergeCell ref="U43:W43"/>
    <mergeCell ref="C44:E44"/>
    <mergeCell ref="C45:E45"/>
    <mergeCell ref="F40:H40"/>
    <mergeCell ref="F43:H43"/>
    <mergeCell ref="F44:H44"/>
    <mergeCell ref="F45:H45"/>
    <mergeCell ref="C41:E41"/>
    <mergeCell ref="F41:H41"/>
    <mergeCell ref="C42:E42"/>
    <mergeCell ref="F42:H42"/>
    <mergeCell ref="C40:E40"/>
    <mergeCell ref="C43:E43"/>
    <mergeCell ref="I45:K45"/>
    <mergeCell ref="L40:N40"/>
    <mergeCell ref="L43:N43"/>
    <mergeCell ref="I43:K43"/>
    <mergeCell ref="I44:K44"/>
    <mergeCell ref="U44:W44"/>
    <mergeCell ref="U45:W45"/>
    <mergeCell ref="U41:W41"/>
    <mergeCell ref="O43:Q43"/>
    <mergeCell ref="O44:Q44"/>
    <mergeCell ref="O45:Q45"/>
    <mergeCell ref="R43:T43"/>
    <mergeCell ref="R44:T44"/>
    <mergeCell ref="R45:T45"/>
    <mergeCell ref="O41:Q41"/>
    <mergeCell ref="R41:T41"/>
    <mergeCell ref="L44:N44"/>
    <mergeCell ref="L45:N45"/>
    <mergeCell ref="I41:K41"/>
    <mergeCell ref="F33:H33"/>
    <mergeCell ref="O6:Q6"/>
    <mergeCell ref="F3:H3"/>
    <mergeCell ref="U40:W40"/>
    <mergeCell ref="U6:W6"/>
    <mergeCell ref="R6:T6"/>
    <mergeCell ref="I40:K40"/>
    <mergeCell ref="O40:Q40"/>
    <mergeCell ref="R40:T40"/>
    <mergeCell ref="L33:N33"/>
    <mergeCell ref="I33:K33"/>
    <mergeCell ref="U33:W33"/>
    <mergeCell ref="R33:T33"/>
    <mergeCell ref="I3:K3"/>
    <mergeCell ref="A1:C1"/>
    <mergeCell ref="F6:H6"/>
    <mergeCell ref="C6:E6"/>
    <mergeCell ref="L6:N6"/>
    <mergeCell ref="S3:W3"/>
    <mergeCell ref="I6:K6"/>
    <mergeCell ref="C4:K4"/>
    <mergeCell ref="C5:T5"/>
    <mergeCell ref="O42:Q42"/>
    <mergeCell ref="R42:T42"/>
    <mergeCell ref="U42:W42"/>
    <mergeCell ref="L41:N41"/>
    <mergeCell ref="I42:K42"/>
    <mergeCell ref="L42:N42"/>
  </mergeCells>
  <pageMargins left="0.23622047244094491" right="0.23622047244094491" top="0.74803149606299213" bottom="0.74803149606299213" header="0.31496062992125984" footer="0.31496062992125984"/>
  <pageSetup paperSize="9" scale="72" fitToWidth="0" orientation="landscape" horizontalDpi="4294967293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Arno Pancakes</cp:lastModifiedBy>
  <cp:lastPrinted>2023-02-27T14:31:35Z</cp:lastPrinted>
  <dcterms:created xsi:type="dcterms:W3CDTF">2019-02-12T02:57:16Z</dcterms:created>
  <dcterms:modified xsi:type="dcterms:W3CDTF">2026-09-14T14:03:00Z</dcterms:modified>
</cp:coreProperties>
</file>